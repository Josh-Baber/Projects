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7836" yWindow="2136" windowWidth="17856" windowHeight="13176" activeTab="5"/>
  </bookViews>
  <sheets>
    <sheet name="Full CIBT Tables" sheetId="33" r:id="rId1"/>
    <sheet name="Critical Illnesses" sheetId="30" r:id="rId2"/>
    <sheet name="Inputs" sheetId="29" r:id="rId3"/>
    <sheet name="CI 1-yr term" sheetId="35" r:id="rId4"/>
    <sheet name="CI 1-yr term testing" sheetId="36" r:id="rId5"/>
    <sheet name="CI 5-yr term" sheetId="37" r:id="rId6"/>
  </sheets>
  <definedNames>
    <definedName name="comm_firstyear" localSheetId="3">'CI 1-yr term'!#REF!</definedName>
    <definedName name="comm_renewal" localSheetId="3">'CI 1-yr term'!#REF!</definedName>
    <definedName name="expense_ann_maint" localSheetId="3">'CI 1-yr term'!#REF!</definedName>
    <definedName name="expense_issue" localSheetId="3">'CI 1-yr term'!#REF!</definedName>
    <definedName name="face_amount" localSheetId="3">'CI 1-yr term'!$L$17</definedName>
    <definedName name="interest_rate" localSheetId="3">'CI 1-yr term'!#REF!</definedName>
    <definedName name="issue_age" localSheetId="3">'CI 1-yr term'!$L$18</definedName>
    <definedName name="percentage_of_mortality" localSheetId="3">'CI 1-yr term'!$L$19</definedName>
    <definedName name="profit_loading" localSheetId="3">'CI 1-yr term'!#REF!</definedName>
  </definedNames>
  <calcPr calcId="145621"/>
  <fileRecoveryPr repairLoad="1"/>
</workbook>
</file>

<file path=xl/calcChain.xml><?xml version="1.0" encoding="utf-8"?>
<calcChain xmlns="http://schemas.openxmlformats.org/spreadsheetml/2006/main">
  <c r="F13" i="37" l="1"/>
  <c r="B3" i="37"/>
  <c r="AI12" i="36"/>
  <c r="F13" i="35" l="1"/>
  <c r="F13" i="36"/>
  <c r="N4" i="30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3" i="30"/>
  <c r="T6" i="37" l="1"/>
  <c r="Q8" i="37"/>
  <c r="R8" i="37" s="1"/>
  <c r="Q9" i="37" s="1"/>
  <c r="R9" i="37" s="1"/>
  <c r="Q10" i="37" s="1"/>
  <c r="R10" i="37" s="1"/>
  <c r="Q11" i="37" s="1"/>
  <c r="R11" i="37" s="1"/>
  <c r="Q12" i="37" s="1"/>
  <c r="R12" i="37" s="1"/>
  <c r="Q13" i="37" s="1"/>
  <c r="R13" i="37" s="1"/>
  <c r="Q14" i="37" s="1"/>
  <c r="R14" i="37" s="1"/>
  <c r="Q15" i="37" s="1"/>
  <c r="R15" i="37" s="1"/>
  <c r="Q16" i="37" s="1"/>
  <c r="R16" i="37" s="1"/>
  <c r="Q17" i="37" s="1"/>
  <c r="R17" i="37" s="1"/>
  <c r="Q18" i="37" s="1"/>
  <c r="R18" i="37" s="1"/>
  <c r="Q19" i="37" s="1"/>
  <c r="R19" i="37" s="1"/>
  <c r="Q20" i="37" s="1"/>
  <c r="R20" i="37" s="1"/>
  <c r="Q21" i="37" s="1"/>
  <c r="R21" i="37" s="1"/>
  <c r="Q22" i="37" s="1"/>
  <c r="R22" i="37" s="1"/>
  <c r="Q23" i="37" s="1"/>
  <c r="R23" i="37" s="1"/>
  <c r="Q24" i="37" s="1"/>
  <c r="R24" i="37" s="1"/>
  <c r="Q25" i="37" s="1"/>
  <c r="R25" i="37" s="1"/>
  <c r="Q26" i="37" s="1"/>
  <c r="R26" i="37" s="1"/>
  <c r="Q27" i="37" s="1"/>
  <c r="R27" i="37" s="1"/>
  <c r="Q28" i="37" s="1"/>
  <c r="R28" i="37" s="1"/>
  <c r="Q29" i="37" s="1"/>
  <c r="R29" i="37" s="1"/>
  <c r="Q30" i="37" s="1"/>
  <c r="R30" i="37" s="1"/>
  <c r="Q31" i="37" s="1"/>
  <c r="R31" i="37" s="1"/>
  <c r="Q32" i="37" s="1"/>
  <c r="R32" i="37" s="1"/>
  <c r="Q33" i="37" s="1"/>
  <c r="R33" i="37" s="1"/>
  <c r="Q34" i="37" s="1"/>
  <c r="R34" i="37" s="1"/>
  <c r="Q35" i="37" s="1"/>
  <c r="R35" i="37" s="1"/>
  <c r="Q36" i="37" s="1"/>
  <c r="R36" i="37" s="1"/>
  <c r="Q37" i="37" s="1"/>
  <c r="R37" i="37" s="1"/>
  <c r="Q38" i="37" s="1"/>
  <c r="R38" i="37" s="1"/>
  <c r="Q39" i="37" s="1"/>
  <c r="R39" i="37" s="1"/>
  <c r="Q40" i="37" s="1"/>
  <c r="R40" i="37" s="1"/>
  <c r="Q41" i="37" s="1"/>
  <c r="R41" i="37" s="1"/>
  <c r="Q42" i="37" s="1"/>
  <c r="R42" i="37" s="1"/>
  <c r="Q43" i="37" s="1"/>
  <c r="R43" i="37" s="1"/>
  <c r="Q44" i="37" s="1"/>
  <c r="R44" i="37" s="1"/>
  <c r="Q45" i="37" s="1"/>
  <c r="R45" i="37" s="1"/>
  <c r="Q46" i="37" s="1"/>
  <c r="R46" i="37" s="1"/>
  <c r="Q47" i="37" s="1"/>
  <c r="R47" i="37" s="1"/>
  <c r="Q48" i="37" s="1"/>
  <c r="R48" i="37" s="1"/>
  <c r="Q49" i="37" s="1"/>
  <c r="R49" i="37" s="1"/>
  <c r="Q50" i="37" s="1"/>
  <c r="R50" i="37" s="1"/>
  <c r="Q51" i="37" s="1"/>
  <c r="R51" i="37" s="1"/>
  <c r="Q52" i="37" s="1"/>
  <c r="R52" i="37" s="1"/>
  <c r="Q53" i="37" s="1"/>
  <c r="R53" i="37" s="1"/>
  <c r="Q54" i="37" s="1"/>
  <c r="R54" i="37" s="1"/>
  <c r="Q55" i="37" s="1"/>
  <c r="R55" i="37" s="1"/>
  <c r="Q56" i="37" s="1"/>
  <c r="R56" i="37" s="1"/>
  <c r="Q57" i="37" s="1"/>
  <c r="R57" i="37" s="1"/>
  <c r="Q58" i="37" s="1"/>
  <c r="R58" i="37" s="1"/>
  <c r="Q59" i="37" s="1"/>
  <c r="R59" i="37" s="1"/>
  <c r="Q60" i="37" s="1"/>
  <c r="R60" i="37" s="1"/>
  <c r="Q61" i="37" s="1"/>
  <c r="R61" i="37" s="1"/>
  <c r="Q62" i="37" s="1"/>
  <c r="R62" i="37" s="1"/>
  <c r="Q63" i="37" s="1"/>
  <c r="R63" i="37" s="1"/>
  <c r="Q64" i="37" s="1"/>
  <c r="R64" i="37" s="1"/>
  <c r="Q65" i="37" s="1"/>
  <c r="R65" i="37" s="1"/>
  <c r="R7" i="37"/>
  <c r="Q7" i="37"/>
  <c r="R6" i="37"/>
  <c r="M19" i="37"/>
  <c r="M20" i="37"/>
  <c r="M21" i="37"/>
  <c r="M22" i="37"/>
  <c r="M23" i="37"/>
  <c r="M24" i="37"/>
  <c r="M25" i="37"/>
  <c r="M26" i="37"/>
  <c r="M27" i="37"/>
  <c r="M28" i="37"/>
  <c r="M29" i="37"/>
  <c r="M30" i="37"/>
  <c r="M31" i="37"/>
  <c r="M32" i="37"/>
  <c r="M33" i="37"/>
  <c r="M34" i="37"/>
  <c r="M35" i="37"/>
  <c r="M36" i="37"/>
  <c r="M37" i="37"/>
  <c r="M38" i="37"/>
  <c r="M39" i="37"/>
  <c r="M40" i="37"/>
  <c r="M41" i="37"/>
  <c r="M42" i="37"/>
  <c r="M43" i="37"/>
  <c r="M44" i="37"/>
  <c r="M45" i="37"/>
  <c r="M46" i="37"/>
  <c r="M47" i="37"/>
  <c r="M48" i="37"/>
  <c r="M49" i="37"/>
  <c r="M50" i="37"/>
  <c r="M51" i="37"/>
  <c r="M52" i="37"/>
  <c r="M53" i="37"/>
  <c r="M54" i="37"/>
  <c r="M55" i="37"/>
  <c r="M56" i="37"/>
  <c r="M57" i="37"/>
  <c r="M58" i="37"/>
  <c r="M59" i="37"/>
  <c r="M60" i="37"/>
  <c r="M61" i="37"/>
  <c r="M62" i="37"/>
  <c r="M63" i="37"/>
  <c r="M64" i="37"/>
  <c r="M65" i="37"/>
  <c r="M18" i="37"/>
  <c r="M7" i="37"/>
  <c r="M8" i="37"/>
  <c r="M9" i="37"/>
  <c r="M10" i="37"/>
  <c r="M11" i="37"/>
  <c r="M12" i="37"/>
  <c r="M13" i="37"/>
  <c r="M14" i="37"/>
  <c r="M15" i="37"/>
  <c r="M16" i="37"/>
  <c r="M17" i="37"/>
  <c r="M6" i="37"/>
  <c r="S6" i="37"/>
  <c r="B2" i="37"/>
  <c r="N10" i="37" s="1"/>
  <c r="B1" i="37"/>
  <c r="B1" i="36"/>
  <c r="B1" i="35"/>
  <c r="N61" i="37" l="1"/>
  <c r="N53" i="37"/>
  <c r="N49" i="37"/>
  <c r="N41" i="37"/>
  <c r="N29" i="37"/>
  <c r="N21" i="37"/>
  <c r="N13" i="37"/>
  <c r="N64" i="37"/>
  <c r="N60" i="37"/>
  <c r="N52" i="37"/>
  <c r="N44" i="37"/>
  <c r="N36" i="37"/>
  <c r="N32" i="37"/>
  <c r="N24" i="37"/>
  <c r="N16" i="37"/>
  <c r="N12" i="37"/>
  <c r="N63" i="37"/>
  <c r="N59" i="37"/>
  <c r="N55" i="37"/>
  <c r="N51" i="37"/>
  <c r="N47" i="37"/>
  <c r="N43" i="37"/>
  <c r="N39" i="37"/>
  <c r="N35" i="37"/>
  <c r="N31" i="37"/>
  <c r="N27" i="37"/>
  <c r="N23" i="37"/>
  <c r="N19" i="37"/>
  <c r="N15" i="37"/>
  <c r="N11" i="37"/>
  <c r="N7" i="37"/>
  <c r="N65" i="37"/>
  <c r="N57" i="37"/>
  <c r="N45" i="37"/>
  <c r="N37" i="37"/>
  <c r="N33" i="37"/>
  <c r="N25" i="37"/>
  <c r="N17" i="37"/>
  <c r="N9" i="37"/>
  <c r="N56" i="37"/>
  <c r="N48" i="37"/>
  <c r="N40" i="37"/>
  <c r="N28" i="37"/>
  <c r="N20" i="37"/>
  <c r="N8" i="37"/>
  <c r="N6" i="37"/>
  <c r="N62" i="37"/>
  <c r="N58" i="37"/>
  <c r="N54" i="37"/>
  <c r="N50" i="37"/>
  <c r="N46" i="37"/>
  <c r="N42" i="37"/>
  <c r="N38" i="37"/>
  <c r="N34" i="37"/>
  <c r="N30" i="37"/>
  <c r="N26" i="37"/>
  <c r="N22" i="37"/>
  <c r="N18" i="37"/>
  <c r="N14" i="37"/>
  <c r="Q1" i="36"/>
  <c r="X29" i="36"/>
  <c r="Y29" i="36" l="1"/>
  <c r="T29" i="36"/>
  <c r="V29" i="36"/>
  <c r="R6" i="36"/>
  <c r="Q7" i="36" s="1"/>
  <c r="R7" i="36" s="1"/>
  <c r="Q8" i="36" s="1"/>
  <c r="R8" i="36" s="1"/>
  <c r="M7" i="36"/>
  <c r="M8" i="36"/>
  <c r="M9" i="36"/>
  <c r="M10" i="36"/>
  <c r="M11" i="36"/>
  <c r="M12" i="36"/>
  <c r="M13" i="36"/>
  <c r="M14" i="36"/>
  <c r="M15" i="36"/>
  <c r="M16" i="36"/>
  <c r="M6" i="36"/>
  <c r="T6" i="35"/>
  <c r="M7" i="35"/>
  <c r="M8" i="35"/>
  <c r="M9" i="35"/>
  <c r="M10" i="35"/>
  <c r="M11" i="35"/>
  <c r="M12" i="35"/>
  <c r="M13" i="35"/>
  <c r="M14" i="35"/>
  <c r="M15" i="35"/>
  <c r="M16" i="35"/>
  <c r="M17" i="35"/>
  <c r="M6" i="35"/>
  <c r="L6" i="29"/>
  <c r="L7" i="29"/>
  <c r="L8" i="29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K6" i="29"/>
  <c r="K7" i="29"/>
  <c r="K8" i="29"/>
  <c r="K9" i="29"/>
  <c r="K10" i="29"/>
  <c r="K11" i="29"/>
  <c r="K12" i="29"/>
  <c r="K13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L5" i="29"/>
  <c r="K5" i="29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" i="29"/>
  <c r="O4" i="30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8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44" i="30"/>
  <c r="O45" i="30"/>
  <c r="O46" i="30"/>
  <c r="O47" i="30"/>
  <c r="O48" i="30"/>
  <c r="O49" i="30"/>
  <c r="O50" i="30"/>
  <c r="O51" i="30"/>
  <c r="O52" i="30"/>
  <c r="O53" i="30"/>
  <c r="O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3" i="30"/>
  <c r="M4" i="30"/>
  <c r="M5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2" i="30"/>
  <c r="M53" i="30"/>
  <c r="M3" i="30"/>
  <c r="L4" i="30"/>
  <c r="L5" i="30"/>
  <c r="L6" i="30"/>
  <c r="L7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3" i="30"/>
  <c r="K4" i="30"/>
  <c r="K5" i="30"/>
  <c r="K6" i="30"/>
  <c r="K7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K2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E3" i="30"/>
  <c r="D3" i="30"/>
  <c r="C3" i="30"/>
  <c r="J53" i="30"/>
  <c r="J4" i="30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3" i="30"/>
  <c r="L18" i="37" l="1"/>
  <c r="L22" i="37"/>
  <c r="L26" i="37"/>
  <c r="L19" i="37"/>
  <c r="L23" i="37"/>
  <c r="L27" i="37"/>
  <c r="L20" i="37"/>
  <c r="L24" i="37"/>
  <c r="L28" i="37"/>
  <c r="L21" i="37"/>
  <c r="L25" i="37"/>
  <c r="L29" i="37"/>
  <c r="L58" i="37"/>
  <c r="L55" i="37"/>
  <c r="L59" i="37"/>
  <c r="L56" i="37"/>
  <c r="L60" i="37"/>
  <c r="L64" i="37"/>
  <c r="L54" i="37"/>
  <c r="L62" i="37"/>
  <c r="L63" i="37"/>
  <c r="L57" i="37"/>
  <c r="L61" i="37"/>
  <c r="L65" i="37"/>
  <c r="L10" i="37"/>
  <c r="L14" i="37"/>
  <c r="L7" i="37"/>
  <c r="L11" i="37"/>
  <c r="L15" i="37"/>
  <c r="L8" i="37"/>
  <c r="L12" i="37"/>
  <c r="L16" i="37"/>
  <c r="L9" i="37"/>
  <c r="L13" i="37"/>
  <c r="L17" i="37"/>
  <c r="L6" i="37"/>
  <c r="L46" i="37"/>
  <c r="L43" i="37"/>
  <c r="L44" i="37"/>
  <c r="L48" i="37"/>
  <c r="L52" i="37"/>
  <c r="L42" i="37"/>
  <c r="L51" i="37"/>
  <c r="L45" i="37"/>
  <c r="L49" i="37"/>
  <c r="L53" i="37"/>
  <c r="L50" i="37"/>
  <c r="L47" i="37"/>
  <c r="L30" i="37"/>
  <c r="L34" i="37"/>
  <c r="L39" i="37"/>
  <c r="L31" i="37"/>
  <c r="L35" i="37"/>
  <c r="L32" i="37"/>
  <c r="L36" i="37"/>
  <c r="L40" i="37"/>
  <c r="L33" i="37"/>
  <c r="L37" i="37"/>
  <c r="L41" i="37"/>
  <c r="L38" i="37"/>
  <c r="Q9" i="36"/>
  <c r="R9" i="36" s="1"/>
  <c r="P6" i="37" l="1"/>
  <c r="V6" i="37"/>
  <c r="Q10" i="36"/>
  <c r="R10" i="36" s="1"/>
  <c r="AO6" i="37" l="1"/>
  <c r="AN6" i="37"/>
  <c r="Z6" i="37"/>
  <c r="Y6" i="37"/>
  <c r="P7" i="37"/>
  <c r="O7" i="37"/>
  <c r="U6" i="37"/>
  <c r="T7" i="37" s="1"/>
  <c r="Q11" i="36"/>
  <c r="R11" i="36" s="1"/>
  <c r="Q1" i="37"/>
  <c r="I18" i="37"/>
  <c r="I17" i="37"/>
  <c r="I45" i="36"/>
  <c r="B3" i="36"/>
  <c r="Z29" i="36" s="1"/>
  <c r="B2" i="36"/>
  <c r="AC5" i="36"/>
  <c r="I17" i="36"/>
  <c r="AD5" i="36"/>
  <c r="AD7" i="36" s="1"/>
  <c r="AE5" i="36"/>
  <c r="AF5" i="36"/>
  <c r="AG5" i="36"/>
  <c r="AH5" i="36"/>
  <c r="AI5" i="36"/>
  <c r="AJ5" i="36"/>
  <c r="AK5" i="36"/>
  <c r="AL5" i="36"/>
  <c r="AM5" i="36"/>
  <c r="AN5" i="36"/>
  <c r="I17" i="35"/>
  <c r="F5" i="29"/>
  <c r="F6" i="29" s="1"/>
  <c r="F7" i="29" s="1"/>
  <c r="F8" i="29" s="1"/>
  <c r="F9" i="29" s="1"/>
  <c r="F10" i="29" s="1"/>
  <c r="F11" i="29" s="1"/>
  <c r="F12" i="29" s="1"/>
  <c r="F13" i="29" s="1"/>
  <c r="F14" i="29" s="1"/>
  <c r="F15" i="29" s="1"/>
  <c r="F16" i="29" s="1"/>
  <c r="F17" i="29" s="1"/>
  <c r="F18" i="29" s="1"/>
  <c r="F19" i="29" s="1"/>
  <c r="F20" i="29" s="1"/>
  <c r="F21" i="29" s="1"/>
  <c r="F22" i="29" s="1"/>
  <c r="F23" i="29" s="1"/>
  <c r="F24" i="29" s="1"/>
  <c r="F25" i="29" s="1"/>
  <c r="F26" i="29" s="1"/>
  <c r="F27" i="29" s="1"/>
  <c r="F28" i="29" s="1"/>
  <c r="F29" i="29" s="1"/>
  <c r="F30" i="29" s="1"/>
  <c r="F31" i="29" s="1"/>
  <c r="F32" i="29" s="1"/>
  <c r="F33" i="29" s="1"/>
  <c r="F34" i="29" s="1"/>
  <c r="F35" i="29" s="1"/>
  <c r="F36" i="29" s="1"/>
  <c r="F37" i="29" s="1"/>
  <c r="F38" i="29" s="1"/>
  <c r="F39" i="29" s="1"/>
  <c r="F40" i="29" s="1"/>
  <c r="F41" i="29" s="1"/>
  <c r="F42" i="29" s="1"/>
  <c r="F43" i="29" s="1"/>
  <c r="F44" i="29" s="1"/>
  <c r="F45" i="29" s="1"/>
  <c r="F46" i="29" s="1"/>
  <c r="F47" i="29" s="1"/>
  <c r="F48" i="29" s="1"/>
  <c r="F49" i="29" s="1"/>
  <c r="F50" i="29" s="1"/>
  <c r="F51" i="29" s="1"/>
  <c r="F52" i="29" s="1"/>
  <c r="F53" i="29" s="1"/>
  <c r="F54" i="29" s="1"/>
  <c r="F55" i="29" s="1"/>
  <c r="J5" i="29"/>
  <c r="J6" i="29" s="1"/>
  <c r="J7" i="29" s="1"/>
  <c r="J8" i="29" s="1"/>
  <c r="J9" i="29" s="1"/>
  <c r="J10" i="29" s="1"/>
  <c r="J11" i="29" s="1"/>
  <c r="J12" i="29" s="1"/>
  <c r="J13" i="29" s="1"/>
  <c r="J14" i="29" s="1"/>
  <c r="J15" i="29" s="1"/>
  <c r="J16" i="29" s="1"/>
  <c r="J17" i="29" s="1"/>
  <c r="J18" i="29" s="1"/>
  <c r="J19" i="29" s="1"/>
  <c r="J20" i="29" s="1"/>
  <c r="J21" i="29" s="1"/>
  <c r="J22" i="29" s="1"/>
  <c r="J23" i="29" s="1"/>
  <c r="J24" i="29" s="1"/>
  <c r="J25" i="29" s="1"/>
  <c r="J26" i="29" s="1"/>
  <c r="J27" i="29" s="1"/>
  <c r="J28" i="29" s="1"/>
  <c r="J29" i="29" s="1"/>
  <c r="J30" i="29" s="1"/>
  <c r="J31" i="29" s="1"/>
  <c r="J32" i="29" s="1"/>
  <c r="J33" i="29" s="1"/>
  <c r="J34" i="29" s="1"/>
  <c r="J35" i="29" s="1"/>
  <c r="J36" i="29" s="1"/>
  <c r="J37" i="29" s="1"/>
  <c r="J38" i="29" s="1"/>
  <c r="J39" i="29" s="1"/>
  <c r="J40" i="29" s="1"/>
  <c r="J41" i="29" s="1"/>
  <c r="J42" i="29" s="1"/>
  <c r="J43" i="29" s="1"/>
  <c r="J44" i="29" s="1"/>
  <c r="J45" i="29" s="1"/>
  <c r="J46" i="29" s="1"/>
  <c r="J47" i="29" s="1"/>
  <c r="J48" i="29" s="1"/>
  <c r="J49" i="29" s="1"/>
  <c r="J50" i="29" s="1"/>
  <c r="J51" i="29" s="1"/>
  <c r="J52" i="29" s="1"/>
  <c r="J53" i="29" s="1"/>
  <c r="J54" i="29" s="1"/>
  <c r="J55" i="29" s="1"/>
  <c r="Q1" i="35"/>
  <c r="R6" i="35" s="1"/>
  <c r="Q7" i="35" s="1"/>
  <c r="R7" i="35" s="1"/>
  <c r="Q8" i="35" s="1"/>
  <c r="R8" i="35" s="1"/>
  <c r="Q9" i="35" s="1"/>
  <c r="R9" i="35" s="1"/>
  <c r="Q10" i="35" s="1"/>
  <c r="R10" i="35" s="1"/>
  <c r="Q11" i="35" s="1"/>
  <c r="R11" i="35" s="1"/>
  <c r="Q12" i="35" s="1"/>
  <c r="R12" i="35" s="1"/>
  <c r="Q13" i="35" s="1"/>
  <c r="R13" i="35" s="1"/>
  <c r="Q14" i="35" s="1"/>
  <c r="R14" i="35" s="1"/>
  <c r="Q15" i="35" s="1"/>
  <c r="R15" i="35" s="1"/>
  <c r="Q16" i="35" s="1"/>
  <c r="R16" i="35" s="1"/>
  <c r="Q17" i="35" s="1"/>
  <c r="R17" i="35" s="1"/>
  <c r="B3" i="35"/>
  <c r="I33" i="35"/>
  <c r="B2" i="35"/>
  <c r="V7" i="37" l="1"/>
  <c r="AO7" i="37" s="1"/>
  <c r="P8" i="37"/>
  <c r="U7" i="37"/>
  <c r="T8" i="37" s="1"/>
  <c r="O8" i="37"/>
  <c r="AG10" i="36"/>
  <c r="AH11" i="36"/>
  <c r="AF9" i="36"/>
  <c r="AE8" i="36"/>
  <c r="N17" i="36"/>
  <c r="M17" i="36"/>
  <c r="L17" i="36"/>
  <c r="I18" i="36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AC6" i="36"/>
  <c r="AK14" i="36"/>
  <c r="AN17" i="36"/>
  <c r="AJ13" i="36"/>
  <c r="AM16" i="36"/>
  <c r="AL15" i="36"/>
  <c r="N7" i="36"/>
  <c r="N11" i="36"/>
  <c r="N15" i="36"/>
  <c r="L7" i="36"/>
  <c r="L11" i="36"/>
  <c r="L15" i="36"/>
  <c r="N8" i="36"/>
  <c r="N12" i="36"/>
  <c r="N16" i="36"/>
  <c r="L8" i="36"/>
  <c r="L12" i="36"/>
  <c r="L16" i="36"/>
  <c r="N9" i="36"/>
  <c r="N13" i="36"/>
  <c r="L9" i="36"/>
  <c r="L13" i="36"/>
  <c r="N10" i="36"/>
  <c r="N14" i="36"/>
  <c r="N6" i="36"/>
  <c r="L10" i="36"/>
  <c r="L14" i="36"/>
  <c r="L6" i="36"/>
  <c r="Q12" i="36"/>
  <c r="R12" i="36" s="1"/>
  <c r="N7" i="35"/>
  <c r="N11" i="35"/>
  <c r="N15" i="35"/>
  <c r="L9" i="35"/>
  <c r="L13" i="35"/>
  <c r="L17" i="35"/>
  <c r="N8" i="35"/>
  <c r="N12" i="35"/>
  <c r="N16" i="35"/>
  <c r="L6" i="35"/>
  <c r="L10" i="35"/>
  <c r="L14" i="35"/>
  <c r="N9" i="35"/>
  <c r="N13" i="35"/>
  <c r="N17" i="35"/>
  <c r="L7" i="35"/>
  <c r="L11" i="35"/>
  <c r="L15" i="35"/>
  <c r="N10" i="35"/>
  <c r="N14" i="35"/>
  <c r="N6" i="35"/>
  <c r="L8" i="35"/>
  <c r="L12" i="35"/>
  <c r="L16" i="35"/>
  <c r="I30" i="37"/>
  <c r="I19" i="37"/>
  <c r="Y7" i="37" l="1"/>
  <c r="Z7" i="37"/>
  <c r="AN7" i="37"/>
  <c r="V8" i="37"/>
  <c r="AO8" i="37" s="1"/>
  <c r="P9" i="37"/>
  <c r="P10" i="37" s="1"/>
  <c r="P11" i="37" s="1"/>
  <c r="P12" i="37" s="1"/>
  <c r="P13" i="37" s="1"/>
  <c r="P14" i="37" s="1"/>
  <c r="P15" i="37" s="1"/>
  <c r="P16" i="37" s="1"/>
  <c r="P17" i="37" s="1"/>
  <c r="P18" i="37" s="1"/>
  <c r="P19" i="37" s="1"/>
  <c r="P20" i="37" s="1"/>
  <c r="P21" i="37" s="1"/>
  <c r="P22" i="37" s="1"/>
  <c r="P23" i="37" s="1"/>
  <c r="P24" i="37" s="1"/>
  <c r="P25" i="37" s="1"/>
  <c r="P26" i="37" s="1"/>
  <c r="P27" i="37" s="1"/>
  <c r="P28" i="37" s="1"/>
  <c r="P29" i="37" s="1"/>
  <c r="P30" i="37" s="1"/>
  <c r="P31" i="37" s="1"/>
  <c r="P32" i="37" s="1"/>
  <c r="P33" i="37" s="1"/>
  <c r="P34" i="37" s="1"/>
  <c r="P35" i="37" s="1"/>
  <c r="P36" i="37" s="1"/>
  <c r="P37" i="37" s="1"/>
  <c r="P38" i="37" s="1"/>
  <c r="P39" i="37" s="1"/>
  <c r="P40" i="37" s="1"/>
  <c r="P41" i="37" s="1"/>
  <c r="P42" i="37" s="1"/>
  <c r="P43" i="37" s="1"/>
  <c r="P44" i="37" s="1"/>
  <c r="P45" i="37" s="1"/>
  <c r="P46" i="37" s="1"/>
  <c r="P47" i="37" s="1"/>
  <c r="P48" i="37" s="1"/>
  <c r="P49" i="37" s="1"/>
  <c r="P50" i="37" s="1"/>
  <c r="P51" i="37" s="1"/>
  <c r="P52" i="37" s="1"/>
  <c r="P53" i="37" s="1"/>
  <c r="P54" i="37" s="1"/>
  <c r="P55" i="37" s="1"/>
  <c r="P56" i="37" s="1"/>
  <c r="P57" i="37" s="1"/>
  <c r="P58" i="37" s="1"/>
  <c r="P59" i="37" s="1"/>
  <c r="P60" i="37" s="1"/>
  <c r="P61" i="37" s="1"/>
  <c r="P62" i="37" s="1"/>
  <c r="P63" i="37" s="1"/>
  <c r="P64" i="37" s="1"/>
  <c r="P65" i="37" s="1"/>
  <c r="U8" i="37"/>
  <c r="T9" i="37" s="1"/>
  <c r="O9" i="37"/>
  <c r="AZ16" i="36"/>
  <c r="AT10" i="36"/>
  <c r="AU11" i="36"/>
  <c r="AS9" i="36"/>
  <c r="AX14" i="36"/>
  <c r="AY15" i="36"/>
  <c r="AW13" i="36"/>
  <c r="P6" i="35"/>
  <c r="V6" i="35"/>
  <c r="Z6" i="35" s="1"/>
  <c r="P6" i="36"/>
  <c r="O7" i="36" s="1"/>
  <c r="AI13" i="36" s="1"/>
  <c r="AV12" i="36"/>
  <c r="BA17" i="36"/>
  <c r="AR8" i="36"/>
  <c r="AP6" i="36"/>
  <c r="V6" i="36" s="1"/>
  <c r="X6" i="36" s="1"/>
  <c r="T6" i="36"/>
  <c r="AQ7" i="36"/>
  <c r="Q13" i="36"/>
  <c r="R13" i="36" s="1"/>
  <c r="I20" i="37"/>
  <c r="I42" i="37"/>
  <c r="I31" i="37"/>
  <c r="Y8" i="37" l="1"/>
  <c r="Z8" i="37"/>
  <c r="AN8" i="37"/>
  <c r="V9" i="37"/>
  <c r="AN9" i="37" s="1"/>
  <c r="U9" i="37"/>
  <c r="T10" i="37" s="1"/>
  <c r="O10" i="37"/>
  <c r="AF10" i="36"/>
  <c r="AS10" i="36" s="1"/>
  <c r="AH12" i="36"/>
  <c r="AU12" i="36" s="1"/>
  <c r="AV13" i="36"/>
  <c r="AG11" i="36"/>
  <c r="AT11" i="36" s="1"/>
  <c r="P7" i="36"/>
  <c r="P8" i="36" s="1"/>
  <c r="P9" i="36" s="1"/>
  <c r="P10" i="36" s="1"/>
  <c r="P11" i="36" s="1"/>
  <c r="P12" i="36" s="1"/>
  <c r="P13" i="36" s="1"/>
  <c r="P14" i="36" s="1"/>
  <c r="P15" i="36" s="1"/>
  <c r="P16" i="36" s="1"/>
  <c r="P17" i="36" s="1"/>
  <c r="AD8" i="36"/>
  <c r="AQ8" i="36" s="1"/>
  <c r="U34" i="36"/>
  <c r="T34" i="36"/>
  <c r="O7" i="35"/>
  <c r="P7" i="35"/>
  <c r="U6" i="35"/>
  <c r="T7" i="35" s="1"/>
  <c r="V7" i="35" s="1"/>
  <c r="U22" i="35"/>
  <c r="T22" i="35"/>
  <c r="Y6" i="35"/>
  <c r="AC7" i="36"/>
  <c r="T7" i="36" s="1"/>
  <c r="AE9" i="36"/>
  <c r="AR9" i="36" s="1"/>
  <c r="AN18" i="36"/>
  <c r="BA18" i="36" s="1"/>
  <c r="AK15" i="36"/>
  <c r="AX15" i="36" s="1"/>
  <c r="AM17" i="36"/>
  <c r="AZ17" i="36" s="1"/>
  <c r="AJ14" i="36"/>
  <c r="AW14" i="36" s="1"/>
  <c r="AL16" i="36"/>
  <c r="AY16" i="36" s="1"/>
  <c r="Z6" i="36"/>
  <c r="Y6" i="36"/>
  <c r="Q14" i="36"/>
  <c r="R14" i="36" s="1"/>
  <c r="I32" i="37"/>
  <c r="I54" i="37"/>
  <c r="I43" i="37"/>
  <c r="I21" i="37"/>
  <c r="AO9" i="37" l="1"/>
  <c r="Z9" i="37"/>
  <c r="Y9" i="37"/>
  <c r="V10" i="37"/>
  <c r="AO10" i="37" s="1"/>
  <c r="O11" i="37"/>
  <c r="U10" i="37"/>
  <c r="T11" i="37" s="1"/>
  <c r="O8" i="36"/>
  <c r="O9" i="36"/>
  <c r="O16" i="36"/>
  <c r="O17" i="36"/>
  <c r="O14" i="36"/>
  <c r="O12" i="36"/>
  <c r="O11" i="36"/>
  <c r="O13" i="36"/>
  <c r="O15" i="36"/>
  <c r="O10" i="36"/>
  <c r="AP7" i="36"/>
  <c r="V7" i="36" s="1"/>
  <c r="X7" i="36" s="1"/>
  <c r="O8" i="35"/>
  <c r="U7" i="35"/>
  <c r="T8" i="35" s="1"/>
  <c r="V8" i="35" s="1"/>
  <c r="P8" i="35"/>
  <c r="U23" i="35"/>
  <c r="T23" i="35"/>
  <c r="Z7" i="35"/>
  <c r="Y7" i="35"/>
  <c r="Q15" i="36"/>
  <c r="R15" i="36" s="1"/>
  <c r="I44" i="37"/>
  <c r="I55" i="37"/>
  <c r="I22" i="37"/>
  <c r="I33" i="37"/>
  <c r="Y10" i="37" l="1"/>
  <c r="Z10" i="37"/>
  <c r="AN10" i="37"/>
  <c r="AF12" i="36"/>
  <c r="AS12" i="36" s="1"/>
  <c r="AI15" i="36"/>
  <c r="AV15" i="36" s="1"/>
  <c r="AJ21" i="36"/>
  <c r="AW21" i="36" s="1"/>
  <c r="AI20" i="36"/>
  <c r="AV20" i="36" s="1"/>
  <c r="AI14" i="36"/>
  <c r="AV14" i="36" s="1"/>
  <c r="AC12" i="36"/>
  <c r="AP12" i="36" s="1"/>
  <c r="AI18" i="36"/>
  <c r="AV18" i="36" s="1"/>
  <c r="AC15" i="36"/>
  <c r="AP15" i="36" s="1"/>
  <c r="AI21" i="36"/>
  <c r="AV21" i="36" s="1"/>
  <c r="AL22" i="36"/>
  <c r="AY22" i="36" s="1"/>
  <c r="AI19" i="36"/>
  <c r="AV19" i="36" s="1"/>
  <c r="AH22" i="36"/>
  <c r="AU22" i="36" s="1"/>
  <c r="AI23" i="36"/>
  <c r="AV23" i="36" s="1"/>
  <c r="AK18" i="36"/>
  <c r="AX18" i="36" s="1"/>
  <c r="AI16" i="36"/>
  <c r="AV16" i="36" s="1"/>
  <c r="AJ18" i="36"/>
  <c r="AW18" i="36" s="1"/>
  <c r="AI17" i="36"/>
  <c r="AV17" i="36" s="1"/>
  <c r="AH21" i="36"/>
  <c r="AU21" i="36" s="1"/>
  <c r="AI22" i="36"/>
  <c r="AV22" i="36" s="1"/>
  <c r="AC8" i="36"/>
  <c r="AP8" i="36" s="1"/>
  <c r="V8" i="36" s="1"/>
  <c r="X8" i="36" s="1"/>
  <c r="AN27" i="36"/>
  <c r="BA27" i="36" s="1"/>
  <c r="AN19" i="36"/>
  <c r="BA19" i="36" s="1"/>
  <c r="AL17" i="36"/>
  <c r="AY17" i="36" s="1"/>
  <c r="AJ23" i="36"/>
  <c r="AW23" i="36" s="1"/>
  <c r="AD9" i="36"/>
  <c r="AQ9" i="36" s="1"/>
  <c r="AJ15" i="36"/>
  <c r="AW15" i="36" s="1"/>
  <c r="AK16" i="36"/>
  <c r="AX16" i="36" s="1"/>
  <c r="AE11" i="36"/>
  <c r="AR11" i="36" s="1"/>
  <c r="AK17" i="36"/>
  <c r="AX17" i="36" s="1"/>
  <c r="AD17" i="36"/>
  <c r="AQ17" i="36" s="1"/>
  <c r="AL25" i="36"/>
  <c r="AY25" i="36" s="1"/>
  <c r="AC16" i="36"/>
  <c r="AP16" i="36" s="1"/>
  <c r="AM19" i="36"/>
  <c r="AZ19" i="36" s="1"/>
  <c r="AJ16" i="36"/>
  <c r="AW16" i="36" s="1"/>
  <c r="AN20" i="36"/>
  <c r="BA20" i="36" s="1"/>
  <c r="AL18" i="36"/>
  <c r="AY18" i="36" s="1"/>
  <c r="AD10" i="36"/>
  <c r="AQ10" i="36" s="1"/>
  <c r="AC9" i="36"/>
  <c r="AE10" i="36"/>
  <c r="AR10" i="36" s="1"/>
  <c r="AM18" i="36"/>
  <c r="AZ18" i="36" s="1"/>
  <c r="AG12" i="36"/>
  <c r="AT12" i="36" s="1"/>
  <c r="V11" i="37"/>
  <c r="AE18" i="36"/>
  <c r="AR18" i="36" s="1"/>
  <c r="AM26" i="36"/>
  <c r="AZ26" i="36" s="1"/>
  <c r="AK24" i="36"/>
  <c r="AX24" i="36" s="1"/>
  <c r="AH13" i="36"/>
  <c r="AU13" i="36" s="1"/>
  <c r="AF11" i="36"/>
  <c r="AS11" i="36" s="1"/>
  <c r="AM27" i="36"/>
  <c r="AZ27" i="36" s="1"/>
  <c r="AE19" i="36"/>
  <c r="AR19" i="36" s="1"/>
  <c r="AF19" i="36"/>
  <c r="AS19" i="36" s="1"/>
  <c r="AN28" i="36"/>
  <c r="BA28" i="36" s="1"/>
  <c r="V28" i="36" s="1"/>
  <c r="X28" i="36" s="1"/>
  <c r="AC17" i="36"/>
  <c r="AP17" i="36" s="1"/>
  <c r="AH14" i="36"/>
  <c r="AU14" i="36" s="1"/>
  <c r="AJ24" i="36"/>
  <c r="AW24" i="36" s="1"/>
  <c r="AK25" i="36"/>
  <c r="AX25" i="36" s="1"/>
  <c r="AD18" i="36"/>
  <c r="AQ18" i="36" s="1"/>
  <c r="AL26" i="36"/>
  <c r="AY26" i="36" s="1"/>
  <c r="AG13" i="36"/>
  <c r="AT13" i="36" s="1"/>
  <c r="AK23" i="36"/>
  <c r="AX23" i="36" s="1"/>
  <c r="AK22" i="36"/>
  <c r="AX22" i="36" s="1"/>
  <c r="AC10" i="36"/>
  <c r="AP10" i="36" s="1"/>
  <c r="AJ22" i="36"/>
  <c r="AW22" i="36" s="1"/>
  <c r="AC14" i="36"/>
  <c r="AP14" i="36" s="1"/>
  <c r="AN25" i="36"/>
  <c r="BA25" i="36" s="1"/>
  <c r="AD15" i="36"/>
  <c r="AQ15" i="36" s="1"/>
  <c r="AM24" i="36"/>
  <c r="AZ24" i="36" s="1"/>
  <c r="AM21" i="36"/>
  <c r="AZ21" i="36" s="1"/>
  <c r="AF20" i="36"/>
  <c r="AS20" i="36" s="1"/>
  <c r="AG21" i="36"/>
  <c r="AT21" i="36" s="1"/>
  <c r="AK21" i="36"/>
  <c r="AX21" i="36" s="1"/>
  <c r="AG20" i="36"/>
  <c r="AT20" i="36" s="1"/>
  <c r="AC11" i="36"/>
  <c r="AP11" i="36" s="1"/>
  <c r="AL23" i="36"/>
  <c r="AY23" i="36" s="1"/>
  <c r="AE16" i="36"/>
  <c r="AR16" i="36" s="1"/>
  <c r="AL20" i="36"/>
  <c r="AY20" i="36" s="1"/>
  <c r="AJ20" i="36"/>
  <c r="AW20" i="36" s="1"/>
  <c r="AN21" i="36"/>
  <c r="BA21" i="36" s="1"/>
  <c r="AN24" i="36"/>
  <c r="BA24" i="36" s="1"/>
  <c r="AC13" i="36"/>
  <c r="AP13" i="36" s="1"/>
  <c r="AD14" i="36"/>
  <c r="AQ14" i="36" s="1"/>
  <c r="AE15" i="36"/>
  <c r="AR15" i="36" s="1"/>
  <c r="AM23" i="36"/>
  <c r="AZ23" i="36" s="1"/>
  <c r="AL24" i="36"/>
  <c r="AY24" i="36" s="1"/>
  <c r="AD16" i="36"/>
  <c r="AQ16" i="36" s="1"/>
  <c r="AK20" i="36"/>
  <c r="AX20" i="36" s="1"/>
  <c r="AM25" i="36"/>
  <c r="AZ25" i="36" s="1"/>
  <c r="AM22" i="36"/>
  <c r="AZ22" i="36" s="1"/>
  <c r="AD13" i="36"/>
  <c r="AQ13" i="36" s="1"/>
  <c r="AL21" i="36"/>
  <c r="AY21" i="36" s="1"/>
  <c r="AE14" i="36"/>
  <c r="AR14" i="36" s="1"/>
  <c r="AE13" i="36"/>
  <c r="AR13" i="36" s="1"/>
  <c r="AE17" i="36"/>
  <c r="AR17" i="36" s="1"/>
  <c r="AG19" i="36"/>
  <c r="AT19" i="36" s="1"/>
  <c r="AF18" i="36"/>
  <c r="AS18" i="36" s="1"/>
  <c r="AH20" i="36"/>
  <c r="AU20" i="36" s="1"/>
  <c r="AN23" i="36"/>
  <c r="BA23" i="36" s="1"/>
  <c r="AG16" i="36"/>
  <c r="AT16" i="36" s="1"/>
  <c r="AF15" i="36"/>
  <c r="AS15" i="36" s="1"/>
  <c r="AH17" i="36"/>
  <c r="AU17" i="36" s="1"/>
  <c r="AJ19" i="36"/>
  <c r="AW19" i="36" s="1"/>
  <c r="AG14" i="36"/>
  <c r="AT14" i="36" s="1"/>
  <c r="AF13" i="36"/>
  <c r="AS13" i="36" s="1"/>
  <c r="AH15" i="36"/>
  <c r="AU15" i="36" s="1"/>
  <c r="AG15" i="36"/>
  <c r="AT15" i="36" s="1"/>
  <c r="AF14" i="36"/>
  <c r="AS14" i="36" s="1"/>
  <c r="AH16" i="36"/>
  <c r="AU16" i="36" s="1"/>
  <c r="AK19" i="36"/>
  <c r="AX19" i="36" s="1"/>
  <c r="AD12" i="36"/>
  <c r="AQ12" i="36" s="1"/>
  <c r="AN22" i="36"/>
  <c r="BA22" i="36" s="1"/>
  <c r="AN26" i="36"/>
  <c r="BA26" i="36" s="1"/>
  <c r="AG17" i="36"/>
  <c r="AT17" i="36" s="1"/>
  <c r="AF16" i="36"/>
  <c r="AS16" i="36" s="1"/>
  <c r="AH18" i="36"/>
  <c r="AU18" i="36" s="1"/>
  <c r="AH19" i="36"/>
  <c r="AU19" i="36" s="1"/>
  <c r="AG18" i="36"/>
  <c r="AT18" i="36" s="1"/>
  <c r="AF17" i="36"/>
  <c r="AS17" i="36" s="1"/>
  <c r="Y7" i="36"/>
  <c r="U35" i="36"/>
  <c r="T35" i="36"/>
  <c r="Z7" i="36"/>
  <c r="AM20" i="36"/>
  <c r="AZ20" i="36" s="1"/>
  <c r="AE12" i="36"/>
  <c r="AR12" i="36" s="1"/>
  <c r="AJ17" i="36"/>
  <c r="AW17" i="36" s="1"/>
  <c r="AD11" i="36"/>
  <c r="AQ11" i="36" s="1"/>
  <c r="AL19" i="36"/>
  <c r="AY19" i="36" s="1"/>
  <c r="U24" i="35"/>
  <c r="T24" i="35"/>
  <c r="Y8" i="35"/>
  <c r="Z8" i="35"/>
  <c r="O9" i="35"/>
  <c r="P9" i="35"/>
  <c r="U8" i="35"/>
  <c r="T9" i="35" s="1"/>
  <c r="V9" i="35" s="1"/>
  <c r="Q16" i="36"/>
  <c r="R16" i="36" s="1"/>
  <c r="I23" i="37"/>
  <c r="I56" i="37"/>
  <c r="I45" i="37"/>
  <c r="I34" i="37"/>
  <c r="V27" i="36" l="1"/>
  <c r="X27" i="36" s="1"/>
  <c r="T8" i="36"/>
  <c r="T9" i="36"/>
  <c r="V10" i="36"/>
  <c r="Y10" i="36" s="1"/>
  <c r="AP9" i="36"/>
  <c r="V9" i="36" s="1"/>
  <c r="X9" i="36" s="1"/>
  <c r="O12" i="37"/>
  <c r="U11" i="37"/>
  <c r="T12" i="37" s="1"/>
  <c r="AO11" i="37"/>
  <c r="AN11" i="37"/>
  <c r="Z11" i="37"/>
  <c r="Y11" i="37"/>
  <c r="T28" i="36"/>
  <c r="T27" i="36"/>
  <c r="V26" i="36"/>
  <c r="X26" i="36" s="1"/>
  <c r="V25" i="36"/>
  <c r="X25" i="36" s="1"/>
  <c r="T10" i="36"/>
  <c r="T25" i="36"/>
  <c r="V24" i="36"/>
  <c r="Y24" i="36" s="1"/>
  <c r="V11" i="36"/>
  <c r="X11" i="36" s="1"/>
  <c r="T23" i="36"/>
  <c r="V23" i="36"/>
  <c r="U51" i="36" s="1"/>
  <c r="T24" i="36"/>
  <c r="V14" i="36"/>
  <c r="T42" i="36" s="1"/>
  <c r="V13" i="36"/>
  <c r="Z13" i="36" s="1"/>
  <c r="V21" i="36"/>
  <c r="U49" i="36" s="1"/>
  <c r="T21" i="36"/>
  <c r="T14" i="36"/>
  <c r="V22" i="36"/>
  <c r="U50" i="36" s="1"/>
  <c r="T26" i="36"/>
  <c r="V20" i="36"/>
  <c r="Z20" i="36" s="1"/>
  <c r="V16" i="36"/>
  <c r="Z16" i="36" s="1"/>
  <c r="V18" i="36"/>
  <c r="Y18" i="36" s="1"/>
  <c r="V12" i="36"/>
  <c r="Z12" i="36" s="1"/>
  <c r="V19" i="36"/>
  <c r="T47" i="36" s="1"/>
  <c r="T16" i="36"/>
  <c r="V17" i="36"/>
  <c r="X17" i="36" s="1"/>
  <c r="V15" i="36"/>
  <c r="X15" i="36" s="1"/>
  <c r="T19" i="36"/>
  <c r="T22" i="36"/>
  <c r="T18" i="36"/>
  <c r="T13" i="36"/>
  <c r="T17" i="36"/>
  <c r="T20" i="36"/>
  <c r="T11" i="36"/>
  <c r="T15" i="36"/>
  <c r="Z24" i="36"/>
  <c r="T12" i="36"/>
  <c r="U56" i="36"/>
  <c r="T56" i="36"/>
  <c r="U36" i="36"/>
  <c r="T36" i="36"/>
  <c r="T55" i="36"/>
  <c r="U55" i="36"/>
  <c r="U25" i="35"/>
  <c r="T25" i="35"/>
  <c r="Z9" i="35"/>
  <c r="Y9" i="35"/>
  <c r="O10" i="35"/>
  <c r="U9" i="35"/>
  <c r="T10" i="35" s="1"/>
  <c r="V10" i="35" s="1"/>
  <c r="P10" i="35"/>
  <c r="Z27" i="36"/>
  <c r="Y27" i="36"/>
  <c r="Z8" i="36"/>
  <c r="Y8" i="36"/>
  <c r="Z28" i="36"/>
  <c r="Y28" i="36"/>
  <c r="Q17" i="36"/>
  <c r="R17" i="36" s="1"/>
  <c r="I35" i="37"/>
  <c r="I46" i="37"/>
  <c r="I24" i="37"/>
  <c r="I57" i="37"/>
  <c r="U38" i="36" l="1"/>
  <c r="T38" i="36"/>
  <c r="Z26" i="36"/>
  <c r="U37" i="36"/>
  <c r="X10" i="36"/>
  <c r="Y26" i="36"/>
  <c r="T37" i="36"/>
  <c r="Y9" i="36"/>
  <c r="Z10" i="36"/>
  <c r="Z9" i="36"/>
  <c r="U54" i="36"/>
  <c r="T54" i="36"/>
  <c r="V12" i="37"/>
  <c r="O13" i="37"/>
  <c r="U12" i="37"/>
  <c r="T13" i="37" s="1"/>
  <c r="Z25" i="36"/>
  <c r="U53" i="36"/>
  <c r="Y25" i="36"/>
  <c r="T52" i="36"/>
  <c r="X24" i="36"/>
  <c r="U52" i="36"/>
  <c r="T53" i="36"/>
  <c r="U44" i="36"/>
  <c r="X16" i="36"/>
  <c r="Y11" i="36"/>
  <c r="X14" i="36"/>
  <c r="Y16" i="36"/>
  <c r="U42" i="36"/>
  <c r="Y14" i="36"/>
  <c r="U39" i="36"/>
  <c r="Z14" i="36"/>
  <c r="T39" i="36"/>
  <c r="T44" i="36"/>
  <c r="Z11" i="36"/>
  <c r="X21" i="36"/>
  <c r="T51" i="36"/>
  <c r="Z21" i="36"/>
  <c r="Z23" i="36"/>
  <c r="X23" i="36"/>
  <c r="Y23" i="36"/>
  <c r="T49" i="36"/>
  <c r="Y21" i="36"/>
  <c r="X20" i="36"/>
  <c r="X19" i="36"/>
  <c r="Z19" i="36"/>
  <c r="T48" i="36"/>
  <c r="Y19" i="36"/>
  <c r="U47" i="36"/>
  <c r="Y20" i="36"/>
  <c r="U48" i="36"/>
  <c r="Z17" i="36"/>
  <c r="T41" i="36"/>
  <c r="Y13" i="36"/>
  <c r="U41" i="36"/>
  <c r="Y22" i="36"/>
  <c r="X13" i="36"/>
  <c r="X22" i="36"/>
  <c r="Y17" i="36"/>
  <c r="Z22" i="36"/>
  <c r="U46" i="36"/>
  <c r="T50" i="36"/>
  <c r="T40" i="36"/>
  <c r="T43" i="36"/>
  <c r="U40" i="36"/>
  <c r="X12" i="36"/>
  <c r="Y12" i="36"/>
  <c r="T46" i="36"/>
  <c r="Z18" i="36"/>
  <c r="X18" i="36"/>
  <c r="U45" i="36"/>
  <c r="T45" i="36"/>
  <c r="Y15" i="36"/>
  <c r="Z15" i="36"/>
  <c r="U43" i="36"/>
  <c r="Z10" i="35"/>
  <c r="Y10" i="35"/>
  <c r="U26" i="35"/>
  <c r="T26" i="35"/>
  <c r="U10" i="35"/>
  <c r="T11" i="35" s="1"/>
  <c r="V11" i="35" s="1"/>
  <c r="O11" i="35"/>
  <c r="P11" i="35"/>
  <c r="Q18" i="36"/>
  <c r="R18" i="36" s="1"/>
  <c r="I25" i="37"/>
  <c r="I58" i="37"/>
  <c r="I47" i="37"/>
  <c r="I36" i="37"/>
  <c r="AO12" i="37" l="1"/>
  <c r="AN12" i="37"/>
  <c r="Z12" i="37"/>
  <c r="Y12" i="37"/>
  <c r="V13" i="37"/>
  <c r="O14" i="37"/>
  <c r="U13" i="37"/>
  <c r="T14" i="37" s="1"/>
  <c r="U11" i="35"/>
  <c r="T12" i="35" s="1"/>
  <c r="V12" i="35" s="1"/>
  <c r="P12" i="35"/>
  <c r="O12" i="35"/>
  <c r="U27" i="35"/>
  <c r="T27" i="35"/>
  <c r="Z11" i="35"/>
  <c r="Y11" i="35"/>
  <c r="Q19" i="36"/>
  <c r="I26" i="37"/>
  <c r="I37" i="37"/>
  <c r="I59" i="37"/>
  <c r="I48" i="37"/>
  <c r="V14" i="37" l="1"/>
  <c r="O15" i="37"/>
  <c r="U14" i="37"/>
  <c r="T15" i="37" s="1"/>
  <c r="AO13" i="37"/>
  <c r="AN13" i="37"/>
  <c r="Z13" i="37"/>
  <c r="Y13" i="37"/>
  <c r="R19" i="36"/>
  <c r="O13" i="35"/>
  <c r="U12" i="35"/>
  <c r="T13" i="35" s="1"/>
  <c r="V13" i="35" s="1"/>
  <c r="P13" i="35"/>
  <c r="Z12" i="35"/>
  <c r="U28" i="35"/>
  <c r="Y12" i="35"/>
  <c r="T28" i="35"/>
  <c r="Q20" i="36"/>
  <c r="R20" i="36" s="1"/>
  <c r="I38" i="37"/>
  <c r="I49" i="37"/>
  <c r="I60" i="37"/>
  <c r="I27" i="37"/>
  <c r="V15" i="37" l="1"/>
  <c r="O16" i="37"/>
  <c r="U15" i="37"/>
  <c r="T16" i="37" s="1"/>
  <c r="AO14" i="37"/>
  <c r="AN14" i="37"/>
  <c r="Y14" i="37"/>
  <c r="Z14" i="37"/>
  <c r="U29" i="35"/>
  <c r="Y13" i="35"/>
  <c r="T29" i="35"/>
  <c r="Z13" i="35"/>
  <c r="O14" i="35"/>
  <c r="U13" i="35"/>
  <c r="T14" i="35" s="1"/>
  <c r="V14" i="35" s="1"/>
  <c r="P14" i="35"/>
  <c r="Q21" i="36"/>
  <c r="I50" i="37"/>
  <c r="I39" i="37"/>
  <c r="I28" i="37"/>
  <c r="I61" i="37"/>
  <c r="V16" i="37" l="1"/>
  <c r="O17" i="37"/>
  <c r="U16" i="37"/>
  <c r="T17" i="37" s="1"/>
  <c r="AO15" i="37"/>
  <c r="AN15" i="37"/>
  <c r="Z15" i="37"/>
  <c r="Y15" i="37"/>
  <c r="R21" i="36"/>
  <c r="U14" i="35"/>
  <c r="T15" i="35" s="1"/>
  <c r="V15" i="35" s="1"/>
  <c r="P15" i="35"/>
  <c r="O15" i="35"/>
  <c r="U30" i="35"/>
  <c r="Z14" i="35"/>
  <c r="T30" i="35"/>
  <c r="Y14" i="35"/>
  <c r="Q22" i="36"/>
  <c r="R22" i="36" s="1"/>
  <c r="I40" i="37"/>
  <c r="I62" i="37"/>
  <c r="I51" i="37"/>
  <c r="I29" i="37"/>
  <c r="V17" i="37" l="1"/>
  <c r="O18" i="37"/>
  <c r="U17" i="37"/>
  <c r="T18" i="37" s="1"/>
  <c r="AO16" i="37"/>
  <c r="AN16" i="37"/>
  <c r="Y16" i="37"/>
  <c r="Z16" i="37"/>
  <c r="P16" i="35"/>
  <c r="U15" i="35"/>
  <c r="T16" i="35" s="1"/>
  <c r="V16" i="35" s="1"/>
  <c r="O16" i="35"/>
  <c r="T31" i="35"/>
  <c r="Y15" i="35"/>
  <c r="U31" i="35"/>
  <c r="Z15" i="35"/>
  <c r="Q23" i="36"/>
  <c r="R23" i="36" s="1"/>
  <c r="I41" i="37"/>
  <c r="I52" i="37"/>
  <c r="I63" i="37"/>
  <c r="V18" i="37" l="1"/>
  <c r="O19" i="37"/>
  <c r="U18" i="37"/>
  <c r="T19" i="37" s="1"/>
  <c r="AO17" i="37"/>
  <c r="AN17" i="37"/>
  <c r="Z17" i="37"/>
  <c r="Y17" i="37"/>
  <c r="T32" i="35"/>
  <c r="U32" i="35"/>
  <c r="Y16" i="35"/>
  <c r="Z16" i="35"/>
  <c r="U16" i="35"/>
  <c r="T17" i="35" s="1"/>
  <c r="V17" i="35" s="1"/>
  <c r="P17" i="35"/>
  <c r="U17" i="35" s="1"/>
  <c r="O17" i="35"/>
  <c r="F5" i="35" s="1"/>
  <c r="Q24" i="36"/>
  <c r="R24" i="36" s="1"/>
  <c r="I53" i="37"/>
  <c r="I64" i="37"/>
  <c r="V19" i="37" l="1"/>
  <c r="O20" i="37"/>
  <c r="U19" i="37"/>
  <c r="T20" i="37" s="1"/>
  <c r="AO18" i="37"/>
  <c r="AN18" i="37"/>
  <c r="Z18" i="37"/>
  <c r="Y18" i="37"/>
  <c r="F8" i="35"/>
  <c r="F11" i="35"/>
  <c r="F10" i="35"/>
  <c r="F9" i="35"/>
  <c r="T33" i="35"/>
  <c r="Z17" i="35"/>
  <c r="F6" i="35" s="1"/>
  <c r="U33" i="35"/>
  <c r="Y17" i="35"/>
  <c r="F12" i="35" s="1"/>
  <c r="Q25" i="36"/>
  <c r="R25" i="36" s="1"/>
  <c r="I65" i="37"/>
  <c r="V20" i="37" l="1"/>
  <c r="O21" i="37"/>
  <c r="U20" i="37"/>
  <c r="T21" i="37" s="1"/>
  <c r="AO19" i="37"/>
  <c r="AN19" i="37"/>
  <c r="Z19" i="37"/>
  <c r="Y19" i="37"/>
  <c r="F16" i="35"/>
  <c r="F15" i="35"/>
  <c r="Q26" i="36"/>
  <c r="R26" i="36" s="1"/>
  <c r="AO20" i="37" l="1"/>
  <c r="AN20" i="37"/>
  <c r="Y20" i="37"/>
  <c r="Z20" i="37"/>
  <c r="V21" i="37"/>
  <c r="O22" i="37"/>
  <c r="U21" i="37"/>
  <c r="T22" i="37" s="1"/>
  <c r="F17" i="35"/>
  <c r="L28" i="35" s="1"/>
  <c r="Q27" i="36"/>
  <c r="R27" i="36" s="1"/>
  <c r="V22" i="37" l="1"/>
  <c r="O23" i="37"/>
  <c r="U22" i="37"/>
  <c r="T23" i="37" s="1"/>
  <c r="AO21" i="37"/>
  <c r="AN21" i="37"/>
  <c r="Y21" i="37"/>
  <c r="Z21" i="37"/>
  <c r="L33" i="35"/>
  <c r="N33" i="35" s="1"/>
  <c r="L22" i="35"/>
  <c r="P22" i="35" s="1"/>
  <c r="H6" i="35"/>
  <c r="L32" i="35"/>
  <c r="N32" i="35" s="1"/>
  <c r="L24" i="35"/>
  <c r="O24" i="35" s="1"/>
  <c r="L23" i="35"/>
  <c r="N23" i="35" s="1"/>
  <c r="L31" i="35"/>
  <c r="P31" i="35" s="1"/>
  <c r="L30" i="35"/>
  <c r="P30" i="35" s="1"/>
  <c r="L29" i="35"/>
  <c r="P29" i="35" s="1"/>
  <c r="L26" i="35"/>
  <c r="O26" i="35" s="1"/>
  <c r="F18" i="35"/>
  <c r="L27" i="35"/>
  <c r="N27" i="35" s="1"/>
  <c r="L25" i="35"/>
  <c r="N25" i="35" s="1"/>
  <c r="N22" i="35"/>
  <c r="O28" i="35"/>
  <c r="P28" i="35"/>
  <c r="N28" i="35"/>
  <c r="Q28" i="36"/>
  <c r="R28" i="36" s="1"/>
  <c r="N24" i="35" l="1"/>
  <c r="O33" i="35"/>
  <c r="V23" i="37"/>
  <c r="O24" i="37"/>
  <c r="U23" i="37"/>
  <c r="T24" i="37" s="1"/>
  <c r="AO22" i="37"/>
  <c r="AN22" i="37"/>
  <c r="Z22" i="37"/>
  <c r="Y22" i="37"/>
  <c r="O22" i="35"/>
  <c r="R22" i="35" s="1"/>
  <c r="S22" i="35" s="1"/>
  <c r="V22" i="35" s="1"/>
  <c r="P26" i="35"/>
  <c r="O23" i="35"/>
  <c r="P23" i="35"/>
  <c r="N26" i="35"/>
  <c r="O31" i="35"/>
  <c r="N29" i="35"/>
  <c r="P27" i="35"/>
  <c r="N30" i="35"/>
  <c r="N31" i="35"/>
  <c r="O27" i="35"/>
  <c r="O30" i="35"/>
  <c r="P32" i="35"/>
  <c r="O32" i="35"/>
  <c r="P33" i="35"/>
  <c r="G25" i="35"/>
  <c r="O25" i="35"/>
  <c r="O29" i="35"/>
  <c r="P25" i="35"/>
  <c r="P24" i="35"/>
  <c r="R28" i="35"/>
  <c r="S28" i="35" s="1"/>
  <c r="V28" i="35" s="1"/>
  <c r="Q29" i="36"/>
  <c r="R24" i="35" l="1"/>
  <c r="S24" i="35" s="1"/>
  <c r="V24" i="35" s="1"/>
  <c r="R33" i="35"/>
  <c r="S33" i="35" s="1"/>
  <c r="V33" i="35" s="1"/>
  <c r="V24" i="37"/>
  <c r="O25" i="37"/>
  <c r="U24" i="37"/>
  <c r="T25" i="37" s="1"/>
  <c r="AO23" i="37"/>
  <c r="AN23" i="37"/>
  <c r="Z23" i="37"/>
  <c r="Y23" i="37"/>
  <c r="R26" i="35"/>
  <c r="S26" i="35" s="1"/>
  <c r="V26" i="35" s="1"/>
  <c r="R23" i="35"/>
  <c r="S23" i="35" s="1"/>
  <c r="V23" i="35" s="1"/>
  <c r="R31" i="35"/>
  <c r="S31" i="35" s="1"/>
  <c r="V31" i="35" s="1"/>
  <c r="R29" i="36"/>
  <c r="F5" i="36"/>
  <c r="R29" i="35"/>
  <c r="S29" i="35" s="1"/>
  <c r="V29" i="35" s="1"/>
  <c r="R27" i="35"/>
  <c r="S27" i="35" s="1"/>
  <c r="V27" i="35" s="1"/>
  <c r="R30" i="35"/>
  <c r="S30" i="35" s="1"/>
  <c r="V30" i="35" s="1"/>
  <c r="R25" i="35"/>
  <c r="S25" i="35" s="1"/>
  <c r="V25" i="35" s="1"/>
  <c r="R32" i="35"/>
  <c r="S32" i="35" s="1"/>
  <c r="V32" i="35" s="1"/>
  <c r="V25" i="37" l="1"/>
  <c r="O26" i="37"/>
  <c r="U25" i="37"/>
  <c r="T26" i="37" s="1"/>
  <c r="AO24" i="37"/>
  <c r="AN24" i="37"/>
  <c r="Z24" i="37"/>
  <c r="Y24" i="37"/>
  <c r="F8" i="36"/>
  <c r="F9" i="36"/>
  <c r="F10" i="36"/>
  <c r="F11" i="36"/>
  <c r="F6" i="36"/>
  <c r="F12" i="36"/>
  <c r="G24" i="35"/>
  <c r="G23" i="35"/>
  <c r="V26" i="37" l="1"/>
  <c r="O27" i="37"/>
  <c r="U26" i="37"/>
  <c r="T27" i="37" s="1"/>
  <c r="AO25" i="37"/>
  <c r="AN25" i="37"/>
  <c r="Z25" i="37"/>
  <c r="Y25" i="37"/>
  <c r="F16" i="36"/>
  <c r="F15" i="36"/>
  <c r="V27" i="37" l="1"/>
  <c r="O28" i="37"/>
  <c r="U27" i="37"/>
  <c r="T28" i="37" s="1"/>
  <c r="AO26" i="37"/>
  <c r="AN26" i="37"/>
  <c r="Z26" i="37"/>
  <c r="Y26" i="37"/>
  <c r="F17" i="36"/>
  <c r="F18" i="36" s="1"/>
  <c r="V28" i="37" l="1"/>
  <c r="O29" i="37"/>
  <c r="U28" i="37"/>
  <c r="T29" i="37" s="1"/>
  <c r="AO27" i="37"/>
  <c r="AN27" i="37"/>
  <c r="Z27" i="37"/>
  <c r="Y27" i="37"/>
  <c r="L47" i="36"/>
  <c r="P47" i="36" s="1"/>
  <c r="L39" i="36"/>
  <c r="N39" i="36" s="1"/>
  <c r="L45" i="36"/>
  <c r="N45" i="36" s="1"/>
  <c r="L56" i="36"/>
  <c r="O56" i="36" s="1"/>
  <c r="L48" i="36"/>
  <c r="P48" i="36" s="1"/>
  <c r="L53" i="36"/>
  <c r="P53" i="36" s="1"/>
  <c r="L42" i="36"/>
  <c r="P42" i="36" s="1"/>
  <c r="L51" i="36"/>
  <c r="N51" i="36" s="1"/>
  <c r="L34" i="36"/>
  <c r="L35" i="36"/>
  <c r="N35" i="36" s="1"/>
  <c r="L50" i="36"/>
  <c r="P50" i="36" s="1"/>
  <c r="L41" i="36"/>
  <c r="N41" i="36" s="1"/>
  <c r="L37" i="36"/>
  <c r="O37" i="36" s="1"/>
  <c r="L44" i="36"/>
  <c r="P44" i="36" s="1"/>
  <c r="L49" i="36"/>
  <c r="P49" i="36" s="1"/>
  <c r="L54" i="36"/>
  <c r="N54" i="36" s="1"/>
  <c r="L43" i="36"/>
  <c r="N43" i="36" s="1"/>
  <c r="L52" i="36"/>
  <c r="N52" i="36" s="1"/>
  <c r="H6" i="36"/>
  <c r="L55" i="36"/>
  <c r="P55" i="36" s="1"/>
  <c r="L46" i="36"/>
  <c r="N46" i="36" s="1"/>
  <c r="L36" i="36"/>
  <c r="P36" i="36" s="1"/>
  <c r="L40" i="36"/>
  <c r="N40" i="36" s="1"/>
  <c r="L38" i="36"/>
  <c r="P38" i="36" s="1"/>
  <c r="V29" i="37" l="1"/>
  <c r="O30" i="37"/>
  <c r="U29" i="37"/>
  <c r="T30" i="37" s="1"/>
  <c r="AO28" i="37"/>
  <c r="AN28" i="37"/>
  <c r="Z28" i="37"/>
  <c r="Y28" i="37"/>
  <c r="O35" i="36"/>
  <c r="O39" i="36"/>
  <c r="O53" i="36"/>
  <c r="P39" i="36"/>
  <c r="P35" i="36"/>
  <c r="P45" i="36"/>
  <c r="N49" i="36"/>
  <c r="N42" i="36"/>
  <c r="N47" i="36"/>
  <c r="O47" i="36"/>
  <c r="O42" i="36"/>
  <c r="O51" i="36"/>
  <c r="O40" i="36"/>
  <c r="O50" i="36"/>
  <c r="N50" i="36"/>
  <c r="O45" i="36"/>
  <c r="N44" i="36"/>
  <c r="O49" i="36"/>
  <c r="N53" i="36"/>
  <c r="R53" i="36" s="1"/>
  <c r="S53" i="36" s="1"/>
  <c r="V53" i="36" s="1"/>
  <c r="O44" i="36"/>
  <c r="O36" i="36"/>
  <c r="O52" i="36"/>
  <c r="H37" i="36"/>
  <c r="P52" i="36"/>
  <c r="O38" i="36"/>
  <c r="P51" i="36"/>
  <c r="P41" i="36"/>
  <c r="P56" i="36"/>
  <c r="N38" i="36"/>
  <c r="P40" i="36"/>
  <c r="N56" i="36"/>
  <c r="N48" i="36"/>
  <c r="N55" i="36"/>
  <c r="O54" i="36"/>
  <c r="O55" i="36"/>
  <c r="O41" i="36"/>
  <c r="O48" i="36"/>
  <c r="P54" i="36"/>
  <c r="O43" i="36"/>
  <c r="O34" i="36"/>
  <c r="P34" i="36"/>
  <c r="N34" i="36"/>
  <c r="P46" i="36"/>
  <c r="O46" i="36"/>
  <c r="P37" i="36"/>
  <c r="N37" i="36"/>
  <c r="P43" i="36"/>
  <c r="N36" i="36"/>
  <c r="R35" i="36"/>
  <c r="S35" i="36" s="1"/>
  <c r="V35" i="36" s="1"/>
  <c r="R38" i="36" l="1"/>
  <c r="S38" i="36" s="1"/>
  <c r="V38" i="36" s="1"/>
  <c r="V30" i="37"/>
  <c r="O31" i="37"/>
  <c r="U30" i="37"/>
  <c r="T31" i="37" s="1"/>
  <c r="AO29" i="37"/>
  <c r="AN29" i="37"/>
  <c r="Z29" i="37"/>
  <c r="Y29" i="37"/>
  <c r="R45" i="36"/>
  <c r="S45" i="36" s="1"/>
  <c r="V45" i="36" s="1"/>
  <c r="R39" i="36"/>
  <c r="S39" i="36" s="1"/>
  <c r="V39" i="36" s="1"/>
  <c r="R42" i="36"/>
  <c r="S42" i="36" s="1"/>
  <c r="V42" i="36" s="1"/>
  <c r="R47" i="36"/>
  <c r="S47" i="36" s="1"/>
  <c r="V47" i="36" s="1"/>
  <c r="R50" i="36"/>
  <c r="S50" i="36" s="1"/>
  <c r="V50" i="36" s="1"/>
  <c r="R49" i="36"/>
  <c r="S49" i="36" s="1"/>
  <c r="V49" i="36" s="1"/>
  <c r="R44" i="36"/>
  <c r="S44" i="36" s="1"/>
  <c r="V44" i="36" s="1"/>
  <c r="R40" i="36"/>
  <c r="S40" i="36" s="1"/>
  <c r="V40" i="36" s="1"/>
  <c r="R51" i="36"/>
  <c r="S51" i="36" s="1"/>
  <c r="V51" i="36" s="1"/>
  <c r="R48" i="36"/>
  <c r="S48" i="36" s="1"/>
  <c r="V48" i="36" s="1"/>
  <c r="R41" i="36"/>
  <c r="S41" i="36" s="1"/>
  <c r="V41" i="36" s="1"/>
  <c r="R36" i="36"/>
  <c r="S36" i="36" s="1"/>
  <c r="V36" i="36" s="1"/>
  <c r="R56" i="36"/>
  <c r="S56" i="36" s="1"/>
  <c r="V56" i="36" s="1"/>
  <c r="R52" i="36"/>
  <c r="S52" i="36" s="1"/>
  <c r="V52" i="36" s="1"/>
  <c r="R54" i="36"/>
  <c r="S54" i="36" s="1"/>
  <c r="V54" i="36" s="1"/>
  <c r="R34" i="36"/>
  <c r="S34" i="36" s="1"/>
  <c r="V34" i="36" s="1"/>
  <c r="R37" i="36"/>
  <c r="S37" i="36" s="1"/>
  <c r="V37" i="36" s="1"/>
  <c r="R55" i="36"/>
  <c r="S55" i="36" s="1"/>
  <c r="V55" i="36" s="1"/>
  <c r="R46" i="36"/>
  <c r="S46" i="36" s="1"/>
  <c r="V46" i="36" s="1"/>
  <c r="R43" i="36"/>
  <c r="S43" i="36" s="1"/>
  <c r="V43" i="36" s="1"/>
  <c r="G41" i="36" l="1"/>
  <c r="V31" i="37"/>
  <c r="O32" i="37"/>
  <c r="U31" i="37"/>
  <c r="T32" i="37" s="1"/>
  <c r="AO30" i="37"/>
  <c r="AN30" i="37"/>
  <c r="Z30" i="37"/>
  <c r="Y30" i="37"/>
  <c r="H36" i="36"/>
  <c r="H35" i="36"/>
  <c r="V32" i="37" l="1"/>
  <c r="O33" i="37"/>
  <c r="U32" i="37"/>
  <c r="T33" i="37" s="1"/>
  <c r="AO31" i="37"/>
  <c r="AN31" i="37"/>
  <c r="Z31" i="37"/>
  <c r="Y31" i="37"/>
  <c r="V33" i="37" l="1"/>
  <c r="AO32" i="37"/>
  <c r="AN32" i="37"/>
  <c r="Y32" i="37"/>
  <c r="Z32" i="37"/>
  <c r="O34" i="37"/>
  <c r="U33" i="37"/>
  <c r="T34" i="37" s="1"/>
  <c r="V34" i="37" l="1"/>
  <c r="O35" i="37"/>
  <c r="U34" i="37"/>
  <c r="T35" i="37" s="1"/>
  <c r="AO33" i="37"/>
  <c r="AN33" i="37"/>
  <c r="Z33" i="37"/>
  <c r="Y33" i="37"/>
  <c r="V35" i="37" l="1"/>
  <c r="O36" i="37"/>
  <c r="U35" i="37"/>
  <c r="T36" i="37" s="1"/>
  <c r="AO34" i="37"/>
  <c r="AN34" i="37"/>
  <c r="Z34" i="37"/>
  <c r="Y34" i="37"/>
  <c r="V36" i="37" l="1"/>
  <c r="O37" i="37"/>
  <c r="U36" i="37"/>
  <c r="T37" i="37" s="1"/>
  <c r="AO35" i="37"/>
  <c r="AN35" i="37"/>
  <c r="Z35" i="37"/>
  <c r="Y35" i="37"/>
  <c r="V37" i="37" l="1"/>
  <c r="O38" i="37"/>
  <c r="U37" i="37"/>
  <c r="T38" i="37" s="1"/>
  <c r="AO36" i="37"/>
  <c r="AN36" i="37"/>
  <c r="Y36" i="37"/>
  <c r="Z36" i="37"/>
  <c r="V38" i="37" l="1"/>
  <c r="O39" i="37"/>
  <c r="U38" i="37"/>
  <c r="T39" i="37" s="1"/>
  <c r="AO37" i="37"/>
  <c r="AN37" i="37"/>
  <c r="Y37" i="37"/>
  <c r="Z37" i="37"/>
  <c r="V39" i="37" l="1"/>
  <c r="O40" i="37"/>
  <c r="U39" i="37"/>
  <c r="T40" i="37" s="1"/>
  <c r="AO38" i="37"/>
  <c r="AN38" i="37"/>
  <c r="Z38" i="37"/>
  <c r="Y38" i="37"/>
  <c r="V40" i="37" l="1"/>
  <c r="O41" i="37"/>
  <c r="U40" i="37"/>
  <c r="T41" i="37" s="1"/>
  <c r="AO39" i="37"/>
  <c r="AN39" i="37"/>
  <c r="Z39" i="37"/>
  <c r="Y39" i="37"/>
  <c r="V41" i="37" l="1"/>
  <c r="O42" i="37"/>
  <c r="U41" i="37"/>
  <c r="T42" i="37" s="1"/>
  <c r="AO40" i="37"/>
  <c r="AN40" i="37"/>
  <c r="Z40" i="37"/>
  <c r="Y40" i="37"/>
  <c r="V42" i="37" l="1"/>
  <c r="O43" i="37"/>
  <c r="U42" i="37"/>
  <c r="T43" i="37" s="1"/>
  <c r="AO41" i="37"/>
  <c r="AN41" i="37"/>
  <c r="Z41" i="37"/>
  <c r="Y41" i="37"/>
  <c r="V43" i="37" l="1"/>
  <c r="O44" i="37"/>
  <c r="U43" i="37"/>
  <c r="T44" i="37" s="1"/>
  <c r="AO42" i="37"/>
  <c r="AN42" i="37"/>
  <c r="Z42" i="37"/>
  <c r="Y42" i="37"/>
  <c r="V44" i="37" l="1"/>
  <c r="O45" i="37"/>
  <c r="U44" i="37"/>
  <c r="T45" i="37" s="1"/>
  <c r="AO43" i="37"/>
  <c r="AN43" i="37"/>
  <c r="Z43" i="37"/>
  <c r="Y43" i="37"/>
  <c r="V45" i="37" l="1"/>
  <c r="O46" i="37"/>
  <c r="U45" i="37"/>
  <c r="T46" i="37" s="1"/>
  <c r="AO44" i="37"/>
  <c r="AN44" i="37"/>
  <c r="Z44" i="37"/>
  <c r="Y44" i="37"/>
  <c r="V46" i="37" l="1"/>
  <c r="O47" i="37"/>
  <c r="U46" i="37"/>
  <c r="T47" i="37" s="1"/>
  <c r="AO45" i="37"/>
  <c r="AN45" i="37"/>
  <c r="Z45" i="37"/>
  <c r="Y45" i="37"/>
  <c r="V47" i="37" l="1"/>
  <c r="O48" i="37"/>
  <c r="U47" i="37"/>
  <c r="T48" i="37" s="1"/>
  <c r="AO46" i="37"/>
  <c r="AN46" i="37"/>
  <c r="Z46" i="37"/>
  <c r="Y46" i="37"/>
  <c r="V48" i="37" l="1"/>
  <c r="AO47" i="37"/>
  <c r="AN47" i="37"/>
  <c r="Z47" i="37"/>
  <c r="Y47" i="37"/>
  <c r="O49" i="37"/>
  <c r="U48" i="37"/>
  <c r="T49" i="37" s="1"/>
  <c r="V49" i="37" l="1"/>
  <c r="O50" i="37"/>
  <c r="U49" i="37"/>
  <c r="T50" i="37" s="1"/>
  <c r="AO48" i="37"/>
  <c r="AN48" i="37"/>
  <c r="Y48" i="37"/>
  <c r="Z48" i="37"/>
  <c r="V50" i="37" l="1"/>
  <c r="O51" i="37"/>
  <c r="U50" i="37"/>
  <c r="T51" i="37" s="1"/>
  <c r="AO49" i="37"/>
  <c r="AN49" i="37"/>
  <c r="Z49" i="37"/>
  <c r="Y49" i="37"/>
  <c r="V51" i="37" l="1"/>
  <c r="O52" i="37"/>
  <c r="U51" i="37"/>
  <c r="T52" i="37" s="1"/>
  <c r="AO50" i="37"/>
  <c r="AN50" i="37"/>
  <c r="Z50" i="37"/>
  <c r="Y50" i="37"/>
  <c r="V52" i="37" l="1"/>
  <c r="O53" i="37"/>
  <c r="U52" i="37"/>
  <c r="T53" i="37" s="1"/>
  <c r="AO51" i="37"/>
  <c r="AN51" i="37"/>
  <c r="Z51" i="37"/>
  <c r="Y51" i="37"/>
  <c r="V53" i="37" l="1"/>
  <c r="AO52" i="37"/>
  <c r="AN52" i="37"/>
  <c r="Y52" i="37"/>
  <c r="Z52" i="37"/>
  <c r="O54" i="37"/>
  <c r="U53" i="37"/>
  <c r="T54" i="37" s="1"/>
  <c r="V54" i="37" l="1"/>
  <c r="O55" i="37"/>
  <c r="U54" i="37"/>
  <c r="T55" i="37" s="1"/>
  <c r="AO53" i="37"/>
  <c r="AN53" i="37"/>
  <c r="Y53" i="37"/>
  <c r="Z53" i="37"/>
  <c r="V55" i="37" l="1"/>
  <c r="O56" i="37"/>
  <c r="U55" i="37"/>
  <c r="T56" i="37" s="1"/>
  <c r="AO54" i="37"/>
  <c r="AN54" i="37"/>
  <c r="Z54" i="37"/>
  <c r="Y54" i="37"/>
  <c r="V56" i="37" l="1"/>
  <c r="O57" i="37"/>
  <c r="U56" i="37"/>
  <c r="T57" i="37" s="1"/>
  <c r="AO55" i="37"/>
  <c r="AN55" i="37"/>
  <c r="Z55" i="37"/>
  <c r="Y55" i="37"/>
  <c r="V57" i="37" l="1"/>
  <c r="O58" i="37"/>
  <c r="U57" i="37"/>
  <c r="T58" i="37" s="1"/>
  <c r="AO56" i="37"/>
  <c r="AN56" i="37"/>
  <c r="Z56" i="37"/>
  <c r="Y56" i="37"/>
  <c r="V58" i="37" l="1"/>
  <c r="O59" i="37"/>
  <c r="U58" i="37"/>
  <c r="T59" i="37" s="1"/>
  <c r="AO57" i="37"/>
  <c r="AN57" i="37"/>
  <c r="Z57" i="37"/>
  <c r="Y57" i="37"/>
  <c r="V59" i="37" l="1"/>
  <c r="O60" i="37"/>
  <c r="U59" i="37"/>
  <c r="T60" i="37" s="1"/>
  <c r="AO58" i="37"/>
  <c r="AN58" i="37"/>
  <c r="Z58" i="37"/>
  <c r="Y58" i="37"/>
  <c r="V60" i="37" l="1"/>
  <c r="O61" i="37"/>
  <c r="U60" i="37"/>
  <c r="T61" i="37" s="1"/>
  <c r="AO59" i="37"/>
  <c r="AN59" i="37"/>
  <c r="Z59" i="37"/>
  <c r="Y59" i="37"/>
  <c r="V61" i="37" l="1"/>
  <c r="O62" i="37"/>
  <c r="U61" i="37"/>
  <c r="T62" i="37" s="1"/>
  <c r="AO60" i="37"/>
  <c r="AN60" i="37"/>
  <c r="Z60" i="37"/>
  <c r="Y60" i="37"/>
  <c r="V62" i="37" l="1"/>
  <c r="O63" i="37"/>
  <c r="U62" i="37"/>
  <c r="T63" i="37" s="1"/>
  <c r="AO61" i="37"/>
  <c r="AN61" i="37"/>
  <c r="Z61" i="37"/>
  <c r="Y61" i="37"/>
  <c r="V63" i="37" l="1"/>
  <c r="O64" i="37"/>
  <c r="U63" i="37"/>
  <c r="T64" i="37" s="1"/>
  <c r="AO62" i="37"/>
  <c r="AN62" i="37"/>
  <c r="Z62" i="37"/>
  <c r="Y62" i="37"/>
  <c r="V64" i="37" l="1"/>
  <c r="O65" i="37"/>
  <c r="F9" i="37" s="1"/>
  <c r="U64" i="37"/>
  <c r="T65" i="37" s="1"/>
  <c r="AO63" i="37"/>
  <c r="AN63" i="37"/>
  <c r="Z63" i="37"/>
  <c r="Y63" i="37"/>
  <c r="V65" i="37" l="1"/>
  <c r="U65" i="37"/>
  <c r="F5" i="37"/>
  <c r="AO64" i="37"/>
  <c r="AN64" i="37"/>
  <c r="Y64" i="37"/>
  <c r="Z64" i="37"/>
  <c r="F11" i="37" l="1"/>
  <c r="F10" i="37"/>
  <c r="F8" i="37"/>
  <c r="AO65" i="37"/>
  <c r="AN65" i="37"/>
  <c r="Z65" i="37"/>
  <c r="F6" i="37" s="1"/>
  <c r="Y65" i="37"/>
  <c r="F12" i="37" s="1"/>
  <c r="F16" i="37" l="1"/>
  <c r="F15" i="37"/>
  <c r="F17" i="37" s="1"/>
  <c r="AF9" i="37" l="1"/>
  <c r="AH9" i="37" s="1"/>
  <c r="AF40" i="37" l="1"/>
  <c r="AH40" i="37" s="1"/>
  <c r="AF18" i="37"/>
  <c r="AH18" i="37" s="1"/>
  <c r="AF8" i="37"/>
  <c r="AH8" i="37" s="1"/>
  <c r="AF39" i="37"/>
  <c r="AH39" i="37" s="1"/>
  <c r="AF58" i="37"/>
  <c r="AH58" i="37" s="1"/>
  <c r="AF64" i="37"/>
  <c r="AH64" i="37" s="1"/>
  <c r="AF32" i="37"/>
  <c r="AH32" i="37" s="1"/>
  <c r="AF63" i="37"/>
  <c r="AH63" i="37" s="1"/>
  <c r="AF31" i="37"/>
  <c r="AH31" i="37" s="1"/>
  <c r="AF50" i="37"/>
  <c r="AH50" i="37" s="1"/>
  <c r="AF61" i="37"/>
  <c r="AH61" i="37" s="1"/>
  <c r="AF56" i="37"/>
  <c r="AH56" i="37" s="1"/>
  <c r="AF24" i="37"/>
  <c r="AH24" i="37" s="1"/>
  <c r="AF55" i="37"/>
  <c r="AH55" i="37" s="1"/>
  <c r="AF23" i="37"/>
  <c r="AH23" i="37" s="1"/>
  <c r="AF34" i="37"/>
  <c r="AH34" i="37" s="1"/>
  <c r="AF53" i="37"/>
  <c r="AH53" i="37" s="1"/>
  <c r="AF48" i="37"/>
  <c r="AH48" i="37" s="1"/>
  <c r="AF16" i="37"/>
  <c r="AH16" i="37" s="1"/>
  <c r="AF47" i="37"/>
  <c r="AH47" i="37" s="1"/>
  <c r="AF7" i="37"/>
  <c r="AH7" i="37" s="1"/>
  <c r="AF26" i="37"/>
  <c r="AH26" i="37" s="1"/>
  <c r="AF45" i="37"/>
  <c r="AH45" i="37" s="1"/>
  <c r="AF15" i="37"/>
  <c r="AH15" i="37" s="1"/>
  <c r="AF42" i="37"/>
  <c r="AH42" i="37" s="1"/>
  <c r="AF10" i="37"/>
  <c r="AH10" i="37" s="1"/>
  <c r="AF37" i="37"/>
  <c r="AH37" i="37" s="1"/>
  <c r="AF21" i="37"/>
  <c r="AH21" i="37" s="1"/>
  <c r="AF60" i="37"/>
  <c r="AH60" i="37" s="1"/>
  <c r="AF44" i="37"/>
  <c r="AH44" i="37" s="1"/>
  <c r="AF28" i="37"/>
  <c r="AH28" i="37" s="1"/>
  <c r="AF12" i="37"/>
  <c r="AH12" i="37" s="1"/>
  <c r="AF59" i="37"/>
  <c r="AH59" i="37" s="1"/>
  <c r="AF43" i="37"/>
  <c r="AH43" i="37" s="1"/>
  <c r="AF27" i="37"/>
  <c r="AH27" i="37" s="1"/>
  <c r="AF11" i="37"/>
  <c r="AH11" i="37" s="1"/>
  <c r="AF54" i="37"/>
  <c r="AH54" i="37" s="1"/>
  <c r="AF38" i="37"/>
  <c r="AH38" i="37" s="1"/>
  <c r="AF22" i="37"/>
  <c r="AH22" i="37" s="1"/>
  <c r="AF65" i="37"/>
  <c r="AH65" i="37" s="1"/>
  <c r="AF49" i="37"/>
  <c r="AH49" i="37" s="1"/>
  <c r="AF33" i="37"/>
  <c r="AH33" i="37" s="1"/>
  <c r="AF17" i="37"/>
  <c r="AH17" i="37" s="1"/>
  <c r="AF29" i="37"/>
  <c r="AH29" i="37" s="1"/>
  <c r="AF13" i="37"/>
  <c r="AH13" i="37" s="1"/>
  <c r="F18" i="37"/>
  <c r="AF52" i="37"/>
  <c r="AH52" i="37" s="1"/>
  <c r="AF36" i="37"/>
  <c r="AH36" i="37" s="1"/>
  <c r="AF20" i="37"/>
  <c r="AH20" i="37" s="1"/>
  <c r="AF6" i="37"/>
  <c r="AH6" i="37" s="1"/>
  <c r="AF51" i="37"/>
  <c r="AH51" i="37" s="1"/>
  <c r="AF35" i="37"/>
  <c r="AH35" i="37" s="1"/>
  <c r="AF19" i="37"/>
  <c r="AH19" i="37" s="1"/>
  <c r="AF62" i="37"/>
  <c r="AH62" i="37" s="1"/>
  <c r="AF46" i="37"/>
  <c r="AH46" i="37" s="1"/>
  <c r="AF30" i="37"/>
  <c r="AH30" i="37" s="1"/>
  <c r="AF14" i="37"/>
  <c r="AH14" i="37" s="1"/>
  <c r="AF57" i="37"/>
  <c r="AH57" i="37" s="1"/>
  <c r="AF41" i="37"/>
  <c r="AH41" i="37" s="1"/>
  <c r="AF25" i="37"/>
  <c r="AH25" i="37" s="1"/>
  <c r="AJ9" i="37"/>
  <c r="AI9" i="37"/>
  <c r="AI24" i="37" l="1"/>
  <c r="AJ25" i="37"/>
  <c r="AI12" i="37"/>
  <c r="AJ21" i="37"/>
  <c r="AJ47" i="37"/>
  <c r="AJ56" i="37"/>
  <c r="AJ51" i="37"/>
  <c r="AI17" i="37"/>
  <c r="AJ28" i="37"/>
  <c r="AJ45" i="37"/>
  <c r="AJ16" i="37"/>
  <c r="AJ11" i="37"/>
  <c r="AJ41" i="37"/>
  <c r="AI6" i="37"/>
  <c r="AL55" i="37"/>
  <c r="AM55" i="37" s="1"/>
  <c r="AJ50" i="37"/>
  <c r="AJ64" i="37"/>
  <c r="AJ18" i="37"/>
  <c r="AJ34" i="37"/>
  <c r="AJ39" i="37"/>
  <c r="AJ62" i="37"/>
  <c r="AJ33" i="37"/>
  <c r="AI38" i="37"/>
  <c r="AJ43" i="37"/>
  <c r="AJ14" i="37"/>
  <c r="AJ19" i="37"/>
  <c r="AI13" i="37"/>
  <c r="AJ49" i="37"/>
  <c r="AL54" i="37"/>
  <c r="AM54" i="37" s="1"/>
  <c r="AL60" i="37"/>
  <c r="AM60" i="37" s="1"/>
  <c r="AJ42" i="37"/>
  <c r="AJ53" i="37"/>
  <c r="AJ24" i="37"/>
  <c r="AL8" i="37" s="1"/>
  <c r="AM8" i="37" s="1"/>
  <c r="AJ31" i="37"/>
  <c r="AJ58" i="37"/>
  <c r="AJ40" i="37"/>
  <c r="AJ7" i="37"/>
  <c r="AI40" i="37"/>
  <c r="AI53" i="37"/>
  <c r="AI58" i="37"/>
  <c r="AJ10" i="37"/>
  <c r="AI14" i="37"/>
  <c r="AI42" i="37"/>
  <c r="AI7" i="37"/>
  <c r="AI49" i="37"/>
  <c r="AI59" i="37"/>
  <c r="AJ8" i="37"/>
  <c r="AL58" i="37"/>
  <c r="AM58" i="37" s="1"/>
  <c r="AI8" i="37"/>
  <c r="AL50" i="37"/>
  <c r="AM50" i="37" s="1"/>
  <c r="AL64" i="37"/>
  <c r="AM64" i="37" s="1"/>
  <c r="AI55" i="37"/>
  <c r="AI50" i="37"/>
  <c r="AL53" i="37"/>
  <c r="AM53" i="37" s="1"/>
  <c r="AI31" i="37"/>
  <c r="AI18" i="37"/>
  <c r="AI64" i="37"/>
  <c r="AJ35" i="37"/>
  <c r="AJ46" i="37"/>
  <c r="AI52" i="37"/>
  <c r="AJ52" i="37"/>
  <c r="AJ22" i="37"/>
  <c r="AI27" i="37"/>
  <c r="AJ27" i="37"/>
  <c r="AI37" i="37"/>
  <c r="AJ37" i="37"/>
  <c r="AJ23" i="37"/>
  <c r="AL61" i="37"/>
  <c r="AM61" i="37" s="1"/>
  <c r="AJ61" i="37"/>
  <c r="AJ32" i="37"/>
  <c r="AI30" i="37"/>
  <c r="AJ30" i="37"/>
  <c r="AI29" i="37"/>
  <c r="AJ29" i="37"/>
  <c r="AL57" i="37"/>
  <c r="AM57" i="37" s="1"/>
  <c r="AJ57" i="37"/>
  <c r="AJ38" i="37"/>
  <c r="AJ44" i="37"/>
  <c r="AI26" i="37"/>
  <c r="AJ26" i="37"/>
  <c r="AI48" i="37"/>
  <c r="AJ48" i="37"/>
  <c r="AJ55" i="37"/>
  <c r="AJ36" i="37"/>
  <c r="AL65" i="37"/>
  <c r="AM65" i="37" s="1"/>
  <c r="AJ65" i="37"/>
  <c r="AL63" i="37"/>
  <c r="AM63" i="37" s="1"/>
  <c r="AJ63" i="37"/>
  <c r="AI20" i="37"/>
  <c r="AJ20" i="37"/>
  <c r="AI54" i="37"/>
  <c r="AJ54" i="37"/>
  <c r="AL59" i="37"/>
  <c r="AM59" i="37" s="1"/>
  <c r="AJ59" i="37"/>
  <c r="AI60" i="37"/>
  <c r="AJ60" i="37"/>
  <c r="AI32" i="37"/>
  <c r="AI23" i="37"/>
  <c r="AI16" i="37"/>
  <c r="AI61" i="37"/>
  <c r="AL56" i="37"/>
  <c r="AM56" i="37" s="1"/>
  <c r="AI65" i="37"/>
  <c r="AI45" i="37"/>
  <c r="AI35" i="37"/>
  <c r="AI15" i="37"/>
  <c r="AI47" i="37"/>
  <c r="AJ12" i="37"/>
  <c r="AI39" i="37"/>
  <c r="AI25" i="37"/>
  <c r="AI11" i="37"/>
  <c r="AI56" i="37"/>
  <c r="AI21" i="37"/>
  <c r="AI34" i="37"/>
  <c r="AJ15" i="37"/>
  <c r="AI63" i="37"/>
  <c r="AI36" i="37"/>
  <c r="AI10" i="37"/>
  <c r="AI57" i="37"/>
  <c r="AI44" i="37"/>
  <c r="AJ6" i="37"/>
  <c r="AL62" i="37"/>
  <c r="AM62" i="37" s="1"/>
  <c r="AI19" i="37"/>
  <c r="AI46" i="37"/>
  <c r="AL51" i="37"/>
  <c r="AM51" i="37" s="1"/>
  <c r="AJ17" i="37"/>
  <c r="AD9" i="37"/>
  <c r="AJ13" i="37"/>
  <c r="AI33" i="37"/>
  <c r="AI43" i="37"/>
  <c r="AI62" i="37"/>
  <c r="AI28" i="37"/>
  <c r="AI41" i="37"/>
  <c r="AI22" i="37"/>
  <c r="AL52" i="37"/>
  <c r="AM52" i="37" s="1"/>
  <c r="AI51" i="37"/>
  <c r="AL37" i="37" l="1"/>
  <c r="AM37" i="37" s="1"/>
  <c r="AP37" i="37" s="1"/>
  <c r="AL42" i="37"/>
  <c r="AM42" i="37" s="1"/>
  <c r="AP42" i="37" s="1"/>
  <c r="AL15" i="37"/>
  <c r="AM15" i="37" s="1"/>
  <c r="AP15" i="37" s="1"/>
  <c r="AL24" i="37"/>
  <c r="AM24" i="37" s="1"/>
  <c r="AP24" i="37" s="1"/>
  <c r="AL27" i="37"/>
  <c r="AM27" i="37" s="1"/>
  <c r="AP27" i="37" s="1"/>
  <c r="AP53" i="37"/>
  <c r="AL26" i="37"/>
  <c r="AM26" i="37" s="1"/>
  <c r="AP26" i="37" s="1"/>
  <c r="AL43" i="37"/>
  <c r="AM43" i="37" s="1"/>
  <c r="AP43" i="37" s="1"/>
  <c r="AL34" i="37"/>
  <c r="AM34" i="37" s="1"/>
  <c r="AP34" i="37" s="1"/>
  <c r="AP50" i="37"/>
  <c r="AP8" i="37"/>
  <c r="AL33" i="37"/>
  <c r="AM33" i="37" s="1"/>
  <c r="AP33" i="37" s="1"/>
  <c r="AL7" i="37"/>
  <c r="AM7" i="37" s="1"/>
  <c r="AP7" i="37" s="1"/>
  <c r="AP59" i="37"/>
  <c r="AP55" i="37"/>
  <c r="AL22" i="37"/>
  <c r="AM22" i="37" s="1"/>
  <c r="AP22" i="37" s="1"/>
  <c r="AL30" i="37"/>
  <c r="AM30" i="37" s="1"/>
  <c r="AP30" i="37" s="1"/>
  <c r="AL28" i="37"/>
  <c r="AM28" i="37" s="1"/>
  <c r="AP28" i="37" s="1"/>
  <c r="AP60" i="37"/>
  <c r="AP54" i="37"/>
  <c r="AL32" i="37"/>
  <c r="AM32" i="37" s="1"/>
  <c r="AP32" i="37" s="1"/>
  <c r="AL16" i="37"/>
  <c r="AM16" i="37" s="1"/>
  <c r="AP16" i="37" s="1"/>
  <c r="AP58" i="37"/>
  <c r="AL39" i="37"/>
  <c r="AM39" i="37" s="1"/>
  <c r="AP39" i="37" s="1"/>
  <c r="AL29" i="37"/>
  <c r="AM29" i="37" s="1"/>
  <c r="AP29" i="37" s="1"/>
  <c r="AL48" i="37"/>
  <c r="AM48" i="37" s="1"/>
  <c r="AP48" i="37" s="1"/>
  <c r="AL10" i="37"/>
  <c r="AM10" i="37" s="1"/>
  <c r="AP10" i="37" s="1"/>
  <c r="AL18" i="37"/>
  <c r="AM18" i="37" s="1"/>
  <c r="AP18" i="37" s="1"/>
  <c r="AL45" i="37"/>
  <c r="AM45" i="37" s="1"/>
  <c r="AP45" i="37" s="1"/>
  <c r="AL46" i="37"/>
  <c r="AM46" i="37" s="1"/>
  <c r="AP46" i="37" s="1"/>
  <c r="AL47" i="37"/>
  <c r="AM47" i="37" s="1"/>
  <c r="AP47" i="37" s="1"/>
  <c r="AL44" i="37"/>
  <c r="AM44" i="37" s="1"/>
  <c r="AP44" i="37" s="1"/>
  <c r="AP65" i="37"/>
  <c r="AP61" i="37"/>
  <c r="AL20" i="37"/>
  <c r="AM20" i="37" s="1"/>
  <c r="AP20" i="37" s="1"/>
  <c r="AL14" i="37"/>
  <c r="AM14" i="37" s="1"/>
  <c r="AP14" i="37" s="1"/>
  <c r="AP56" i="37"/>
  <c r="AL31" i="37"/>
  <c r="AM31" i="37" s="1"/>
  <c r="AP31" i="37" s="1"/>
  <c r="AL49" i="37"/>
  <c r="AM49" i="37" s="1"/>
  <c r="AP49" i="37" s="1"/>
  <c r="AL40" i="37"/>
  <c r="AM40" i="37" s="1"/>
  <c r="AP40" i="37" s="1"/>
  <c r="AL38" i="37"/>
  <c r="AM38" i="37" s="1"/>
  <c r="AP38" i="37" s="1"/>
  <c r="AL23" i="37"/>
  <c r="AM23" i="37" s="1"/>
  <c r="AP23" i="37" s="1"/>
  <c r="AL9" i="37"/>
  <c r="AM9" i="37" s="1"/>
  <c r="AP9" i="37" s="1"/>
  <c r="AL13" i="37"/>
  <c r="AM13" i="37" s="1"/>
  <c r="AP13" i="37" s="1"/>
  <c r="AP63" i="37"/>
  <c r="AL19" i="37"/>
  <c r="AM19" i="37" s="1"/>
  <c r="AP19" i="37" s="1"/>
  <c r="AP64" i="37"/>
  <c r="AP62" i="37"/>
  <c r="AL41" i="37"/>
  <c r="AM41" i="37" s="1"/>
  <c r="AP41" i="37" s="1"/>
  <c r="AL21" i="37"/>
  <c r="AM21" i="37" s="1"/>
  <c r="AP21" i="37" s="1"/>
  <c r="AP57" i="37"/>
  <c r="AL17" i="37"/>
  <c r="AM17" i="37" s="1"/>
  <c r="AP17" i="37" s="1"/>
  <c r="AL6" i="37"/>
  <c r="AM6" i="37" s="1"/>
  <c r="AP6" i="37" s="1"/>
  <c r="AP51" i="37"/>
  <c r="AL36" i="37"/>
  <c r="AM36" i="37" s="1"/>
  <c r="AP36" i="37" s="1"/>
  <c r="AL12" i="37"/>
  <c r="AM12" i="37" s="1"/>
  <c r="AP12" i="37" s="1"/>
  <c r="AL11" i="37"/>
  <c r="AM11" i="37" s="1"/>
  <c r="AP11" i="37" s="1"/>
  <c r="AL25" i="37"/>
  <c r="AM25" i="37" s="1"/>
  <c r="AP25" i="37" s="1"/>
  <c r="AP52" i="37"/>
  <c r="AL35" i="37"/>
  <c r="AM35" i="37" s="1"/>
  <c r="AP35" i="37" s="1"/>
  <c r="AD11" i="37" l="1"/>
  <c r="AD8" i="37"/>
  <c r="AD7" i="37"/>
</calcChain>
</file>

<file path=xl/sharedStrings.xml><?xml version="1.0" encoding="utf-8"?>
<sst xmlns="http://schemas.openxmlformats.org/spreadsheetml/2006/main" count="394" uniqueCount="127">
  <si>
    <t>Lapses</t>
  </si>
  <si>
    <t>AGE</t>
  </si>
  <si>
    <t>Pol. Year</t>
  </si>
  <si>
    <t>Expenses</t>
  </si>
  <si>
    <t>Premium</t>
  </si>
  <si>
    <t>Policy Month</t>
  </si>
  <si>
    <t>Duration</t>
  </si>
  <si>
    <t>Age</t>
  </si>
  <si>
    <t>Month</t>
  </si>
  <si>
    <t>Factor</t>
  </si>
  <si>
    <t>Face</t>
  </si>
  <si>
    <t>Interest</t>
  </si>
  <si>
    <t>Total</t>
  </si>
  <si>
    <t>Male</t>
  </si>
  <si>
    <t>Female</t>
  </si>
  <si>
    <t>Lapse</t>
  </si>
  <si>
    <t>Term</t>
  </si>
  <si>
    <t>Mortality</t>
  </si>
  <si>
    <t>Discount</t>
  </si>
  <si>
    <t>Rates</t>
  </si>
  <si>
    <t>FY Comm</t>
  </si>
  <si>
    <t>RN Comm</t>
  </si>
  <si>
    <t>Prem Tax</t>
  </si>
  <si>
    <t>Marketing</t>
  </si>
  <si>
    <t>Profit</t>
  </si>
  <si>
    <t>=</t>
  </si>
  <si>
    <t>Cumulative Interest</t>
  </si>
  <si>
    <t>Persistency</t>
  </si>
  <si>
    <t>Discount Factor</t>
  </si>
  <si>
    <t>Issue</t>
  </si>
  <si>
    <t>Maintenance</t>
  </si>
  <si>
    <t>Mthly</t>
  </si>
  <si>
    <t>Per Pol Exp</t>
  </si>
  <si>
    <t>% Expenses:</t>
  </si>
  <si>
    <t>Acquistion</t>
  </si>
  <si>
    <r>
      <t xml:space="preserve"> x </t>
    </r>
    <r>
      <rPr>
        <b/>
        <i/>
        <sz val="10"/>
        <rFont val="Arial"/>
        <family val="2"/>
      </rPr>
      <t>P</t>
    </r>
  </si>
  <si>
    <t>therefore</t>
  </si>
  <si>
    <t>PV of Premiums</t>
  </si>
  <si>
    <t xml:space="preserve">= </t>
  </si>
  <si>
    <t>PV of Benefits</t>
  </si>
  <si>
    <t xml:space="preserve">+ </t>
  </si>
  <si>
    <t>PV of Profits</t>
  </si>
  <si>
    <t>Rearranging terms from above:</t>
  </si>
  <si>
    <t>x P</t>
  </si>
  <si>
    <t>Skewness Table</t>
  </si>
  <si>
    <t>Cash Flow</t>
  </si>
  <si>
    <t>Interest Income</t>
  </si>
  <si>
    <t>Reserve</t>
  </si>
  <si>
    <t>Marketing &amp;</t>
  </si>
  <si>
    <t>Death</t>
  </si>
  <si>
    <t>Cash</t>
  </si>
  <si>
    <t>Collected</t>
  </si>
  <si>
    <t>Commission</t>
  </si>
  <si>
    <t>Claims</t>
  </si>
  <si>
    <t>Flow</t>
  </si>
  <si>
    <t>% Premium</t>
  </si>
  <si>
    <t>PV of Maint Expenses</t>
  </si>
  <si>
    <t>PV of Commissions</t>
  </si>
  <si>
    <t>PV of Acq Expenses</t>
  </si>
  <si>
    <t>Per Policy Expenses</t>
  </si>
  <si>
    <t>Tax</t>
  </si>
  <si>
    <t>CASH FLOW</t>
  </si>
  <si>
    <t>Premium Calc</t>
  </si>
  <si>
    <t>Cancer</t>
  </si>
  <si>
    <t>HeartAttack</t>
  </si>
  <si>
    <t>Stroke</t>
  </si>
  <si>
    <t>CBIT Morbidity</t>
  </si>
  <si>
    <t>Sex</t>
  </si>
  <si>
    <t>Morbidity</t>
  </si>
  <si>
    <t xml:space="preserve">Mthly </t>
  </si>
  <si>
    <t>CI</t>
  </si>
  <si>
    <t>KidneyFailure</t>
  </si>
  <si>
    <t>Male Table</t>
  </si>
  <si>
    <t>Probability</t>
  </si>
  <si>
    <t>No Occur</t>
  </si>
  <si>
    <t>MultipleSclerosis</t>
  </si>
  <si>
    <t>Alzheimer’sDisease</t>
  </si>
  <si>
    <t>Angioplasty</t>
  </si>
  <si>
    <t>AortaGraftSurgery</t>
  </si>
  <si>
    <t>BenignBrainTumour</t>
  </si>
  <si>
    <t>Blindness</t>
  </si>
  <si>
    <t>Coma</t>
  </si>
  <si>
    <t>CoronaryArteryBy-Pass</t>
  </si>
  <si>
    <t>Deafness</t>
  </si>
  <si>
    <t>HeartValveReplacement</t>
  </si>
  <si>
    <t>LossofLimbs</t>
  </si>
  <si>
    <t>LossofSpeech</t>
  </si>
  <si>
    <t>MajorOrganTransplant</t>
  </si>
  <si>
    <t>MotorNeuroneDisease</t>
  </si>
  <si>
    <t>Paralysis</t>
  </si>
  <si>
    <t>Parkinson’sDisease</t>
  </si>
  <si>
    <t>ThirdDegreeBurns</t>
  </si>
  <si>
    <t>Total&amp;PermanentDisability</t>
  </si>
  <si>
    <t>TotalSCIRates</t>
  </si>
  <si>
    <t>TotalACIRates</t>
  </si>
  <si>
    <t>Female Table</t>
  </si>
  <si>
    <t>BOM</t>
  </si>
  <si>
    <t>EOM</t>
  </si>
  <si>
    <t>SALES</t>
  </si>
  <si>
    <t>Mthly I.R.</t>
  </si>
  <si>
    <t xml:space="preserve">Number </t>
  </si>
  <si>
    <t># of Policies</t>
  </si>
  <si>
    <t>EXPENSES</t>
  </si>
  <si>
    <t>BENEFITS</t>
  </si>
  <si>
    <t>Other</t>
  </si>
  <si>
    <t>Sales</t>
  </si>
  <si>
    <t>Claim</t>
  </si>
  <si>
    <t>Acquisition (pol)</t>
  </si>
  <si>
    <t>Maintenance (pol)</t>
  </si>
  <si>
    <t>Benefit Amt</t>
  </si>
  <si>
    <t>processing</t>
  </si>
  <si>
    <t>PV of Claim Expenses</t>
  </si>
  <si>
    <t>Fixed Costs</t>
  </si>
  <si>
    <t>P - monthly premium x 12  per policy</t>
  </si>
  <si>
    <t>Interest on</t>
  </si>
  <si>
    <t>on CF</t>
  </si>
  <si>
    <t>Expense</t>
  </si>
  <si>
    <t>Check:</t>
  </si>
  <si>
    <t>PV(Profit)/PV(Premium)</t>
  </si>
  <si>
    <t>IRR</t>
  </si>
  <si>
    <t>NUMBER OF CLAIMS</t>
  </si>
  <si>
    <t>Loss Ratio</t>
  </si>
  <si>
    <t>Measures:</t>
  </si>
  <si>
    <t>NUMBER OF POLICIES</t>
  </si>
  <si>
    <t>Annual</t>
  </si>
  <si>
    <t>M</t>
  </si>
  <si>
    <t>Baseline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</si>
</sst>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"/>
    <numFmt numFmtId="166" formatCode="0.00000"/>
    <numFmt numFmtId="167" formatCode="0.000000"/>
    <numFmt numFmtId="168" formatCode="0.00000000"/>
    <numFmt numFmtId="169" formatCode="0.0%"/>
    <numFmt numFmtId="170" formatCode="_(* #,##0.000_);_(* \(#,##0.000\);_(* &quot;-&quot;??_);_(@_)"/>
    <numFmt numFmtId="171" formatCode="_(* #,##0.0000_);_(* \(#,##0.0000\);_(* &quot;-&quot;??_);_(@_)"/>
    <numFmt numFmtId="172" formatCode="_(* #,##0_);_(* \(#,##0\);_(* &quot;-&quot;??_);_(@_)"/>
    <numFmt numFmtId="173" formatCode="0_)"/>
    <numFmt numFmtId="174" formatCode="&quot;$&quot;#,##0.00"/>
    <numFmt numFmtId="175" formatCode="&quot;$&quot;#,##0.0000_);[Red]\(&quot;$&quot;#,##0.0000\)"/>
    <numFmt numFmtId="176" formatCode="_(* #,##0.0000_);_(* \(#,##0.0000\);_(* &quot;-&quot;????_);_(@_)"/>
  </numFmts>
  <fonts count="22"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name val="Arial MT"/>
    </font>
    <font>
      <b/>
      <i/>
      <sz val="10"/>
      <name val="Arial"/>
      <family val="2"/>
    </font>
    <font>
      <sz val="11"/>
      <color indexed="10"/>
      <name val="SwissReSans"/>
    </font>
    <font>
      <sz val="11"/>
      <color indexed="12"/>
      <name val="SwissReSans"/>
    </font>
    <font>
      <sz val="11"/>
      <name val="SwissReSans"/>
    </font>
    <font>
      <sz val="10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sz val="10"/>
      <color theme="3"/>
      <name val="Arial"/>
      <family val="2"/>
    </font>
    <font>
      <sz val="10"/>
      <color rgb="FFFF0000"/>
      <name val="Arial"/>
      <family val="2"/>
    </font>
    <font>
      <sz val="10"/>
      <color theme="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8CF3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5" fillId="0" borderId="0" xfId="0" applyFont="1"/>
    <xf numFmtId="0" fontId="0" fillId="0" borderId="0" xfId="0" applyFill="1"/>
    <xf numFmtId="10" fontId="2" fillId="0" borderId="0" xfId="3" applyNumberFormat="1" applyFont="1"/>
    <xf numFmtId="169" fontId="2" fillId="0" borderId="0" xfId="3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5" xfId="0" applyBorder="1"/>
    <xf numFmtId="0" fontId="7" fillId="0" borderId="0" xfId="0" applyFont="1" applyAlignment="1">
      <alignment horizontal="center"/>
    </xf>
    <xf numFmtId="164" fontId="0" fillId="0" borderId="0" xfId="0" applyNumberFormat="1" applyFill="1" applyBorder="1"/>
    <xf numFmtId="164" fontId="0" fillId="0" borderId="0" xfId="0" quotePrefix="1" applyNumberFormat="1" applyFill="1" applyBorder="1"/>
    <xf numFmtId="1" fontId="0" fillId="0" borderId="0" xfId="0" applyNumberFormat="1" applyFill="1" applyBorder="1"/>
    <xf numFmtId="0" fontId="0" fillId="0" borderId="0" xfId="0" applyBorder="1" applyAlignment="1">
      <alignment horizontal="center"/>
    </xf>
    <xf numFmtId="0" fontId="3" fillId="0" borderId="0" xfId="0" applyFont="1" applyFill="1" applyBorder="1"/>
    <xf numFmtId="1" fontId="0" fillId="0" borderId="0" xfId="0" applyNumberFormat="1" applyFill="1" applyBorder="1" applyAlignment="1">
      <alignment horizontal="center"/>
    </xf>
    <xf numFmtId="166" fontId="0" fillId="0" borderId="0" xfId="0" applyNumberFormat="1" applyFill="1" applyBorder="1"/>
    <xf numFmtId="0" fontId="1" fillId="0" borderId="0" xfId="0" applyFont="1" applyFill="1" applyBorder="1"/>
    <xf numFmtId="169" fontId="2" fillId="0" borderId="0" xfId="3" applyNumberFormat="1" applyFont="1" applyAlignment="1">
      <alignment horizontal="center"/>
    </xf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174" fontId="2" fillId="0" borderId="0" xfId="3" applyNumberFormat="1" applyFont="1"/>
    <xf numFmtId="0" fontId="5" fillId="0" borderId="0" xfId="0" applyFont="1" applyFill="1"/>
    <xf numFmtId="0" fontId="5" fillId="0" borderId="0" xfId="0" quotePrefix="1" applyFont="1" applyAlignment="1">
      <alignment horizontal="left"/>
    </xf>
    <xf numFmtId="0" fontId="5" fillId="0" borderId="0" xfId="0" quotePrefix="1" applyFont="1" applyAlignment="1">
      <alignment horizontal="right"/>
    </xf>
    <xf numFmtId="0" fontId="5" fillId="0" borderId="0" xfId="0" applyFont="1" applyAlignment="1">
      <alignment horizontal="left"/>
    </xf>
    <xf numFmtId="0" fontId="5" fillId="0" borderId="0" xfId="0" quotePrefix="1" applyFont="1" applyFill="1" applyAlignment="1">
      <alignment horizontal="left"/>
    </xf>
    <xf numFmtId="0" fontId="5" fillId="0" borderId="0" xfId="0" applyFont="1" applyFill="1" applyAlignment="1">
      <alignment horizontal="left"/>
    </xf>
    <xf numFmtId="172" fontId="2" fillId="0" borderId="0" xfId="1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173" fontId="0" fillId="0" borderId="0" xfId="0" applyNumberFormat="1" applyFill="1" applyBorder="1"/>
    <xf numFmtId="165" fontId="0" fillId="0" borderId="0" xfId="0" applyNumberFormat="1" applyFill="1" applyBorder="1"/>
    <xf numFmtId="0" fontId="2" fillId="0" borderId="0" xfId="0" applyFont="1" applyFill="1" applyBorder="1"/>
    <xf numFmtId="2" fontId="2" fillId="0" borderId="0" xfId="0" applyNumberFormat="1" applyFont="1" applyFill="1" applyBorder="1"/>
    <xf numFmtId="9" fontId="2" fillId="0" borderId="0" xfId="3" applyFont="1" applyFill="1" applyBorder="1" applyAlignment="1">
      <alignment horizontal="center"/>
    </xf>
    <xf numFmtId="10" fontId="2" fillId="0" borderId="0" xfId="3" applyNumberFormat="1" applyFont="1" applyFill="1" applyBorder="1"/>
    <xf numFmtId="0" fontId="0" fillId="0" borderId="8" xfId="0" applyBorder="1"/>
    <xf numFmtId="0" fontId="2" fillId="0" borderId="5" xfId="0" applyFont="1" applyBorder="1"/>
    <xf numFmtId="0" fontId="2" fillId="0" borderId="8" xfId="0" applyFont="1" applyBorder="1"/>
    <xf numFmtId="170" fontId="11" fillId="0" borderId="0" xfId="1" applyNumberFormat="1" applyFont="1" applyBorder="1"/>
    <xf numFmtId="170" fontId="10" fillId="0" borderId="0" xfId="0" applyNumberFormat="1" applyFont="1"/>
    <xf numFmtId="170" fontId="9" fillId="0" borderId="0" xfId="0" applyNumberFormat="1" applyFont="1"/>
    <xf numFmtId="4" fontId="2" fillId="0" borderId="0" xfId="0" applyNumberFormat="1" applyFont="1" applyFill="1" applyBorder="1"/>
    <xf numFmtId="0" fontId="5" fillId="0" borderId="0" xfId="0" quotePrefix="1" applyFont="1" applyFill="1" applyBorder="1"/>
    <xf numFmtId="0" fontId="5" fillId="0" borderId="0" xfId="0" applyFont="1" applyFill="1" applyBorder="1"/>
    <xf numFmtId="168" fontId="5" fillId="0" borderId="0" xfId="0" applyNumberFormat="1" applyFont="1" applyFill="1" applyBorder="1"/>
    <xf numFmtId="0" fontId="1" fillId="0" borderId="5" xfId="2" applyFont="1" applyBorder="1" applyAlignment="1">
      <alignment horizontal="center"/>
    </xf>
    <xf numFmtId="0" fontId="1" fillId="0" borderId="8" xfId="2" applyFont="1" applyBorder="1" applyAlignment="1">
      <alignment horizontal="center"/>
    </xf>
    <xf numFmtId="0" fontId="1" fillId="0" borderId="1" xfId="2" applyBorder="1" applyAlignment="1">
      <alignment horizontal="center"/>
    </xf>
    <xf numFmtId="0" fontId="1" fillId="0" borderId="2" xfId="2" applyBorder="1" applyAlignment="1">
      <alignment horizontal="center"/>
    </xf>
    <xf numFmtId="0" fontId="1" fillId="0" borderId="4" xfId="2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5" xfId="2" applyBorder="1" applyAlignment="1">
      <alignment horizontal="center"/>
    </xf>
    <xf numFmtId="172" fontId="12" fillId="0" borderId="4" xfId="1" applyNumberFormat="1" applyFont="1" applyBorder="1" applyAlignment="1">
      <alignment horizontal="center"/>
    </xf>
    <xf numFmtId="9" fontId="1" fillId="0" borderId="5" xfId="2" applyNumberFormat="1" applyBorder="1" applyAlignment="1">
      <alignment horizontal="center"/>
    </xf>
    <xf numFmtId="172" fontId="12" fillId="0" borderId="8" xfId="1" applyNumberFormat="1" applyFont="1" applyBorder="1" applyAlignment="1">
      <alignment horizontal="center"/>
    </xf>
    <xf numFmtId="10" fontId="12" fillId="0" borderId="8" xfId="3" applyNumberFormat="1" applyFont="1" applyBorder="1" applyAlignment="1">
      <alignment horizontal="center"/>
    </xf>
    <xf numFmtId="175" fontId="0" fillId="0" borderId="0" xfId="0" applyNumberFormat="1"/>
    <xf numFmtId="0" fontId="15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/>
    </xf>
    <xf numFmtId="166" fontId="11" fillId="0" borderId="0" xfId="0" applyNumberFormat="1" applyFont="1" applyAlignment="1"/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5" xfId="2" applyFont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2" fillId="0" borderId="0" xfId="0" applyFont="1" applyBorder="1"/>
    <xf numFmtId="9" fontId="2" fillId="0" borderId="0" xfId="3" applyFont="1" applyBorder="1"/>
    <xf numFmtId="0" fontId="2" fillId="0" borderId="3" xfId="0" applyFont="1" applyBorder="1"/>
    <xf numFmtId="165" fontId="5" fillId="0" borderId="0" xfId="0" applyNumberFormat="1" applyFont="1" applyFill="1" applyBorder="1"/>
    <xf numFmtId="2" fontId="5" fillId="0" borderId="0" xfId="0" applyNumberFormat="1" applyFont="1" applyFill="1" applyBorder="1"/>
    <xf numFmtId="0" fontId="16" fillId="0" borderId="0" xfId="0" applyFont="1" applyAlignment="1">
      <alignment horizontal="center"/>
    </xf>
    <xf numFmtId="0" fontId="5" fillId="0" borderId="0" xfId="0" quotePrefix="1" applyFont="1" applyFill="1" applyBorder="1" applyAlignment="1">
      <alignment horizontal="right"/>
    </xf>
    <xf numFmtId="39" fontId="1" fillId="0" borderId="0" xfId="2" quotePrefix="1" applyNumberFormat="1" applyFill="1" applyBorder="1" applyAlignment="1">
      <alignment horizontal="right"/>
    </xf>
    <xf numFmtId="167" fontId="5" fillId="0" borderId="0" xfId="0" applyNumberFormat="1" applyFont="1" applyFill="1" applyBorder="1"/>
    <xf numFmtId="166" fontId="5" fillId="0" borderId="0" xfId="0" applyNumberFormat="1" applyFont="1" applyFill="1" applyBorder="1"/>
    <xf numFmtId="171" fontId="5" fillId="0" borderId="0" xfId="1" applyNumberFormat="1" applyFont="1" applyFill="1" applyBorder="1"/>
    <xf numFmtId="39" fontId="1" fillId="0" borderId="0" xfId="2" applyNumberFormat="1" applyFill="1" applyBorder="1"/>
    <xf numFmtId="37" fontId="1" fillId="0" borderId="0" xfId="2" quotePrefix="1" applyNumberFormat="1" applyFill="1" applyBorder="1" applyAlignment="1">
      <alignment horizontal="right"/>
    </xf>
    <xf numFmtId="39" fontId="12" fillId="0" borderId="0" xfId="1" applyNumberFormat="1" applyFont="1" applyFill="1" applyBorder="1"/>
    <xf numFmtId="39" fontId="12" fillId="0" borderId="0" xfId="3" applyNumberFormat="1" applyFont="1" applyFill="1" applyBorder="1"/>
    <xf numFmtId="0" fontId="5" fillId="0" borderId="0" xfId="0" applyFont="1" applyFill="1" applyBorder="1" applyAlignment="1">
      <alignment horizontal="center"/>
    </xf>
    <xf numFmtId="39" fontId="0" fillId="0" borderId="0" xfId="0" applyNumberFormat="1" applyFill="1" applyBorder="1"/>
    <xf numFmtId="37" fontId="0" fillId="0" borderId="0" xfId="0" applyNumberFormat="1" applyFill="1" applyBorder="1" applyAlignment="1">
      <alignment horizontal="right"/>
    </xf>
    <xf numFmtId="39" fontId="0" fillId="0" borderId="0" xfId="0" applyNumberFormat="1" applyFill="1" applyBorder="1" applyAlignment="1">
      <alignment horizontal="right"/>
    </xf>
    <xf numFmtId="39" fontId="12" fillId="0" borderId="0" xfId="0" applyNumberFormat="1" applyFon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2" fontId="5" fillId="0" borderId="4" xfId="0" applyNumberFormat="1" applyFont="1" applyFill="1" applyBorder="1"/>
    <xf numFmtId="166" fontId="5" fillId="0" borderId="5" xfId="0" applyNumberFormat="1" applyFont="1" applyFill="1" applyBorder="1"/>
    <xf numFmtId="166" fontId="5" fillId="0" borderId="9" xfId="0" applyNumberFormat="1" applyFont="1" applyFill="1" applyBorder="1"/>
    <xf numFmtId="39" fontId="1" fillId="0" borderId="7" xfId="2" quotePrefix="1" applyNumberFormat="1" applyFill="1" applyBorder="1" applyAlignment="1">
      <alignment horizontal="right"/>
    </xf>
    <xf numFmtId="39" fontId="12" fillId="0" borderId="5" xfId="1" applyNumberFormat="1" applyFont="1" applyFill="1" applyBorder="1"/>
    <xf numFmtId="39" fontId="12" fillId="0" borderId="7" xfId="3" applyNumberFormat="1" applyFont="1" applyFill="1" applyBorder="1"/>
    <xf numFmtId="0" fontId="1" fillId="0" borderId="13" xfId="2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3" xfId="2" applyBorder="1" applyAlignment="1">
      <alignment horizontal="center"/>
    </xf>
    <xf numFmtId="0" fontId="1" fillId="0" borderId="0" xfId="2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0" xfId="0" applyFont="1"/>
    <xf numFmtId="0" fontId="0" fillId="0" borderId="14" xfId="0" applyBorder="1"/>
    <xf numFmtId="0" fontId="0" fillId="0" borderId="15" xfId="0" applyBorder="1"/>
    <xf numFmtId="0" fontId="13" fillId="0" borderId="1" xfId="0" applyFont="1" applyBorder="1"/>
    <xf numFmtId="10" fontId="14" fillId="0" borderId="8" xfId="3" applyNumberFormat="1" applyFont="1" applyBorder="1" applyAlignment="1">
      <alignment horizontal="center"/>
    </xf>
    <xf numFmtId="0" fontId="13" fillId="0" borderId="14" xfId="0" applyFont="1" applyBorder="1"/>
    <xf numFmtId="0" fontId="13" fillId="0" borderId="3" xfId="0" applyFont="1" applyBorder="1"/>
    <xf numFmtId="0" fontId="13" fillId="0" borderId="15" xfId="0" applyFont="1" applyBorder="1"/>
    <xf numFmtId="167" fontId="5" fillId="0" borderId="4" xfId="0" applyNumberFormat="1" applyFont="1" applyFill="1" applyBorder="1"/>
    <xf numFmtId="165" fontId="5" fillId="0" borderId="13" xfId="0" applyNumberFormat="1" applyFont="1" applyFill="1" applyBorder="1"/>
    <xf numFmtId="166" fontId="5" fillId="0" borderId="4" xfId="0" applyNumberFormat="1" applyFont="1" applyFill="1" applyBorder="1"/>
    <xf numFmtId="166" fontId="5" fillId="0" borderId="2" xfId="0" applyNumberFormat="1" applyFont="1" applyFill="1" applyBorder="1"/>
    <xf numFmtId="39" fontId="1" fillId="0" borderId="2" xfId="2" quotePrefix="1" applyNumberFormat="1" applyFill="1" applyBorder="1" applyAlignment="1">
      <alignment horizontal="right"/>
    </xf>
    <xf numFmtId="39" fontId="12" fillId="0" borderId="4" xfId="1" applyNumberFormat="1" applyFont="1" applyFill="1" applyBorder="1"/>
    <xf numFmtId="39" fontId="12" fillId="0" borderId="1" xfId="3" applyNumberFormat="1" applyFont="1" applyFill="1" applyBorder="1"/>
    <xf numFmtId="0" fontId="13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2" fontId="11" fillId="0" borderId="0" xfId="0" applyNumberFormat="1" applyFont="1" applyBorder="1" applyAlignment="1"/>
    <xf numFmtId="170" fontId="10" fillId="0" borderId="0" xfId="1" applyNumberFormat="1" applyFont="1" applyBorder="1"/>
    <xf numFmtId="170" fontId="10" fillId="0" borderId="3" xfId="1" applyNumberFormat="1" applyFont="1" applyBorder="1"/>
    <xf numFmtId="170" fontId="10" fillId="0" borderId="0" xfId="0" applyNumberFormat="1" applyFont="1" applyBorder="1"/>
    <xf numFmtId="170" fontId="9" fillId="0" borderId="0" xfId="0" applyNumberFormat="1" applyFont="1" applyBorder="1"/>
    <xf numFmtId="6" fontId="17" fillId="0" borderId="0" xfId="0" applyNumberFormat="1" applyFont="1"/>
    <xf numFmtId="0" fontId="18" fillId="0" borderId="0" xfId="0" applyFont="1" applyAlignment="1">
      <alignment horizontal="center"/>
    </xf>
    <xf numFmtId="43" fontId="5" fillId="0" borderId="4" xfId="1" applyNumberFormat="1" applyFont="1" applyFill="1" applyBorder="1"/>
    <xf numFmtId="0" fontId="13" fillId="0" borderId="0" xfId="0" applyFont="1" applyAlignment="1">
      <alignment horizontal="left"/>
    </xf>
    <xf numFmtId="37" fontId="1" fillId="0" borderId="13" xfId="2" quotePrefix="1" applyNumberFormat="1" applyFill="1" applyBorder="1" applyAlignment="1">
      <alignment horizontal="right"/>
    </xf>
    <xf numFmtId="39" fontId="1" fillId="0" borderId="9" xfId="2" quotePrefix="1" applyNumberFormat="1" applyFill="1" applyBorder="1" applyAlignment="1">
      <alignment horizontal="right"/>
    </xf>
    <xf numFmtId="0" fontId="1" fillId="0" borderId="0" xfId="2" applyBorder="1" applyAlignment="1">
      <alignment horizontal="center" wrapText="1"/>
    </xf>
    <xf numFmtId="37" fontId="1" fillId="0" borderId="0" xfId="2" applyNumberFormat="1" applyFill="1" applyBorder="1"/>
    <xf numFmtId="43" fontId="5" fillId="0" borderId="0" xfId="1" applyNumberFormat="1" applyFont="1" applyFill="1" applyBorder="1"/>
    <xf numFmtId="166" fontId="0" fillId="0" borderId="0" xfId="0" applyNumberFormat="1" applyFont="1" applyFill="1" applyBorder="1"/>
    <xf numFmtId="0" fontId="0" fillId="0" borderId="9" xfId="2" applyFont="1" applyBorder="1" applyAlignment="1">
      <alignment horizontal="center"/>
    </xf>
    <xf numFmtId="0" fontId="0" fillId="0" borderId="15" xfId="2" applyFont="1" applyBorder="1" applyAlignment="1">
      <alignment horizontal="center"/>
    </xf>
    <xf numFmtId="9" fontId="0" fillId="0" borderId="5" xfId="2" applyNumberFormat="1" applyFont="1" applyBorder="1" applyAlignment="1">
      <alignment horizontal="center"/>
    </xf>
    <xf numFmtId="167" fontId="0" fillId="0" borderId="0" xfId="0" applyNumberFormat="1" applyFont="1" applyFill="1" applyBorder="1"/>
    <xf numFmtId="0" fontId="0" fillId="0" borderId="8" xfId="2" applyFont="1" applyFill="1" applyBorder="1" applyAlignment="1">
      <alignment horizontal="center"/>
    </xf>
    <xf numFmtId="0" fontId="0" fillId="0" borderId="5" xfId="2" applyFont="1" applyFill="1" applyBorder="1" applyAlignment="1">
      <alignment horizontal="center"/>
    </xf>
    <xf numFmtId="2" fontId="0" fillId="0" borderId="0" xfId="0" applyNumberFormat="1"/>
    <xf numFmtId="165" fontId="0" fillId="0" borderId="0" xfId="0" applyNumberFormat="1" applyFont="1" applyFill="1" applyBorder="1"/>
    <xf numFmtId="10" fontId="12" fillId="0" borderId="7" xfId="3" applyNumberFormat="1" applyFont="1" applyBorder="1" applyAlignment="1">
      <alignment horizontal="center"/>
    </xf>
    <xf numFmtId="9" fontId="0" fillId="0" borderId="0" xfId="2" applyNumberFormat="1" applyFont="1" applyFill="1" applyBorder="1" applyAlignment="1">
      <alignment horizontal="center"/>
    </xf>
    <xf numFmtId="9" fontId="5" fillId="0" borderId="0" xfId="0" applyNumberFormat="1" applyFont="1" applyFill="1" applyBorder="1"/>
    <xf numFmtId="0" fontId="0" fillId="0" borderId="0" xfId="0" applyFont="1"/>
    <xf numFmtId="0" fontId="0" fillId="0" borderId="0" xfId="0" applyFont="1" applyFill="1" applyBorder="1"/>
    <xf numFmtId="2" fontId="5" fillId="3" borderId="4" xfId="0" applyNumberFormat="1" applyFont="1" applyFill="1" applyBorder="1"/>
    <xf numFmtId="2" fontId="5" fillId="3" borderId="0" xfId="0" applyNumberFormat="1" applyFont="1" applyFill="1" applyBorder="1"/>
    <xf numFmtId="2" fontId="5" fillId="3" borderId="5" xfId="1" applyNumberFormat="1" applyFont="1" applyFill="1" applyBorder="1"/>
    <xf numFmtId="2" fontId="5" fillId="3" borderId="5" xfId="0" applyNumberFormat="1" applyFont="1" applyFill="1" applyBorder="1"/>
    <xf numFmtId="2" fontId="0" fillId="3" borderId="8" xfId="0" applyNumberFormat="1" applyFill="1" applyBorder="1"/>
    <xf numFmtId="2" fontId="18" fillId="0" borderId="0" xfId="0" applyNumberFormat="1" applyFont="1"/>
    <xf numFmtId="2" fontId="5" fillId="0" borderId="0" xfId="0" applyNumberFormat="1" applyFont="1"/>
    <xf numFmtId="2" fontId="5" fillId="3" borderId="3" xfId="0" applyNumberFormat="1" applyFont="1" applyFill="1" applyBorder="1"/>
    <xf numFmtId="166" fontId="16" fillId="0" borderId="0" xfId="0" applyNumberFormat="1" applyFont="1" applyAlignment="1">
      <alignment horizontal="center"/>
    </xf>
    <xf numFmtId="166" fontId="0" fillId="0" borderId="0" xfId="1" applyNumberFormat="1" applyFont="1"/>
    <xf numFmtId="0" fontId="0" fillId="0" borderId="15" xfId="0" applyBorder="1" applyAlignment="1">
      <alignment horizontal="center"/>
    </xf>
    <xf numFmtId="0" fontId="5" fillId="0" borderId="0" xfId="2" applyFont="1" applyBorder="1" applyAlignment="1">
      <alignment horizontal="center"/>
    </xf>
    <xf numFmtId="0" fontId="5" fillId="0" borderId="0" xfId="2" applyFont="1" applyFill="1" applyBorder="1" applyAlignment="1">
      <alignment horizontal="center"/>
    </xf>
    <xf numFmtId="172" fontId="12" fillId="0" borderId="0" xfId="1" applyNumberFormat="1" applyFont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14" xfId="0" applyFont="1" applyBorder="1"/>
    <xf numFmtId="0" fontId="5" fillId="0" borderId="3" xfId="0" applyFont="1" applyBorder="1"/>
    <xf numFmtId="0" fontId="5" fillId="0" borderId="15" xfId="0" applyFont="1" applyBorder="1"/>
    <xf numFmtId="0" fontId="19" fillId="0" borderId="0" xfId="0" applyFont="1" applyFill="1"/>
    <xf numFmtId="176" fontId="0" fillId="0" borderId="4" xfId="0" applyNumberFormat="1" applyFill="1" applyBorder="1"/>
    <xf numFmtId="0" fontId="0" fillId="0" borderId="4" xfId="0" applyFill="1" applyBorder="1"/>
    <xf numFmtId="2" fontId="5" fillId="0" borderId="9" xfId="0" applyNumberFormat="1" applyFont="1" applyFill="1" applyBorder="1"/>
    <xf numFmtId="176" fontId="0" fillId="0" borderId="5" xfId="0" applyNumberFormat="1" applyFill="1" applyBorder="1"/>
    <xf numFmtId="0" fontId="0" fillId="0" borderId="5" xfId="0" applyFill="1" applyBorder="1"/>
    <xf numFmtId="0" fontId="5" fillId="0" borderId="14" xfId="2" applyFont="1" applyBorder="1" applyAlignment="1">
      <alignment horizontal="center"/>
    </xf>
    <xf numFmtId="0" fontId="5" fillId="0" borderId="5" xfId="2" applyFont="1" applyBorder="1" applyAlignment="1">
      <alignment horizontal="center"/>
    </xf>
    <xf numFmtId="0" fontId="5" fillId="0" borderId="8" xfId="2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1" xfId="2" applyFont="1" applyBorder="1" applyAlignment="1">
      <alignment horizontal="center"/>
    </xf>
    <xf numFmtId="164" fontId="5" fillId="0" borderId="0" xfId="1" applyNumberFormat="1" applyFont="1" applyFill="1" applyBorder="1"/>
    <xf numFmtId="0" fontId="0" fillId="0" borderId="0" xfId="0" applyFont="1" applyBorder="1" applyAlignment="1">
      <alignment horizontal="center"/>
    </xf>
    <xf numFmtId="0" fontId="0" fillId="0" borderId="0" xfId="2" applyFont="1" applyBorder="1" applyAlignment="1">
      <alignment horizontal="center"/>
    </xf>
    <xf numFmtId="0" fontId="0" fillId="0" borderId="0" xfId="0" applyFont="1" applyBorder="1" applyAlignment="1"/>
    <xf numFmtId="0" fontId="20" fillId="0" borderId="0" xfId="0" applyFont="1" applyBorder="1"/>
    <xf numFmtId="37" fontId="1" fillId="0" borderId="1" xfId="2" quotePrefix="1" applyNumberFormat="1" applyFill="1" applyBorder="1" applyAlignment="1">
      <alignment horizontal="right"/>
    </xf>
    <xf numFmtId="2" fontId="0" fillId="0" borderId="4" xfId="0" applyNumberFormat="1" applyBorder="1"/>
    <xf numFmtId="166" fontId="5" fillId="0" borderId="7" xfId="0" applyNumberFormat="1" applyFont="1" applyFill="1" applyBorder="1"/>
    <xf numFmtId="43" fontId="5" fillId="0" borderId="7" xfId="1" applyNumberFormat="1" applyFont="1" applyFill="1" applyBorder="1"/>
    <xf numFmtId="37" fontId="1" fillId="0" borderId="7" xfId="2" quotePrefix="1" applyNumberFormat="1" applyFill="1" applyBorder="1" applyAlignment="1">
      <alignment horizontal="right"/>
    </xf>
    <xf numFmtId="0" fontId="0" fillId="0" borderId="0" xfId="0" applyFont="1" applyAlignment="1">
      <alignment horizontal="left"/>
    </xf>
    <xf numFmtId="0" fontId="5" fillId="0" borderId="0" xfId="0" quotePrefix="1" applyFont="1" applyAlignment="1">
      <alignment horizontal="center"/>
    </xf>
    <xf numFmtId="2" fontId="5" fillId="0" borderId="0" xfId="0" quotePrefix="1" applyNumberFormat="1" applyFont="1" applyAlignment="1">
      <alignment horizontal="center"/>
    </xf>
    <xf numFmtId="0" fontId="5" fillId="0" borderId="0" xfId="0" applyFont="1" applyBorder="1" applyAlignment="1">
      <alignment horizontal="center"/>
    </xf>
    <xf numFmtId="43" fontId="5" fillId="0" borderId="1" xfId="1" applyNumberFormat="1" applyFont="1" applyFill="1" applyBorder="1"/>
    <xf numFmtId="2" fontId="5" fillId="0" borderId="13" xfId="0" applyNumberFormat="1" applyFont="1" applyFill="1" applyBorder="1"/>
    <xf numFmtId="0" fontId="0" fillId="0" borderId="9" xfId="0" applyBorder="1"/>
    <xf numFmtId="2" fontId="0" fillId="0" borderId="5" xfId="0" applyNumberFormat="1" applyBorder="1"/>
    <xf numFmtId="0" fontId="21" fillId="0" borderId="0" xfId="0" applyFont="1" applyFill="1"/>
    <xf numFmtId="2" fontId="0" fillId="0" borderId="6" xfId="0" applyNumberFormat="1" applyBorder="1"/>
    <xf numFmtId="166" fontId="11" fillId="0" borderId="0" xfId="0" applyNumberFormat="1" applyFont="1" applyBorder="1" applyAlignment="1"/>
    <xf numFmtId="39" fontId="0" fillId="0" borderId="2" xfId="2" quotePrefix="1" applyNumberFormat="1" applyFont="1" applyFill="1" applyBorder="1" applyAlignment="1">
      <alignment horizontal="right"/>
    </xf>
    <xf numFmtId="44" fontId="5" fillId="0" borderId="4" xfId="4" applyFont="1" applyFill="1" applyBorder="1"/>
    <xf numFmtId="167" fontId="5" fillId="4" borderId="4" xfId="0" applyNumberFormat="1" applyFont="1" applyFill="1" applyBorder="1"/>
    <xf numFmtId="165" fontId="5" fillId="4" borderId="13" xfId="0" applyNumberFormat="1" applyFont="1" applyFill="1" applyBorder="1"/>
    <xf numFmtId="166" fontId="5" fillId="4" borderId="2" xfId="0" applyNumberFormat="1" applyFont="1" applyFill="1" applyBorder="1"/>
    <xf numFmtId="166" fontId="5" fillId="4" borderId="4" xfId="0" applyNumberFormat="1" applyFont="1" applyFill="1" applyBorder="1"/>
    <xf numFmtId="166" fontId="5" fillId="4" borderId="9" xfId="0" applyNumberFormat="1" applyFont="1" applyFill="1" applyBorder="1"/>
    <xf numFmtId="166" fontId="5" fillId="4" borderId="5" xfId="0" applyNumberFormat="1" applyFont="1" applyFill="1" applyBorder="1"/>
    <xf numFmtId="2" fontId="5" fillId="4" borderId="4" xfId="0" applyNumberFormat="1" applyFont="1" applyFill="1" applyBorder="1"/>
    <xf numFmtId="43" fontId="5" fillId="4" borderId="4" xfId="1" applyNumberFormat="1" applyFont="1" applyFill="1" applyBorder="1"/>
    <xf numFmtId="0" fontId="0" fillId="4" borderId="0" xfId="0" applyFill="1"/>
    <xf numFmtId="8" fontId="0" fillId="4" borderId="4" xfId="0" applyNumberFormat="1" applyFill="1" applyBorder="1"/>
    <xf numFmtId="0" fontId="0" fillId="4" borderId="4" xfId="0" applyFill="1" applyBorder="1"/>
    <xf numFmtId="2" fontId="0" fillId="0" borderId="0" xfId="0" applyNumberFormat="1" applyFont="1" applyFill="1" applyBorder="1"/>
    <xf numFmtId="10" fontId="5" fillId="0" borderId="0" xfId="0" applyNumberFormat="1" applyFont="1" applyFill="1" applyBorder="1"/>
    <xf numFmtId="0" fontId="0" fillId="4" borderId="0" xfId="0" applyFill="1" applyBorder="1"/>
    <xf numFmtId="39" fontId="1" fillId="4" borderId="4" xfId="2" quotePrefix="1" applyNumberFormat="1" applyFill="1" applyBorder="1" applyAlignment="1">
      <alignment horizontal="right"/>
    </xf>
    <xf numFmtId="169" fontId="0" fillId="4" borderId="0" xfId="0" applyNumberFormat="1" applyFill="1" applyBorder="1"/>
    <xf numFmtId="2" fontId="0" fillId="4" borderId="0" xfId="0" applyNumberFormat="1" applyFill="1" applyBorder="1"/>
    <xf numFmtId="2" fontId="0" fillId="0" borderId="4" xfId="0" applyNumberFormat="1" applyFill="1" applyBorder="1"/>
    <xf numFmtId="0" fontId="1" fillId="0" borderId="10" xfId="2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" fillId="0" borderId="11" xfId="2" applyBorder="1" applyAlignment="1">
      <alignment horizontal="center"/>
    </xf>
    <xf numFmtId="0" fontId="1" fillId="0" borderId="0" xfId="2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4" xfId="2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3" fillId="0" borderId="1" xfId="2" applyFont="1" applyBorder="1" applyAlignment="1">
      <alignment horizontal="center"/>
    </xf>
    <xf numFmtId="0" fontId="13" fillId="0" borderId="13" xfId="2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2" applyBorder="1" applyAlignment="1">
      <alignment horizontal="center"/>
    </xf>
    <xf numFmtId="0" fontId="0" fillId="0" borderId="13" xfId="0" applyBorder="1" applyAlignment="1">
      <alignment horizontal="center"/>
    </xf>
    <xf numFmtId="0" fontId="5" fillId="0" borderId="1" xfId="2" applyFont="1" applyBorder="1" applyAlignment="1">
      <alignment horizontal="center"/>
    </xf>
    <xf numFmtId="0" fontId="5" fillId="0" borderId="13" xfId="2" applyFont="1" applyBorder="1" applyAlignment="1">
      <alignment horizontal="center"/>
    </xf>
    <xf numFmtId="0" fontId="5" fillId="0" borderId="0" xfId="2" applyFont="1" applyBorder="1" applyAlignment="1">
      <alignment horizontal="center"/>
    </xf>
  </cellXfs>
  <cellStyles count="5">
    <cellStyle name="Comma" xfId="1" builtinId="3"/>
    <cellStyle name="Currency" xfId="4" builtinId="4"/>
    <cellStyle name="Normal" xfId="0" builtinId="0"/>
    <cellStyle name="Normal_SOA_FAP_Mod4_ Exercise_Solution_06-08-2006" xfId="2"/>
    <cellStyle name="Percent" xfId="3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B105"/>
  <sheetViews>
    <sheetView workbookViewId="0">
      <selection activeCell="F13" sqref="F13"/>
    </sheetView>
  </sheetViews>
  <sheetFormatPr defaultColWidth="11.44140625" defaultRowHeight="13.2"/>
  <sheetData>
    <row r="1" spans="2:28">
      <c r="B1" t="s">
        <v>13</v>
      </c>
    </row>
    <row r="2" spans="2:28" ht="15">
      <c r="B2" s="1" t="s">
        <v>7</v>
      </c>
      <c r="C2" s="71" t="s">
        <v>63</v>
      </c>
      <c r="D2" s="1" t="s">
        <v>64</v>
      </c>
      <c r="E2" s="1" t="s">
        <v>65</v>
      </c>
      <c r="F2" s="1" t="s">
        <v>75</v>
      </c>
      <c r="G2" s="1" t="s">
        <v>76</v>
      </c>
      <c r="H2" s="1" t="s">
        <v>77</v>
      </c>
      <c r="I2" s="1" t="s">
        <v>78</v>
      </c>
      <c r="J2" s="1" t="s">
        <v>79</v>
      </c>
      <c r="K2" s="1" t="s">
        <v>80</v>
      </c>
      <c r="L2" s="1" t="s">
        <v>81</v>
      </c>
      <c r="M2" s="1" t="s">
        <v>82</v>
      </c>
      <c r="N2" s="1" t="s">
        <v>83</v>
      </c>
      <c r="O2" s="1" t="s">
        <v>84</v>
      </c>
      <c r="P2" s="1" t="s">
        <v>71</v>
      </c>
      <c r="Q2" s="1" t="s">
        <v>85</v>
      </c>
      <c r="R2" s="1" t="s">
        <v>86</v>
      </c>
      <c r="S2" s="1" t="s">
        <v>87</v>
      </c>
      <c r="T2" s="1" t="s">
        <v>88</v>
      </c>
      <c r="U2" s="1" t="s">
        <v>89</v>
      </c>
      <c r="V2" s="1" t="s">
        <v>90</v>
      </c>
      <c r="W2" s="1" t="s">
        <v>91</v>
      </c>
      <c r="X2" s="1" t="s">
        <v>92</v>
      </c>
      <c r="Y2" s="1" t="s">
        <v>93</v>
      </c>
      <c r="Z2" s="1" t="s">
        <v>49</v>
      </c>
      <c r="AA2" s="1" t="s">
        <v>94</v>
      </c>
      <c r="AB2" s="1"/>
    </row>
    <row r="3" spans="2:28" ht="15">
      <c r="B3" s="72">
        <v>20</v>
      </c>
      <c r="C3" s="14">
        <v>2.4</v>
      </c>
      <c r="D3" s="14">
        <v>0.2</v>
      </c>
      <c r="E3" s="14">
        <v>0.6</v>
      </c>
      <c r="F3" s="14">
        <v>0.1</v>
      </c>
      <c r="G3" s="14">
        <v>0</v>
      </c>
      <c r="H3" s="14">
        <v>0</v>
      </c>
      <c r="I3" s="14">
        <v>0.04</v>
      </c>
      <c r="J3" s="14">
        <v>7.0000000000000007E-2</v>
      </c>
      <c r="K3" s="14">
        <v>0.08</v>
      </c>
      <c r="L3" s="14">
        <v>0.2</v>
      </c>
      <c r="M3" s="14">
        <v>0</v>
      </c>
      <c r="N3" s="14">
        <v>0.04</v>
      </c>
      <c r="O3" s="14">
        <v>0.26</v>
      </c>
      <c r="P3" s="14">
        <v>0.3</v>
      </c>
      <c r="Q3" s="14">
        <v>0.04</v>
      </c>
      <c r="R3" s="14">
        <v>0</v>
      </c>
      <c r="S3" s="14">
        <v>0.1</v>
      </c>
      <c r="T3" s="14">
        <v>0.01</v>
      </c>
      <c r="U3" s="14">
        <v>0.34</v>
      </c>
      <c r="V3" s="14">
        <v>0</v>
      </c>
      <c r="W3" s="14">
        <v>0.3</v>
      </c>
      <c r="X3" s="14">
        <v>0.23</v>
      </c>
      <c r="Y3" s="14">
        <v>5.0999999999999996</v>
      </c>
      <c r="Z3" s="14">
        <v>6.9</v>
      </c>
      <c r="AA3" s="14">
        <v>12</v>
      </c>
      <c r="AB3" s="14">
        <v>20</v>
      </c>
    </row>
    <row r="4" spans="2:28" ht="15">
      <c r="B4" s="72">
        <v>21</v>
      </c>
      <c r="C4" s="14">
        <v>2.6</v>
      </c>
      <c r="D4" s="14">
        <v>0.2</v>
      </c>
      <c r="E4" s="14">
        <v>0.7</v>
      </c>
      <c r="F4" s="14">
        <v>0.1</v>
      </c>
      <c r="G4" s="14">
        <v>0</v>
      </c>
      <c r="H4" s="14">
        <v>0</v>
      </c>
      <c r="I4" s="14">
        <v>0.04</v>
      </c>
      <c r="J4" s="14">
        <v>7.0000000000000007E-2</v>
      </c>
      <c r="K4" s="14">
        <v>0.08</v>
      </c>
      <c r="L4" s="14">
        <v>0.2</v>
      </c>
      <c r="M4" s="14">
        <v>0</v>
      </c>
      <c r="N4" s="14">
        <v>0.04</v>
      </c>
      <c r="O4" s="14">
        <v>0.26</v>
      </c>
      <c r="P4" s="14">
        <v>0.3</v>
      </c>
      <c r="Q4" s="14">
        <v>0.04</v>
      </c>
      <c r="R4" s="14">
        <v>0</v>
      </c>
      <c r="S4" s="14">
        <v>0.1</v>
      </c>
      <c r="T4" s="14">
        <v>0.01</v>
      </c>
      <c r="U4" s="14">
        <v>0.33</v>
      </c>
      <c r="V4" s="14">
        <v>0</v>
      </c>
      <c r="W4" s="14">
        <v>0.3</v>
      </c>
      <c r="X4" s="14">
        <v>0.22</v>
      </c>
      <c r="Y4" s="14">
        <v>5.4</v>
      </c>
      <c r="Z4" s="14">
        <v>7.1</v>
      </c>
      <c r="AA4" s="14">
        <v>12.5</v>
      </c>
      <c r="AB4" s="14">
        <v>21</v>
      </c>
    </row>
    <row r="5" spans="2:28" ht="15">
      <c r="B5" s="72">
        <v>22</v>
      </c>
      <c r="C5" s="14">
        <v>2.7</v>
      </c>
      <c r="D5" s="14">
        <v>0.2</v>
      </c>
      <c r="E5" s="14">
        <v>0.7</v>
      </c>
      <c r="F5" s="14">
        <v>0.2</v>
      </c>
      <c r="G5" s="14">
        <v>0</v>
      </c>
      <c r="H5" s="14">
        <v>0</v>
      </c>
      <c r="I5" s="14">
        <v>0.04</v>
      </c>
      <c r="J5" s="14">
        <v>7.0000000000000007E-2</v>
      </c>
      <c r="K5" s="14">
        <v>0.08</v>
      </c>
      <c r="L5" s="14">
        <v>0.2</v>
      </c>
      <c r="M5" s="14">
        <v>0</v>
      </c>
      <c r="N5" s="14">
        <v>0.04</v>
      </c>
      <c r="O5" s="14">
        <v>0.27</v>
      </c>
      <c r="P5" s="14">
        <v>0.3</v>
      </c>
      <c r="Q5" s="14">
        <v>0.04</v>
      </c>
      <c r="R5" s="14">
        <v>0</v>
      </c>
      <c r="S5" s="14">
        <v>0.1</v>
      </c>
      <c r="T5" s="14">
        <v>0.01</v>
      </c>
      <c r="U5" s="14">
        <v>0.33</v>
      </c>
      <c r="V5" s="14">
        <v>0</v>
      </c>
      <c r="W5" s="14">
        <v>0.3</v>
      </c>
      <c r="X5" s="14">
        <v>0.11</v>
      </c>
      <c r="Y5" s="14">
        <v>5.5</v>
      </c>
      <c r="Z5" s="14">
        <v>7.1</v>
      </c>
      <c r="AA5" s="14">
        <v>12.6</v>
      </c>
      <c r="AB5" s="14">
        <v>22</v>
      </c>
    </row>
    <row r="6" spans="2:28" ht="15">
      <c r="B6" s="72">
        <v>23</v>
      </c>
      <c r="C6" s="14">
        <v>2.9</v>
      </c>
      <c r="D6" s="14">
        <v>0.3</v>
      </c>
      <c r="E6" s="14">
        <v>0.7</v>
      </c>
      <c r="F6" s="14">
        <v>0.2</v>
      </c>
      <c r="G6" s="14">
        <v>0</v>
      </c>
      <c r="H6" s="14">
        <v>0.01</v>
      </c>
      <c r="I6" s="14">
        <v>0.04</v>
      </c>
      <c r="J6" s="14">
        <v>0.08</v>
      </c>
      <c r="K6" s="14">
        <v>0.08</v>
      </c>
      <c r="L6" s="14">
        <v>0.2</v>
      </c>
      <c r="M6" s="14">
        <v>0</v>
      </c>
      <c r="N6" s="14">
        <v>0.04</v>
      </c>
      <c r="O6" s="14">
        <v>0.28000000000000003</v>
      </c>
      <c r="P6" s="14">
        <v>0.4</v>
      </c>
      <c r="Q6" s="14">
        <v>0.04</v>
      </c>
      <c r="R6" s="14">
        <v>0</v>
      </c>
      <c r="S6" s="14">
        <v>0.1</v>
      </c>
      <c r="T6" s="14">
        <v>0.01</v>
      </c>
      <c r="U6" s="14">
        <v>0.32</v>
      </c>
      <c r="V6" s="14">
        <v>0</v>
      </c>
      <c r="W6" s="14">
        <v>0.3</v>
      </c>
      <c r="X6" s="14">
        <v>0.2</v>
      </c>
      <c r="Y6" s="14">
        <v>6</v>
      </c>
      <c r="Z6" s="14">
        <v>7.1</v>
      </c>
      <c r="AA6" s="14">
        <v>13.1</v>
      </c>
      <c r="AB6" s="14">
        <v>23</v>
      </c>
    </row>
    <row r="7" spans="2:28" ht="15">
      <c r="B7" s="72">
        <v>24</v>
      </c>
      <c r="C7" s="14">
        <v>3</v>
      </c>
      <c r="D7" s="14">
        <v>0.4</v>
      </c>
      <c r="E7" s="14">
        <v>0.8</v>
      </c>
      <c r="F7" s="14">
        <v>0.2</v>
      </c>
      <c r="G7" s="14">
        <v>0</v>
      </c>
      <c r="H7" s="14">
        <v>0.01</v>
      </c>
      <c r="I7" s="14">
        <v>0.04</v>
      </c>
      <c r="J7" s="14">
        <v>0.08</v>
      </c>
      <c r="K7" s="14">
        <v>0.08</v>
      </c>
      <c r="L7" s="14">
        <v>0.19</v>
      </c>
      <c r="M7" s="14">
        <v>0</v>
      </c>
      <c r="N7" s="14">
        <v>0.04</v>
      </c>
      <c r="O7" s="14">
        <v>0.28000000000000003</v>
      </c>
      <c r="P7" s="14">
        <v>0.4</v>
      </c>
      <c r="Q7" s="14">
        <v>0.04</v>
      </c>
      <c r="R7" s="14">
        <v>0</v>
      </c>
      <c r="S7" s="14">
        <v>0.1</v>
      </c>
      <c r="T7" s="14">
        <v>0.01</v>
      </c>
      <c r="U7" s="14">
        <v>0.31</v>
      </c>
      <c r="V7" s="14">
        <v>0</v>
      </c>
      <c r="W7" s="14">
        <v>0.3</v>
      </c>
      <c r="X7" s="14">
        <v>0.28999999999999998</v>
      </c>
      <c r="Y7" s="14">
        <v>6.4</v>
      </c>
      <c r="Z7" s="14">
        <v>7</v>
      </c>
      <c r="AA7" s="14">
        <v>13.4</v>
      </c>
      <c r="AB7" s="14">
        <v>24</v>
      </c>
    </row>
    <row r="8" spans="2:28" ht="15">
      <c r="B8" s="72">
        <v>25</v>
      </c>
      <c r="C8" s="14">
        <v>3.2</v>
      </c>
      <c r="D8" s="14">
        <v>0.4</v>
      </c>
      <c r="E8" s="14">
        <v>0.8</v>
      </c>
      <c r="F8" s="14">
        <v>0.3</v>
      </c>
      <c r="G8" s="14">
        <v>0</v>
      </c>
      <c r="H8" s="14">
        <v>0.01</v>
      </c>
      <c r="I8" s="14">
        <v>0.04</v>
      </c>
      <c r="J8" s="14">
        <v>0.08</v>
      </c>
      <c r="K8" s="14">
        <v>0.09</v>
      </c>
      <c r="L8" s="14">
        <v>0.18</v>
      </c>
      <c r="M8" s="14">
        <v>0</v>
      </c>
      <c r="N8" s="14">
        <v>0.04</v>
      </c>
      <c r="O8" s="14">
        <v>0.28999999999999998</v>
      </c>
      <c r="P8" s="14">
        <v>0.4</v>
      </c>
      <c r="Q8" s="14">
        <v>0.05</v>
      </c>
      <c r="R8" s="14">
        <v>0</v>
      </c>
      <c r="S8" s="14">
        <v>0.1</v>
      </c>
      <c r="T8" s="14">
        <v>0.01</v>
      </c>
      <c r="U8" s="14">
        <v>0.3</v>
      </c>
      <c r="V8" s="14">
        <v>0.01</v>
      </c>
      <c r="W8" s="14">
        <v>0.3</v>
      </c>
      <c r="X8" s="14">
        <v>0.28000000000000003</v>
      </c>
      <c r="Y8" s="14">
        <v>6.7</v>
      </c>
      <c r="Z8" s="14">
        <v>6.9</v>
      </c>
      <c r="AA8" s="14">
        <v>13.6</v>
      </c>
      <c r="AB8" s="14">
        <v>25</v>
      </c>
    </row>
    <row r="9" spans="2:28" ht="15">
      <c r="B9" s="72">
        <v>26</v>
      </c>
      <c r="C9" s="14">
        <v>3.4</v>
      </c>
      <c r="D9" s="14">
        <v>0.5</v>
      </c>
      <c r="E9" s="14">
        <v>0.9</v>
      </c>
      <c r="F9" s="14">
        <v>0.3</v>
      </c>
      <c r="G9" s="14">
        <v>0</v>
      </c>
      <c r="H9" s="14">
        <v>0.01</v>
      </c>
      <c r="I9" s="14">
        <v>0.04</v>
      </c>
      <c r="J9" s="14">
        <v>0.09</v>
      </c>
      <c r="K9" s="14">
        <v>0.09</v>
      </c>
      <c r="L9" s="14">
        <v>0.18</v>
      </c>
      <c r="M9" s="14">
        <v>0</v>
      </c>
      <c r="N9" s="14">
        <v>0.04</v>
      </c>
      <c r="O9" s="14">
        <v>0.3</v>
      </c>
      <c r="P9" s="14">
        <v>0.4</v>
      </c>
      <c r="Q9" s="14">
        <v>0.05</v>
      </c>
      <c r="R9" s="14">
        <v>0</v>
      </c>
      <c r="S9" s="14">
        <v>0.1</v>
      </c>
      <c r="T9" s="14">
        <v>0.01</v>
      </c>
      <c r="U9" s="14">
        <v>0.28999999999999998</v>
      </c>
      <c r="V9" s="14">
        <v>0.01</v>
      </c>
      <c r="W9" s="14">
        <v>0.3</v>
      </c>
      <c r="X9" s="14">
        <v>0.37</v>
      </c>
      <c r="Y9" s="14">
        <v>7.2</v>
      </c>
      <c r="Z9" s="14">
        <v>7</v>
      </c>
      <c r="AA9" s="14">
        <v>14.2</v>
      </c>
      <c r="AB9" s="14">
        <v>26</v>
      </c>
    </row>
    <row r="10" spans="2:28" ht="15">
      <c r="B10" s="72">
        <v>27</v>
      </c>
      <c r="C10" s="14">
        <v>3.6</v>
      </c>
      <c r="D10" s="14">
        <v>0.7</v>
      </c>
      <c r="E10" s="14">
        <v>0.9</v>
      </c>
      <c r="F10" s="14">
        <v>0.4</v>
      </c>
      <c r="G10" s="14">
        <v>0</v>
      </c>
      <c r="H10" s="14">
        <v>0.02</v>
      </c>
      <c r="I10" s="14">
        <v>0.04</v>
      </c>
      <c r="J10" s="14">
        <v>0.09</v>
      </c>
      <c r="K10" s="14">
        <v>0.09</v>
      </c>
      <c r="L10" s="14">
        <v>0.18</v>
      </c>
      <c r="M10" s="14">
        <v>0</v>
      </c>
      <c r="N10" s="14">
        <v>0.05</v>
      </c>
      <c r="O10" s="14">
        <v>0.3</v>
      </c>
      <c r="P10" s="14">
        <v>0.5</v>
      </c>
      <c r="Q10" s="14">
        <v>0.05</v>
      </c>
      <c r="R10" s="14">
        <v>0</v>
      </c>
      <c r="S10" s="14">
        <v>0.1</v>
      </c>
      <c r="T10" s="14">
        <v>0.02</v>
      </c>
      <c r="U10" s="14">
        <v>0.27</v>
      </c>
      <c r="V10" s="14">
        <v>0.01</v>
      </c>
      <c r="W10" s="14">
        <v>0.3</v>
      </c>
      <c r="X10" s="14">
        <v>0.46</v>
      </c>
      <c r="Y10" s="14">
        <v>7.9</v>
      </c>
      <c r="Z10" s="14">
        <v>7.3</v>
      </c>
      <c r="AA10" s="14">
        <v>15.2</v>
      </c>
      <c r="AB10" s="14">
        <v>27</v>
      </c>
    </row>
    <row r="11" spans="2:28" ht="15">
      <c r="B11" s="72">
        <v>28</v>
      </c>
      <c r="C11" s="14">
        <v>3.8</v>
      </c>
      <c r="D11" s="14">
        <v>0.8</v>
      </c>
      <c r="E11" s="14">
        <v>1</v>
      </c>
      <c r="F11" s="14">
        <v>0.5</v>
      </c>
      <c r="G11" s="14">
        <v>0</v>
      </c>
      <c r="H11" s="14">
        <v>0.02</v>
      </c>
      <c r="I11" s="14">
        <v>0.04</v>
      </c>
      <c r="J11" s="14">
        <v>0.1</v>
      </c>
      <c r="K11" s="14">
        <v>0.09</v>
      </c>
      <c r="L11" s="14">
        <v>0.17</v>
      </c>
      <c r="M11" s="14">
        <v>0</v>
      </c>
      <c r="N11" s="14">
        <v>0.05</v>
      </c>
      <c r="O11" s="14">
        <v>0.31</v>
      </c>
      <c r="P11" s="14">
        <v>0.5</v>
      </c>
      <c r="Q11" s="14">
        <v>0.05</v>
      </c>
      <c r="R11" s="14">
        <v>0</v>
      </c>
      <c r="S11" s="14">
        <v>0.1</v>
      </c>
      <c r="T11" s="14">
        <v>0.02</v>
      </c>
      <c r="U11" s="14">
        <v>0.26</v>
      </c>
      <c r="V11" s="14">
        <v>0.01</v>
      </c>
      <c r="W11" s="14">
        <v>0.3</v>
      </c>
      <c r="X11" s="14">
        <v>0.64</v>
      </c>
      <c r="Y11" s="14">
        <v>8.6</v>
      </c>
      <c r="Z11" s="14">
        <v>7.6</v>
      </c>
      <c r="AA11" s="14">
        <v>16.2</v>
      </c>
      <c r="AB11" s="14">
        <v>28</v>
      </c>
    </row>
    <row r="12" spans="2:28" ht="15">
      <c r="B12" s="72">
        <v>29</v>
      </c>
      <c r="C12" s="14">
        <v>4</v>
      </c>
      <c r="D12" s="14">
        <v>1</v>
      </c>
      <c r="E12" s="14">
        <v>1.1000000000000001</v>
      </c>
      <c r="F12" s="14">
        <v>0.5</v>
      </c>
      <c r="G12" s="14">
        <v>0</v>
      </c>
      <c r="H12" s="14">
        <v>0.03</v>
      </c>
      <c r="I12" s="14">
        <v>0.04</v>
      </c>
      <c r="J12" s="14">
        <v>0.1</v>
      </c>
      <c r="K12" s="14">
        <v>0.09</v>
      </c>
      <c r="L12" s="14">
        <v>0.17</v>
      </c>
      <c r="M12" s="14">
        <v>0</v>
      </c>
      <c r="N12" s="14">
        <v>0.05</v>
      </c>
      <c r="O12" s="14">
        <v>0.32</v>
      </c>
      <c r="P12" s="14">
        <v>0.5</v>
      </c>
      <c r="Q12" s="14">
        <v>0.06</v>
      </c>
      <c r="R12" s="14">
        <v>0</v>
      </c>
      <c r="S12" s="14">
        <v>0.1</v>
      </c>
      <c r="T12" s="14">
        <v>0.02</v>
      </c>
      <c r="U12" s="14">
        <v>0.25</v>
      </c>
      <c r="V12" s="14">
        <v>0.01</v>
      </c>
      <c r="W12" s="14">
        <v>0.3</v>
      </c>
      <c r="X12" s="14">
        <v>0.73</v>
      </c>
      <c r="Y12" s="14">
        <v>9.1999999999999993</v>
      </c>
      <c r="Z12" s="14">
        <v>7.9</v>
      </c>
      <c r="AA12" s="14">
        <v>17.100000000000001</v>
      </c>
      <c r="AB12" s="14">
        <v>29</v>
      </c>
    </row>
    <row r="13" spans="2:28" ht="15">
      <c r="B13" s="72">
        <v>30</v>
      </c>
      <c r="C13" s="14">
        <v>4.2</v>
      </c>
      <c r="D13" s="14">
        <v>1.2</v>
      </c>
      <c r="E13" s="14">
        <v>1.1000000000000001</v>
      </c>
      <c r="F13" s="14">
        <v>0.6</v>
      </c>
      <c r="G13" s="14">
        <v>0</v>
      </c>
      <c r="H13" s="14">
        <v>0.04</v>
      </c>
      <c r="I13" s="14">
        <v>0.04</v>
      </c>
      <c r="J13" s="14">
        <v>0.11</v>
      </c>
      <c r="K13" s="14">
        <v>0.1</v>
      </c>
      <c r="L13" s="14">
        <v>0.17</v>
      </c>
      <c r="M13" s="14">
        <v>0</v>
      </c>
      <c r="N13" s="14">
        <v>0.05</v>
      </c>
      <c r="O13" s="14">
        <v>0.33</v>
      </c>
      <c r="P13" s="14">
        <v>0.5</v>
      </c>
      <c r="Q13" s="14">
        <v>0.06</v>
      </c>
      <c r="R13" s="14">
        <v>0</v>
      </c>
      <c r="S13" s="14">
        <v>0.1</v>
      </c>
      <c r="T13" s="14">
        <v>0.02</v>
      </c>
      <c r="U13" s="14">
        <v>0.23</v>
      </c>
      <c r="V13" s="14">
        <v>0.02</v>
      </c>
      <c r="W13" s="14">
        <v>0.3</v>
      </c>
      <c r="X13" s="14">
        <v>0.7</v>
      </c>
      <c r="Y13" s="14">
        <v>9.6999999999999993</v>
      </c>
      <c r="Z13" s="14">
        <v>8.1999999999999993</v>
      </c>
      <c r="AA13" s="14">
        <v>17.899999999999999</v>
      </c>
      <c r="AB13" s="14">
        <v>30</v>
      </c>
    </row>
    <row r="14" spans="2:28" ht="15">
      <c r="B14" s="72">
        <v>31</v>
      </c>
      <c r="C14" s="14">
        <v>4.4000000000000004</v>
      </c>
      <c r="D14" s="14">
        <v>1.5</v>
      </c>
      <c r="E14" s="14">
        <v>1.2</v>
      </c>
      <c r="F14" s="14">
        <v>0.7</v>
      </c>
      <c r="G14" s="14">
        <v>0</v>
      </c>
      <c r="H14" s="14">
        <v>0.05</v>
      </c>
      <c r="I14" s="14">
        <v>0.04</v>
      </c>
      <c r="J14" s="14">
        <v>0.12</v>
      </c>
      <c r="K14" s="14">
        <v>0.1</v>
      </c>
      <c r="L14" s="14">
        <v>0.18</v>
      </c>
      <c r="M14" s="14">
        <v>0.1</v>
      </c>
      <c r="N14" s="14">
        <v>0.05</v>
      </c>
      <c r="O14" s="14">
        <v>0.34</v>
      </c>
      <c r="P14" s="14">
        <v>0.5</v>
      </c>
      <c r="Q14" s="14">
        <v>0.06</v>
      </c>
      <c r="R14" s="14">
        <v>0</v>
      </c>
      <c r="S14" s="14">
        <v>0.1</v>
      </c>
      <c r="T14" s="14">
        <v>0.03</v>
      </c>
      <c r="U14" s="14">
        <v>0.22</v>
      </c>
      <c r="V14" s="14">
        <v>0.02</v>
      </c>
      <c r="W14" s="14">
        <v>0.3</v>
      </c>
      <c r="X14" s="14">
        <v>0.78</v>
      </c>
      <c r="Y14" s="14">
        <v>10.6</v>
      </c>
      <c r="Z14" s="14">
        <v>8.5</v>
      </c>
      <c r="AA14" s="14">
        <v>19.100000000000001</v>
      </c>
      <c r="AB14" s="14">
        <v>31</v>
      </c>
    </row>
    <row r="15" spans="2:28" ht="15">
      <c r="B15" s="72">
        <v>32</v>
      </c>
      <c r="C15" s="14">
        <v>4.7</v>
      </c>
      <c r="D15" s="14">
        <v>1.8</v>
      </c>
      <c r="E15" s="14">
        <v>1.3</v>
      </c>
      <c r="F15" s="14">
        <v>0.7</v>
      </c>
      <c r="G15" s="14">
        <v>0</v>
      </c>
      <c r="H15" s="14">
        <v>0.06</v>
      </c>
      <c r="I15" s="14">
        <v>0.04</v>
      </c>
      <c r="J15" s="14">
        <v>0.12</v>
      </c>
      <c r="K15" s="14">
        <v>0.1</v>
      </c>
      <c r="L15" s="14">
        <v>0.18</v>
      </c>
      <c r="M15" s="14">
        <v>0.1</v>
      </c>
      <c r="N15" s="14">
        <v>0.05</v>
      </c>
      <c r="O15" s="14">
        <v>0.35</v>
      </c>
      <c r="P15" s="14">
        <v>0.6</v>
      </c>
      <c r="Q15" s="14">
        <v>7.0000000000000007E-2</v>
      </c>
      <c r="R15" s="14">
        <v>0</v>
      </c>
      <c r="S15" s="14">
        <v>0.1</v>
      </c>
      <c r="T15" s="14">
        <v>0.03</v>
      </c>
      <c r="U15" s="14">
        <v>0.2</v>
      </c>
      <c r="V15" s="14">
        <v>0.03</v>
      </c>
      <c r="W15" s="14">
        <v>0.3</v>
      </c>
      <c r="X15" s="14">
        <v>1.04</v>
      </c>
      <c r="Y15" s="14">
        <v>11.7</v>
      </c>
      <c r="Z15" s="14">
        <v>8.6999999999999993</v>
      </c>
      <c r="AA15" s="14">
        <v>20.399999999999999</v>
      </c>
      <c r="AB15" s="14">
        <v>32</v>
      </c>
    </row>
    <row r="16" spans="2:28" ht="15">
      <c r="B16" s="72">
        <v>33</v>
      </c>
      <c r="C16" s="14">
        <v>5</v>
      </c>
      <c r="D16" s="14">
        <v>2.2999999999999998</v>
      </c>
      <c r="E16" s="14">
        <v>1.4</v>
      </c>
      <c r="F16" s="14">
        <v>0.8</v>
      </c>
      <c r="G16" s="14">
        <v>0</v>
      </c>
      <c r="H16" s="14">
        <v>0.08</v>
      </c>
      <c r="I16" s="14">
        <v>0.04</v>
      </c>
      <c r="J16" s="14">
        <v>0.13</v>
      </c>
      <c r="K16" s="14">
        <v>0.1</v>
      </c>
      <c r="L16" s="14">
        <v>0.18</v>
      </c>
      <c r="M16" s="14">
        <v>0.1</v>
      </c>
      <c r="N16" s="14">
        <v>0.05</v>
      </c>
      <c r="O16" s="14">
        <v>0.36</v>
      </c>
      <c r="P16" s="14">
        <v>0.6</v>
      </c>
      <c r="Q16" s="14">
        <v>7.0000000000000007E-2</v>
      </c>
      <c r="R16" s="14">
        <v>0</v>
      </c>
      <c r="S16" s="14">
        <v>0.1</v>
      </c>
      <c r="T16" s="14">
        <v>0.04</v>
      </c>
      <c r="U16" s="14">
        <v>0.19</v>
      </c>
      <c r="V16" s="14">
        <v>0.03</v>
      </c>
      <c r="W16" s="14">
        <v>0.28999999999999998</v>
      </c>
      <c r="X16" s="14">
        <v>1.1000000000000001</v>
      </c>
      <c r="Y16" s="14">
        <v>12.8</v>
      </c>
      <c r="Z16" s="14">
        <v>8.9</v>
      </c>
      <c r="AA16" s="14">
        <v>21.7</v>
      </c>
      <c r="AB16" s="14">
        <v>33</v>
      </c>
    </row>
    <row r="17" spans="2:28" ht="15">
      <c r="B17" s="72">
        <v>34</v>
      </c>
      <c r="C17" s="14">
        <v>5.3</v>
      </c>
      <c r="D17" s="14">
        <v>2.8</v>
      </c>
      <c r="E17" s="14">
        <v>1.5</v>
      </c>
      <c r="F17" s="14">
        <v>0.9</v>
      </c>
      <c r="G17" s="14">
        <v>0</v>
      </c>
      <c r="H17" s="14">
        <v>0.1</v>
      </c>
      <c r="I17" s="14">
        <v>0.05</v>
      </c>
      <c r="J17" s="14">
        <v>0.13</v>
      </c>
      <c r="K17" s="14">
        <v>0.11</v>
      </c>
      <c r="L17" s="14">
        <v>0.19</v>
      </c>
      <c r="M17" s="14">
        <v>0.2</v>
      </c>
      <c r="N17" s="14">
        <v>0.05</v>
      </c>
      <c r="O17" s="14">
        <v>0.38</v>
      </c>
      <c r="P17" s="14">
        <v>0.6</v>
      </c>
      <c r="Q17" s="14">
        <v>0.08</v>
      </c>
      <c r="R17" s="14">
        <v>0</v>
      </c>
      <c r="S17" s="14">
        <v>0.1</v>
      </c>
      <c r="T17" s="14">
        <v>0.04</v>
      </c>
      <c r="U17" s="14">
        <v>0.18</v>
      </c>
      <c r="V17" s="14">
        <v>0.04</v>
      </c>
      <c r="W17" s="14">
        <v>0.28999999999999998</v>
      </c>
      <c r="X17" s="14">
        <v>1.35</v>
      </c>
      <c r="Y17" s="14">
        <v>14.2</v>
      </c>
      <c r="Z17" s="14">
        <v>9.1999999999999993</v>
      </c>
      <c r="AA17" s="14">
        <v>23.4</v>
      </c>
      <c r="AB17" s="14">
        <v>34</v>
      </c>
    </row>
    <row r="18" spans="2:28" ht="15">
      <c r="B18" s="72">
        <v>35</v>
      </c>
      <c r="C18" s="14">
        <v>5.7</v>
      </c>
      <c r="D18" s="14">
        <v>3.4</v>
      </c>
      <c r="E18" s="14">
        <v>1.7</v>
      </c>
      <c r="F18" s="14">
        <v>0.9</v>
      </c>
      <c r="G18" s="14">
        <v>0.01</v>
      </c>
      <c r="H18" s="14">
        <v>0.13</v>
      </c>
      <c r="I18" s="14">
        <v>0.05</v>
      </c>
      <c r="J18" s="14">
        <v>0.14000000000000001</v>
      </c>
      <c r="K18" s="14">
        <v>0.11</v>
      </c>
      <c r="L18" s="14">
        <v>0.19</v>
      </c>
      <c r="M18" s="14">
        <v>0.2</v>
      </c>
      <c r="N18" s="14">
        <v>0.05</v>
      </c>
      <c r="O18" s="14">
        <v>0.39</v>
      </c>
      <c r="P18" s="14">
        <v>0.6</v>
      </c>
      <c r="Q18" s="14">
        <v>0.08</v>
      </c>
      <c r="R18" s="14">
        <v>0</v>
      </c>
      <c r="S18" s="14">
        <v>0.2</v>
      </c>
      <c r="T18" s="14">
        <v>0.05</v>
      </c>
      <c r="U18" s="14">
        <v>0.17</v>
      </c>
      <c r="V18" s="14">
        <v>0.05</v>
      </c>
      <c r="W18" s="14">
        <v>0.28999999999999998</v>
      </c>
      <c r="X18" s="14">
        <v>1.48</v>
      </c>
      <c r="Y18" s="14">
        <v>15.7</v>
      </c>
      <c r="Z18" s="14">
        <v>9.4</v>
      </c>
      <c r="AA18" s="14">
        <v>25.1</v>
      </c>
      <c r="AB18" s="14">
        <v>35</v>
      </c>
    </row>
    <row r="19" spans="2:28" ht="15">
      <c r="B19" s="72">
        <v>36</v>
      </c>
      <c r="C19" s="14">
        <v>6.1</v>
      </c>
      <c r="D19" s="14">
        <v>4.2</v>
      </c>
      <c r="E19" s="14">
        <v>1.8</v>
      </c>
      <c r="F19" s="14">
        <v>1</v>
      </c>
      <c r="G19" s="14">
        <v>0.01</v>
      </c>
      <c r="H19" s="14">
        <v>0.17</v>
      </c>
      <c r="I19" s="14">
        <v>0.05</v>
      </c>
      <c r="J19" s="14">
        <v>0.15</v>
      </c>
      <c r="K19" s="14">
        <v>0.11</v>
      </c>
      <c r="L19" s="14">
        <v>0.2</v>
      </c>
      <c r="M19" s="14">
        <v>0.3</v>
      </c>
      <c r="N19" s="14">
        <v>0.05</v>
      </c>
      <c r="O19" s="14">
        <v>0.41</v>
      </c>
      <c r="P19" s="14">
        <v>0.6</v>
      </c>
      <c r="Q19" s="14">
        <v>0.09</v>
      </c>
      <c r="R19" s="14">
        <v>0</v>
      </c>
      <c r="S19" s="14">
        <v>0.2</v>
      </c>
      <c r="T19" s="14">
        <v>0.06</v>
      </c>
      <c r="U19" s="14">
        <v>0.16</v>
      </c>
      <c r="V19" s="14">
        <v>0.06</v>
      </c>
      <c r="W19" s="14">
        <v>0.28000000000000003</v>
      </c>
      <c r="X19" s="14">
        <v>1.8</v>
      </c>
      <c r="Y19" s="14">
        <v>17.600000000000001</v>
      </c>
      <c r="Z19" s="14">
        <v>9.9</v>
      </c>
      <c r="AA19" s="14">
        <v>27.5</v>
      </c>
      <c r="AB19" s="14">
        <v>36</v>
      </c>
    </row>
    <row r="20" spans="2:28" ht="15">
      <c r="B20" s="72">
        <v>37</v>
      </c>
      <c r="C20" s="14">
        <v>6.6</v>
      </c>
      <c r="D20" s="14">
        <v>5.0999999999999996</v>
      </c>
      <c r="E20" s="14">
        <v>2</v>
      </c>
      <c r="F20" s="14">
        <v>1</v>
      </c>
      <c r="G20" s="14">
        <v>0.01</v>
      </c>
      <c r="H20" s="14">
        <v>0.22</v>
      </c>
      <c r="I20" s="14">
        <v>0.05</v>
      </c>
      <c r="J20" s="14">
        <v>0.16</v>
      </c>
      <c r="K20" s="14">
        <v>0.11</v>
      </c>
      <c r="L20" s="14">
        <v>0.2</v>
      </c>
      <c r="M20" s="14">
        <v>0.4</v>
      </c>
      <c r="N20" s="14">
        <v>0.05</v>
      </c>
      <c r="O20" s="14">
        <v>0.43</v>
      </c>
      <c r="P20" s="14">
        <v>0.7</v>
      </c>
      <c r="Q20" s="14">
        <v>0.09</v>
      </c>
      <c r="R20" s="14">
        <v>0</v>
      </c>
      <c r="S20" s="14">
        <v>0.2</v>
      </c>
      <c r="T20" s="14">
        <v>0.06</v>
      </c>
      <c r="U20" s="14">
        <v>0.15</v>
      </c>
      <c r="V20" s="14">
        <v>0.08</v>
      </c>
      <c r="W20" s="14">
        <v>0.28000000000000003</v>
      </c>
      <c r="X20" s="14">
        <v>1.91</v>
      </c>
      <c r="Y20" s="14">
        <v>19.600000000000001</v>
      </c>
      <c r="Z20" s="14">
        <v>10.4</v>
      </c>
      <c r="AA20" s="14">
        <v>30</v>
      </c>
      <c r="AB20" s="14">
        <v>37</v>
      </c>
    </row>
    <row r="21" spans="2:28" ht="15">
      <c r="B21" s="72">
        <v>38</v>
      </c>
      <c r="C21" s="14">
        <v>7.1</v>
      </c>
      <c r="D21" s="14">
        <v>6.2</v>
      </c>
      <c r="E21" s="14">
        <v>2.2000000000000002</v>
      </c>
      <c r="F21" s="14">
        <v>1.1000000000000001</v>
      </c>
      <c r="G21" s="14">
        <v>0.01</v>
      </c>
      <c r="H21" s="14">
        <v>0.27</v>
      </c>
      <c r="I21" s="14">
        <v>0.06</v>
      </c>
      <c r="J21" s="14">
        <v>0.16</v>
      </c>
      <c r="K21" s="14">
        <v>0.12</v>
      </c>
      <c r="L21" s="14">
        <v>0.2</v>
      </c>
      <c r="M21" s="14">
        <v>0.5</v>
      </c>
      <c r="N21" s="14">
        <v>0.05</v>
      </c>
      <c r="O21" s="14">
        <v>0.46</v>
      </c>
      <c r="P21" s="14">
        <v>0.7</v>
      </c>
      <c r="Q21" s="14">
        <v>0.1</v>
      </c>
      <c r="R21" s="14">
        <v>0</v>
      </c>
      <c r="S21" s="14">
        <v>0.2</v>
      </c>
      <c r="T21" s="14">
        <v>7.0000000000000007E-2</v>
      </c>
      <c r="U21" s="14">
        <v>0.14000000000000001</v>
      </c>
      <c r="V21" s="14">
        <v>0.09</v>
      </c>
      <c r="W21" s="14">
        <v>0.27</v>
      </c>
      <c r="X21" s="14">
        <v>2.19</v>
      </c>
      <c r="Y21" s="14">
        <v>22</v>
      </c>
      <c r="Z21" s="14">
        <v>10.9</v>
      </c>
      <c r="AA21" s="14">
        <v>32.9</v>
      </c>
      <c r="AB21" s="14">
        <v>38</v>
      </c>
    </row>
    <row r="22" spans="2:28" ht="15">
      <c r="B22" s="72">
        <v>39</v>
      </c>
      <c r="C22" s="14">
        <v>7.7</v>
      </c>
      <c r="D22" s="14">
        <v>7.5</v>
      </c>
      <c r="E22" s="14">
        <v>2.4</v>
      </c>
      <c r="F22" s="14">
        <v>1.1000000000000001</v>
      </c>
      <c r="G22" s="14">
        <v>0.02</v>
      </c>
      <c r="H22" s="14">
        <v>0.34</v>
      </c>
      <c r="I22" s="14">
        <v>0.06</v>
      </c>
      <c r="J22" s="14">
        <v>0.17</v>
      </c>
      <c r="K22" s="14">
        <v>0.12</v>
      </c>
      <c r="L22" s="14">
        <v>0.2</v>
      </c>
      <c r="M22" s="14">
        <v>0.6</v>
      </c>
      <c r="N22" s="14">
        <v>0.06</v>
      </c>
      <c r="O22" s="14">
        <v>0.49</v>
      </c>
      <c r="P22" s="14">
        <v>0.7</v>
      </c>
      <c r="Q22" s="14">
        <v>0.11</v>
      </c>
      <c r="R22" s="14">
        <v>0</v>
      </c>
      <c r="S22" s="14">
        <v>0.2</v>
      </c>
      <c r="T22" s="14">
        <v>0.08</v>
      </c>
      <c r="U22" s="14">
        <v>0.13</v>
      </c>
      <c r="V22" s="14">
        <v>0.11</v>
      </c>
      <c r="W22" s="14">
        <v>0.27</v>
      </c>
      <c r="X22" s="14">
        <v>2.5499999999999998</v>
      </c>
      <c r="Y22" s="14">
        <v>24.7</v>
      </c>
      <c r="Z22" s="14">
        <v>11.5</v>
      </c>
      <c r="AA22" s="14">
        <v>36.200000000000003</v>
      </c>
      <c r="AB22" s="14">
        <v>39</v>
      </c>
    </row>
    <row r="23" spans="2:28" ht="15">
      <c r="B23" s="72">
        <v>40</v>
      </c>
      <c r="C23" s="14">
        <v>8.4</v>
      </c>
      <c r="D23" s="14">
        <v>9.1</v>
      </c>
      <c r="E23" s="14">
        <v>2.7</v>
      </c>
      <c r="F23" s="14">
        <v>1.1000000000000001</v>
      </c>
      <c r="G23" s="14">
        <v>0.02</v>
      </c>
      <c r="H23" s="14">
        <v>0.42</v>
      </c>
      <c r="I23" s="14">
        <v>7.0000000000000007E-2</v>
      </c>
      <c r="J23" s="14">
        <v>0.18</v>
      </c>
      <c r="K23" s="14">
        <v>0.13</v>
      </c>
      <c r="L23" s="14">
        <v>0.2</v>
      </c>
      <c r="M23" s="14">
        <v>0.8</v>
      </c>
      <c r="N23" s="14">
        <v>0.06</v>
      </c>
      <c r="O23" s="14">
        <v>0.52</v>
      </c>
      <c r="P23" s="14">
        <v>0.7</v>
      </c>
      <c r="Q23" s="14">
        <v>0.12</v>
      </c>
      <c r="R23" s="14">
        <v>0</v>
      </c>
      <c r="S23" s="14">
        <v>0.2</v>
      </c>
      <c r="T23" s="14">
        <v>0.1</v>
      </c>
      <c r="U23" s="14">
        <v>0.12</v>
      </c>
      <c r="V23" s="14">
        <v>0.14000000000000001</v>
      </c>
      <c r="W23" s="14">
        <v>0.27</v>
      </c>
      <c r="X23" s="14">
        <v>2.78</v>
      </c>
      <c r="Y23" s="14">
        <v>27.9</v>
      </c>
      <c r="Z23" s="14">
        <v>12.1</v>
      </c>
      <c r="AA23" s="14">
        <v>40</v>
      </c>
      <c r="AB23" s="14">
        <v>40</v>
      </c>
    </row>
    <row r="24" spans="2:28" ht="15">
      <c r="B24" s="72">
        <v>41</v>
      </c>
      <c r="C24" s="14">
        <v>9.1999999999999993</v>
      </c>
      <c r="D24" s="14">
        <v>10.9</v>
      </c>
      <c r="E24" s="14">
        <v>3</v>
      </c>
      <c r="F24" s="14">
        <v>1.1000000000000001</v>
      </c>
      <c r="G24" s="14">
        <v>0.03</v>
      </c>
      <c r="H24" s="14">
        <v>0.51</v>
      </c>
      <c r="I24" s="14">
        <v>7.0000000000000007E-2</v>
      </c>
      <c r="J24" s="14">
        <v>0.19</v>
      </c>
      <c r="K24" s="14">
        <v>0.13</v>
      </c>
      <c r="L24" s="14">
        <v>0.21</v>
      </c>
      <c r="M24" s="14">
        <v>1.1000000000000001</v>
      </c>
      <c r="N24" s="14">
        <v>0.06</v>
      </c>
      <c r="O24" s="14">
        <v>0.56000000000000005</v>
      </c>
      <c r="P24" s="14">
        <v>0.7</v>
      </c>
      <c r="Q24" s="14">
        <v>0.13</v>
      </c>
      <c r="R24" s="14">
        <v>0</v>
      </c>
      <c r="S24" s="14">
        <v>0.2</v>
      </c>
      <c r="T24" s="14">
        <v>0.11</v>
      </c>
      <c r="U24" s="14">
        <v>0.11</v>
      </c>
      <c r="V24" s="14">
        <v>0.16</v>
      </c>
      <c r="W24" s="14">
        <v>0.27</v>
      </c>
      <c r="X24" s="14">
        <v>3.18</v>
      </c>
      <c r="Y24" s="14">
        <v>31.7</v>
      </c>
      <c r="Z24" s="14">
        <v>12.8</v>
      </c>
      <c r="AA24" s="14">
        <v>44.5</v>
      </c>
      <c r="AB24" s="14">
        <v>41</v>
      </c>
    </row>
    <row r="25" spans="2:28" ht="15">
      <c r="B25" s="72">
        <v>42</v>
      </c>
      <c r="C25" s="14">
        <v>10.199999999999999</v>
      </c>
      <c r="D25" s="14">
        <v>12.9</v>
      </c>
      <c r="E25" s="14">
        <v>3.3</v>
      </c>
      <c r="F25" s="14">
        <v>1.2</v>
      </c>
      <c r="G25" s="14">
        <v>0.03</v>
      </c>
      <c r="H25" s="14">
        <v>0.62</v>
      </c>
      <c r="I25" s="14">
        <v>0.08</v>
      </c>
      <c r="J25" s="14">
        <v>0.19</v>
      </c>
      <c r="K25" s="14">
        <v>0.13</v>
      </c>
      <c r="L25" s="14">
        <v>0.21</v>
      </c>
      <c r="M25" s="14">
        <v>1.4</v>
      </c>
      <c r="N25" s="14">
        <v>0.06</v>
      </c>
      <c r="O25" s="14">
        <v>0.6</v>
      </c>
      <c r="P25" s="14">
        <v>0.8</v>
      </c>
      <c r="Q25" s="14">
        <v>0.14000000000000001</v>
      </c>
      <c r="R25" s="14">
        <v>0</v>
      </c>
      <c r="S25" s="14">
        <v>0.3</v>
      </c>
      <c r="T25" s="14">
        <v>0.12</v>
      </c>
      <c r="U25" s="14">
        <v>0.11</v>
      </c>
      <c r="V25" s="14">
        <v>0.2</v>
      </c>
      <c r="W25" s="14">
        <v>0.26</v>
      </c>
      <c r="X25" s="14">
        <v>3.66</v>
      </c>
      <c r="Y25" s="14">
        <v>36.299999999999997</v>
      </c>
      <c r="Z25" s="14">
        <v>13.5</v>
      </c>
      <c r="AA25" s="14">
        <v>49.8</v>
      </c>
      <c r="AB25" s="14">
        <v>42</v>
      </c>
    </row>
    <row r="26" spans="2:28" ht="15">
      <c r="B26" s="72">
        <v>43</v>
      </c>
      <c r="C26" s="14">
        <v>11.3</v>
      </c>
      <c r="D26" s="14">
        <v>15.1</v>
      </c>
      <c r="E26" s="14">
        <v>3.7</v>
      </c>
      <c r="F26" s="14">
        <v>1.2</v>
      </c>
      <c r="G26" s="14">
        <v>0.04</v>
      </c>
      <c r="H26" s="14">
        <v>0.73</v>
      </c>
      <c r="I26" s="14">
        <v>0.09</v>
      </c>
      <c r="J26" s="14">
        <v>0.2</v>
      </c>
      <c r="K26" s="14">
        <v>0.14000000000000001</v>
      </c>
      <c r="L26" s="14">
        <v>0.21</v>
      </c>
      <c r="M26" s="14">
        <v>1.7</v>
      </c>
      <c r="N26" s="14">
        <v>0.06</v>
      </c>
      <c r="O26" s="14">
        <v>0.65</v>
      </c>
      <c r="P26" s="14">
        <v>0.8</v>
      </c>
      <c r="Q26" s="14">
        <v>0.15</v>
      </c>
      <c r="R26" s="14">
        <v>0</v>
      </c>
      <c r="S26" s="14">
        <v>0.3</v>
      </c>
      <c r="T26" s="14">
        <v>0.14000000000000001</v>
      </c>
      <c r="U26" s="14">
        <v>0.1</v>
      </c>
      <c r="V26" s="14">
        <v>0.23</v>
      </c>
      <c r="W26" s="14">
        <v>0.26</v>
      </c>
      <c r="X26" s="14">
        <v>4.0999999999999996</v>
      </c>
      <c r="Y26" s="14">
        <v>41</v>
      </c>
      <c r="Z26" s="14">
        <v>14.4</v>
      </c>
      <c r="AA26" s="14">
        <v>55.4</v>
      </c>
      <c r="AB26" s="14">
        <v>43</v>
      </c>
    </row>
    <row r="27" spans="2:28" ht="15">
      <c r="B27" s="72">
        <v>44</v>
      </c>
      <c r="C27" s="14">
        <v>12.5</v>
      </c>
      <c r="D27" s="14">
        <v>17.5</v>
      </c>
      <c r="E27" s="14">
        <v>4.0999999999999996</v>
      </c>
      <c r="F27" s="14">
        <v>1.1000000000000001</v>
      </c>
      <c r="G27" s="14">
        <v>0.06</v>
      </c>
      <c r="H27" s="14">
        <v>0.86</v>
      </c>
      <c r="I27" s="14">
        <v>0.1</v>
      </c>
      <c r="J27" s="14">
        <v>0.21</v>
      </c>
      <c r="K27" s="14">
        <v>0.14000000000000001</v>
      </c>
      <c r="L27" s="14">
        <v>0.21</v>
      </c>
      <c r="M27" s="14">
        <v>2.2000000000000002</v>
      </c>
      <c r="N27" s="14">
        <v>0.06</v>
      </c>
      <c r="O27" s="14">
        <v>0.7</v>
      </c>
      <c r="P27" s="14">
        <v>0.8</v>
      </c>
      <c r="Q27" s="14">
        <v>0.16</v>
      </c>
      <c r="R27" s="14">
        <v>0</v>
      </c>
      <c r="S27" s="14">
        <v>0.3</v>
      </c>
      <c r="T27" s="14">
        <v>0.16</v>
      </c>
      <c r="U27" s="14">
        <v>0.1</v>
      </c>
      <c r="V27" s="14">
        <v>0.27</v>
      </c>
      <c r="W27" s="14">
        <v>0.26</v>
      </c>
      <c r="X27" s="14">
        <v>4.51</v>
      </c>
      <c r="Y27" s="14">
        <v>46.1</v>
      </c>
      <c r="Z27" s="14">
        <v>15.2</v>
      </c>
      <c r="AA27" s="14">
        <v>61.3</v>
      </c>
      <c r="AB27" s="14">
        <v>44</v>
      </c>
    </row>
    <row r="28" spans="2:28" ht="15">
      <c r="B28" s="72">
        <v>45</v>
      </c>
      <c r="C28" s="14">
        <v>13.9</v>
      </c>
      <c r="D28" s="14">
        <v>20</v>
      </c>
      <c r="E28" s="14">
        <v>4.5</v>
      </c>
      <c r="F28" s="14">
        <v>1.1000000000000001</v>
      </c>
      <c r="G28" s="14">
        <v>7.0000000000000007E-2</v>
      </c>
      <c r="H28" s="14">
        <v>1</v>
      </c>
      <c r="I28" s="14">
        <v>0.11</v>
      </c>
      <c r="J28" s="14">
        <v>0.22</v>
      </c>
      <c r="K28" s="14">
        <v>0.15</v>
      </c>
      <c r="L28" s="14">
        <v>0.22</v>
      </c>
      <c r="M28" s="14">
        <v>2.7</v>
      </c>
      <c r="N28" s="14">
        <v>7.0000000000000007E-2</v>
      </c>
      <c r="O28" s="14">
        <v>0.77</v>
      </c>
      <c r="P28" s="14">
        <v>0.9</v>
      </c>
      <c r="Q28" s="14">
        <v>0.18</v>
      </c>
      <c r="R28" s="14">
        <v>0</v>
      </c>
      <c r="S28" s="14">
        <v>0.3</v>
      </c>
      <c r="T28" s="14">
        <v>0.18</v>
      </c>
      <c r="U28" s="14">
        <v>0.09</v>
      </c>
      <c r="V28" s="14">
        <v>0.31</v>
      </c>
      <c r="W28" s="14">
        <v>0.26</v>
      </c>
      <c r="X28" s="14">
        <v>5.19</v>
      </c>
      <c r="Y28" s="14">
        <v>52</v>
      </c>
      <c r="Z28" s="14">
        <v>16.3</v>
      </c>
      <c r="AA28" s="14">
        <v>68.3</v>
      </c>
      <c r="AB28" s="14">
        <v>45</v>
      </c>
    </row>
    <row r="29" spans="2:28" ht="15">
      <c r="B29" s="72">
        <v>46</v>
      </c>
      <c r="C29" s="14">
        <v>15.6</v>
      </c>
      <c r="D29" s="14">
        <v>22.5</v>
      </c>
      <c r="E29" s="14">
        <v>5.0999999999999996</v>
      </c>
      <c r="F29" s="14">
        <v>1.1000000000000001</v>
      </c>
      <c r="G29" s="14">
        <v>0.09</v>
      </c>
      <c r="H29" s="14">
        <v>1.1499999999999999</v>
      </c>
      <c r="I29" s="14">
        <v>0.13</v>
      </c>
      <c r="J29" s="14">
        <v>0.22</v>
      </c>
      <c r="K29" s="14">
        <v>0.15</v>
      </c>
      <c r="L29" s="14">
        <v>0.22</v>
      </c>
      <c r="M29" s="14">
        <v>3.3</v>
      </c>
      <c r="N29" s="14">
        <v>7.0000000000000007E-2</v>
      </c>
      <c r="O29" s="14">
        <v>0.84</v>
      </c>
      <c r="P29" s="14">
        <v>0.9</v>
      </c>
      <c r="Q29" s="14">
        <v>0.19</v>
      </c>
      <c r="R29" s="14">
        <v>0</v>
      </c>
      <c r="S29" s="14">
        <v>0.4</v>
      </c>
      <c r="T29" s="14">
        <v>0.2</v>
      </c>
      <c r="U29" s="14">
        <v>0.09</v>
      </c>
      <c r="V29" s="14">
        <v>0.36</v>
      </c>
      <c r="W29" s="14">
        <v>0.26</v>
      </c>
      <c r="X29" s="14">
        <v>5.84</v>
      </c>
      <c r="Y29" s="14">
        <v>58.5</v>
      </c>
      <c r="Z29" s="14">
        <v>17.7</v>
      </c>
      <c r="AA29" s="14">
        <v>76.2</v>
      </c>
      <c r="AB29" s="14">
        <v>46</v>
      </c>
    </row>
    <row r="30" spans="2:28" ht="15">
      <c r="B30" s="72">
        <v>47</v>
      </c>
      <c r="C30" s="14">
        <v>17.399999999999999</v>
      </c>
      <c r="D30" s="14">
        <v>25.1</v>
      </c>
      <c r="E30" s="14">
        <v>5.6</v>
      </c>
      <c r="F30" s="14">
        <v>1.1000000000000001</v>
      </c>
      <c r="G30" s="14">
        <v>0.12</v>
      </c>
      <c r="H30" s="14">
        <v>1.31</v>
      </c>
      <c r="I30" s="14">
        <v>0.14000000000000001</v>
      </c>
      <c r="J30" s="14">
        <v>0.23</v>
      </c>
      <c r="K30" s="14">
        <v>0.16</v>
      </c>
      <c r="L30" s="14">
        <v>0.22</v>
      </c>
      <c r="M30" s="14">
        <v>3.9</v>
      </c>
      <c r="N30" s="14">
        <v>7.0000000000000007E-2</v>
      </c>
      <c r="O30" s="14">
        <v>0.92</v>
      </c>
      <c r="P30" s="14">
        <v>0.9</v>
      </c>
      <c r="Q30" s="14">
        <v>0.21</v>
      </c>
      <c r="R30" s="14">
        <v>0</v>
      </c>
      <c r="S30" s="14">
        <v>0.4</v>
      </c>
      <c r="T30" s="14">
        <v>0.22</v>
      </c>
      <c r="U30" s="14">
        <v>0.09</v>
      </c>
      <c r="V30" s="14">
        <v>0.41</v>
      </c>
      <c r="W30" s="14">
        <v>0.26</v>
      </c>
      <c r="X30" s="14">
        <v>6.45</v>
      </c>
      <c r="Y30" s="14">
        <v>65</v>
      </c>
      <c r="Z30" s="14">
        <v>19.100000000000001</v>
      </c>
      <c r="AA30" s="14">
        <v>84.1</v>
      </c>
      <c r="AB30" s="14">
        <v>47</v>
      </c>
    </row>
    <row r="31" spans="2:28" ht="15">
      <c r="B31" s="72">
        <v>48</v>
      </c>
      <c r="C31" s="14">
        <v>19.600000000000001</v>
      </c>
      <c r="D31" s="14">
        <v>27.7</v>
      </c>
      <c r="E31" s="14">
        <v>6.2</v>
      </c>
      <c r="F31" s="14">
        <v>1.1000000000000001</v>
      </c>
      <c r="G31" s="14">
        <v>0.15</v>
      </c>
      <c r="H31" s="14">
        <v>1.47</v>
      </c>
      <c r="I31" s="14">
        <v>0.17</v>
      </c>
      <c r="J31" s="14">
        <v>0.24</v>
      </c>
      <c r="K31" s="14">
        <v>0.17</v>
      </c>
      <c r="L31" s="14">
        <v>0.23</v>
      </c>
      <c r="M31" s="14">
        <v>4.7</v>
      </c>
      <c r="N31" s="14">
        <v>0.08</v>
      </c>
      <c r="O31" s="14">
        <v>1.01</v>
      </c>
      <c r="P31" s="14">
        <v>1</v>
      </c>
      <c r="Q31" s="14">
        <v>0.23</v>
      </c>
      <c r="R31" s="14">
        <v>0</v>
      </c>
      <c r="S31" s="14">
        <v>0.4</v>
      </c>
      <c r="T31" s="14">
        <v>0.25</v>
      </c>
      <c r="U31" s="14">
        <v>0.09</v>
      </c>
      <c r="V31" s="14">
        <v>0.47</v>
      </c>
      <c r="W31" s="14">
        <v>0.26</v>
      </c>
      <c r="X31" s="14">
        <v>7.33</v>
      </c>
      <c r="Y31" s="14">
        <v>72.599999999999994</v>
      </c>
      <c r="Z31" s="14">
        <v>20.5</v>
      </c>
      <c r="AA31" s="14">
        <v>93.1</v>
      </c>
      <c r="AB31" s="14">
        <v>48</v>
      </c>
    </row>
    <row r="32" spans="2:28" ht="15">
      <c r="B32" s="72">
        <v>49</v>
      </c>
      <c r="C32" s="14">
        <v>22.1</v>
      </c>
      <c r="D32" s="14">
        <v>30.3</v>
      </c>
      <c r="E32" s="14">
        <v>6.9</v>
      </c>
      <c r="F32" s="14">
        <v>1</v>
      </c>
      <c r="G32" s="14">
        <v>0.19</v>
      </c>
      <c r="H32" s="14">
        <v>1.63</v>
      </c>
      <c r="I32" s="14">
        <v>0.2</v>
      </c>
      <c r="J32" s="14">
        <v>0.24</v>
      </c>
      <c r="K32" s="14">
        <v>0.17</v>
      </c>
      <c r="L32" s="14">
        <v>0.23</v>
      </c>
      <c r="M32" s="14">
        <v>5.5</v>
      </c>
      <c r="N32" s="14">
        <v>0.08</v>
      </c>
      <c r="O32" s="14">
        <v>1.1100000000000001</v>
      </c>
      <c r="P32" s="14">
        <v>1</v>
      </c>
      <c r="Q32" s="14">
        <v>0.25</v>
      </c>
      <c r="R32" s="14">
        <v>0</v>
      </c>
      <c r="S32" s="14">
        <v>0.5</v>
      </c>
      <c r="T32" s="14">
        <v>0.28000000000000003</v>
      </c>
      <c r="U32" s="14">
        <v>0.08</v>
      </c>
      <c r="V32" s="14">
        <v>0.54</v>
      </c>
      <c r="W32" s="14">
        <v>0.26</v>
      </c>
      <c r="X32" s="14">
        <v>8.25</v>
      </c>
      <c r="Y32" s="14">
        <v>80.599999999999994</v>
      </c>
      <c r="Z32" s="14">
        <v>21.6</v>
      </c>
      <c r="AA32" s="14">
        <v>102.2</v>
      </c>
      <c r="AB32" s="14">
        <v>49</v>
      </c>
    </row>
    <row r="33" spans="2:28" ht="15">
      <c r="B33" s="72">
        <v>50</v>
      </c>
      <c r="C33" s="14">
        <v>24.9</v>
      </c>
      <c r="D33" s="14">
        <v>33</v>
      </c>
      <c r="E33" s="14">
        <v>7.7</v>
      </c>
      <c r="F33" s="14">
        <v>1</v>
      </c>
      <c r="G33" s="14">
        <v>0.25</v>
      </c>
      <c r="H33" s="14">
        <v>1.8</v>
      </c>
      <c r="I33" s="14">
        <v>0.23</v>
      </c>
      <c r="J33" s="14">
        <v>0.25</v>
      </c>
      <c r="K33" s="14">
        <v>0.18</v>
      </c>
      <c r="L33" s="14">
        <v>0.24</v>
      </c>
      <c r="M33" s="14">
        <v>6.3</v>
      </c>
      <c r="N33" s="14">
        <v>0.08</v>
      </c>
      <c r="O33" s="14">
        <v>1.23</v>
      </c>
      <c r="P33" s="14">
        <v>1</v>
      </c>
      <c r="Q33" s="14">
        <v>0.28000000000000003</v>
      </c>
      <c r="R33" s="14">
        <v>0</v>
      </c>
      <c r="S33" s="14">
        <v>0.5</v>
      </c>
      <c r="T33" s="14">
        <v>0.31</v>
      </c>
      <c r="U33" s="14">
        <v>0.08</v>
      </c>
      <c r="V33" s="14">
        <v>0.61</v>
      </c>
      <c r="W33" s="14">
        <v>0.26</v>
      </c>
      <c r="X33" s="14">
        <v>9.33</v>
      </c>
      <c r="Y33" s="14">
        <v>89.3</v>
      </c>
      <c r="Z33" s="14">
        <v>22.8</v>
      </c>
      <c r="AA33" s="14">
        <v>112.1</v>
      </c>
      <c r="AB33" s="14">
        <v>50</v>
      </c>
    </row>
    <row r="34" spans="2:28" ht="15">
      <c r="B34" s="72">
        <v>51</v>
      </c>
      <c r="C34" s="14">
        <v>28.2</v>
      </c>
      <c r="D34" s="14">
        <v>35.6</v>
      </c>
      <c r="E34" s="14">
        <v>8.5</v>
      </c>
      <c r="F34" s="14">
        <v>1</v>
      </c>
      <c r="G34" s="14">
        <v>0.32</v>
      </c>
      <c r="H34" s="14">
        <v>1.98</v>
      </c>
      <c r="I34" s="14">
        <v>0.27</v>
      </c>
      <c r="J34" s="14">
        <v>0.25</v>
      </c>
      <c r="K34" s="14">
        <v>0.19</v>
      </c>
      <c r="L34" s="14">
        <v>0.24</v>
      </c>
      <c r="M34" s="14">
        <v>7.2</v>
      </c>
      <c r="N34" s="14">
        <v>0.09</v>
      </c>
      <c r="O34" s="14">
        <v>1.36</v>
      </c>
      <c r="P34" s="14">
        <v>1.1000000000000001</v>
      </c>
      <c r="Q34" s="14">
        <v>0.3</v>
      </c>
      <c r="R34" s="14">
        <v>0</v>
      </c>
      <c r="S34" s="14">
        <v>0.5</v>
      </c>
      <c r="T34" s="14">
        <v>0.35</v>
      </c>
      <c r="U34" s="14">
        <v>0.08</v>
      </c>
      <c r="V34" s="14">
        <v>0.69</v>
      </c>
      <c r="W34" s="14">
        <v>0.26</v>
      </c>
      <c r="X34" s="14">
        <v>10.26</v>
      </c>
      <c r="Y34" s="14">
        <v>98.5</v>
      </c>
      <c r="Z34" s="14">
        <v>23.8</v>
      </c>
      <c r="AA34" s="14">
        <v>122.3</v>
      </c>
      <c r="AB34" s="14">
        <v>51</v>
      </c>
    </row>
    <row r="35" spans="2:28" ht="15">
      <c r="B35" s="72">
        <v>52</v>
      </c>
      <c r="C35" s="14">
        <v>31.9</v>
      </c>
      <c r="D35" s="14">
        <v>38.299999999999997</v>
      </c>
      <c r="E35" s="14">
        <v>9.4</v>
      </c>
      <c r="F35" s="14">
        <v>0.9</v>
      </c>
      <c r="G35" s="14">
        <v>0.41</v>
      </c>
      <c r="H35" s="14">
        <v>2.15</v>
      </c>
      <c r="I35" s="14">
        <v>0.33</v>
      </c>
      <c r="J35" s="14">
        <v>0.26</v>
      </c>
      <c r="K35" s="14">
        <v>0.2</v>
      </c>
      <c r="L35" s="14">
        <v>0.25</v>
      </c>
      <c r="M35" s="14">
        <v>8.3000000000000007</v>
      </c>
      <c r="N35" s="14">
        <v>0.09</v>
      </c>
      <c r="O35" s="14">
        <v>1.51</v>
      </c>
      <c r="P35" s="14">
        <v>1.1000000000000001</v>
      </c>
      <c r="Q35" s="14">
        <v>0.33</v>
      </c>
      <c r="R35" s="14">
        <v>0</v>
      </c>
      <c r="S35" s="14">
        <v>0.5</v>
      </c>
      <c r="T35" s="14">
        <v>0.39</v>
      </c>
      <c r="U35" s="14">
        <v>0.08</v>
      </c>
      <c r="V35" s="14">
        <v>0.78</v>
      </c>
      <c r="W35" s="14">
        <v>0.25</v>
      </c>
      <c r="X35" s="14">
        <v>11.61</v>
      </c>
      <c r="Y35" s="14">
        <v>108.8</v>
      </c>
      <c r="Z35" s="14">
        <v>24.7</v>
      </c>
      <c r="AA35" s="14">
        <v>133.5</v>
      </c>
      <c r="AB35" s="14">
        <v>52</v>
      </c>
    </row>
    <row r="36" spans="2:28" ht="15">
      <c r="B36" s="72">
        <v>53</v>
      </c>
      <c r="C36" s="14">
        <v>36.200000000000003</v>
      </c>
      <c r="D36" s="14">
        <v>41.1</v>
      </c>
      <c r="E36" s="14">
        <v>10.3</v>
      </c>
      <c r="F36" s="14">
        <v>0.9</v>
      </c>
      <c r="G36" s="14">
        <v>0.54</v>
      </c>
      <c r="H36" s="14">
        <v>2.33</v>
      </c>
      <c r="I36" s="14">
        <v>0.39</v>
      </c>
      <c r="J36" s="14">
        <v>0.27</v>
      </c>
      <c r="K36" s="14">
        <v>0.21</v>
      </c>
      <c r="L36" s="14">
        <v>0.25</v>
      </c>
      <c r="M36" s="14">
        <v>9.3000000000000007</v>
      </c>
      <c r="N36" s="14">
        <v>0.1</v>
      </c>
      <c r="O36" s="14">
        <v>1.68</v>
      </c>
      <c r="P36" s="14">
        <v>1.2</v>
      </c>
      <c r="Q36" s="14">
        <v>0.37</v>
      </c>
      <c r="R36" s="14">
        <v>0</v>
      </c>
      <c r="S36" s="14">
        <v>0.6</v>
      </c>
      <c r="T36" s="14">
        <v>0.43</v>
      </c>
      <c r="U36" s="14">
        <v>0.08</v>
      </c>
      <c r="V36" s="14">
        <v>0.89</v>
      </c>
      <c r="W36" s="14">
        <v>0.25</v>
      </c>
      <c r="X36" s="14">
        <v>12.87</v>
      </c>
      <c r="Y36" s="14">
        <v>120</v>
      </c>
      <c r="Z36" s="14">
        <v>26</v>
      </c>
      <c r="AA36" s="14">
        <v>146</v>
      </c>
      <c r="AB36" s="14">
        <v>53</v>
      </c>
    </row>
    <row r="37" spans="2:28" ht="15">
      <c r="B37" s="72">
        <v>54</v>
      </c>
      <c r="C37" s="14">
        <v>41</v>
      </c>
      <c r="D37" s="14">
        <v>44</v>
      </c>
      <c r="E37" s="14">
        <v>11.4</v>
      </c>
      <c r="F37" s="14">
        <v>0.9</v>
      </c>
      <c r="G37" s="14">
        <v>0.7</v>
      </c>
      <c r="H37" s="14">
        <v>2.52</v>
      </c>
      <c r="I37" s="14">
        <v>0.48</v>
      </c>
      <c r="J37" s="14">
        <v>0.27</v>
      </c>
      <c r="K37" s="14">
        <v>0.22</v>
      </c>
      <c r="L37" s="14">
        <v>0.25</v>
      </c>
      <c r="M37" s="14">
        <v>10.6</v>
      </c>
      <c r="N37" s="14">
        <v>0.1</v>
      </c>
      <c r="O37" s="14">
        <v>1.87</v>
      </c>
      <c r="P37" s="14">
        <v>1.2</v>
      </c>
      <c r="Q37" s="14">
        <v>0.4</v>
      </c>
      <c r="R37" s="14">
        <v>0</v>
      </c>
      <c r="S37" s="14">
        <v>0.6</v>
      </c>
      <c r="T37" s="14">
        <v>0.48</v>
      </c>
      <c r="U37" s="14">
        <v>0.08</v>
      </c>
      <c r="V37" s="14">
        <v>1.01</v>
      </c>
      <c r="W37" s="14">
        <v>0.25</v>
      </c>
      <c r="X37" s="14">
        <v>14.32</v>
      </c>
      <c r="Y37" s="14">
        <v>132.4</v>
      </c>
      <c r="Z37" s="14">
        <v>27.3</v>
      </c>
      <c r="AA37" s="14">
        <v>159.69999999999999</v>
      </c>
      <c r="AB37" s="14">
        <v>54</v>
      </c>
    </row>
    <row r="38" spans="2:28" ht="15">
      <c r="B38" s="72">
        <v>55</v>
      </c>
      <c r="C38" s="14">
        <v>46.5</v>
      </c>
      <c r="D38" s="14">
        <v>47.1</v>
      </c>
      <c r="E38" s="14">
        <v>12.6</v>
      </c>
      <c r="F38" s="14">
        <v>0.8</v>
      </c>
      <c r="G38" s="14">
        <v>0.91</v>
      </c>
      <c r="H38" s="14">
        <v>2.71</v>
      </c>
      <c r="I38" s="14">
        <v>0.57999999999999996</v>
      </c>
      <c r="J38" s="14">
        <v>0.28000000000000003</v>
      </c>
      <c r="K38" s="14">
        <v>0.23</v>
      </c>
      <c r="L38" s="14">
        <v>0.26</v>
      </c>
      <c r="M38" s="14">
        <v>11.9</v>
      </c>
      <c r="N38" s="14">
        <v>0.11</v>
      </c>
      <c r="O38" s="14">
        <v>2.08</v>
      </c>
      <c r="P38" s="14">
        <v>1.2</v>
      </c>
      <c r="Q38" s="14">
        <v>0.44</v>
      </c>
      <c r="R38" s="14">
        <v>0</v>
      </c>
      <c r="S38" s="14">
        <v>0.6</v>
      </c>
      <c r="T38" s="14">
        <v>0.53</v>
      </c>
      <c r="U38" s="14">
        <v>0.08</v>
      </c>
      <c r="V38" s="14">
        <v>1.1499999999999999</v>
      </c>
      <c r="W38" s="14">
        <v>0.24</v>
      </c>
      <c r="X38" s="14">
        <v>15.75</v>
      </c>
      <c r="Y38" s="14">
        <v>145.80000000000001</v>
      </c>
      <c r="Z38" s="14">
        <v>29.2</v>
      </c>
      <c r="AA38" s="14">
        <v>175</v>
      </c>
      <c r="AB38" s="14">
        <v>55</v>
      </c>
    </row>
    <row r="39" spans="2:28" ht="15">
      <c r="B39" s="72">
        <v>56</v>
      </c>
      <c r="C39" s="14">
        <v>52.6</v>
      </c>
      <c r="D39" s="14">
        <v>50.4</v>
      </c>
      <c r="E39" s="14">
        <v>13.8</v>
      </c>
      <c r="F39" s="14">
        <v>0.8</v>
      </c>
      <c r="G39" s="14">
        <v>1.18</v>
      </c>
      <c r="H39" s="14">
        <v>2.91</v>
      </c>
      <c r="I39" s="14">
        <v>0.72</v>
      </c>
      <c r="J39" s="14">
        <v>0.28000000000000003</v>
      </c>
      <c r="K39" s="14">
        <v>0.24</v>
      </c>
      <c r="L39" s="14">
        <v>0.26</v>
      </c>
      <c r="M39" s="14">
        <v>13.3</v>
      </c>
      <c r="N39" s="14">
        <v>0.12</v>
      </c>
      <c r="O39" s="14">
        <v>2.31</v>
      </c>
      <c r="P39" s="14">
        <v>1.3</v>
      </c>
      <c r="Q39" s="14">
        <v>0.49</v>
      </c>
      <c r="R39" s="14">
        <v>0</v>
      </c>
      <c r="S39" s="14">
        <v>0.6</v>
      </c>
      <c r="T39" s="14">
        <v>0.59</v>
      </c>
      <c r="U39" s="14">
        <v>0.08</v>
      </c>
      <c r="V39" s="14">
        <v>1.32</v>
      </c>
      <c r="W39" s="14">
        <v>0.24</v>
      </c>
      <c r="X39" s="14">
        <v>17.22</v>
      </c>
      <c r="Y39" s="14">
        <v>160.5</v>
      </c>
      <c r="Z39" s="14">
        <v>31.6</v>
      </c>
      <c r="AA39" s="14">
        <v>192.1</v>
      </c>
      <c r="AB39" s="14">
        <v>56</v>
      </c>
    </row>
    <row r="40" spans="2:28" ht="15">
      <c r="B40" s="72">
        <v>57</v>
      </c>
      <c r="C40" s="14">
        <v>59.4</v>
      </c>
      <c r="D40" s="14">
        <v>54</v>
      </c>
      <c r="E40" s="14">
        <v>15.2</v>
      </c>
      <c r="F40" s="14">
        <v>0.7</v>
      </c>
      <c r="G40" s="14">
        <v>1.53</v>
      </c>
      <c r="H40" s="14">
        <v>3.11</v>
      </c>
      <c r="I40" s="14">
        <v>0.88</v>
      </c>
      <c r="J40" s="14">
        <v>0.28999999999999998</v>
      </c>
      <c r="K40" s="14">
        <v>0.25</v>
      </c>
      <c r="L40" s="14">
        <v>0.27</v>
      </c>
      <c r="M40" s="14">
        <v>14.9</v>
      </c>
      <c r="N40" s="14">
        <v>0.13</v>
      </c>
      <c r="O40" s="14">
        <v>2.57</v>
      </c>
      <c r="P40" s="14">
        <v>1.3</v>
      </c>
      <c r="Q40" s="14">
        <v>0.54</v>
      </c>
      <c r="R40" s="14">
        <v>0</v>
      </c>
      <c r="S40" s="14">
        <v>0.6</v>
      </c>
      <c r="T40" s="14">
        <v>0.65</v>
      </c>
      <c r="U40" s="14">
        <v>0.09</v>
      </c>
      <c r="V40" s="14">
        <v>1.52</v>
      </c>
      <c r="W40" s="14">
        <v>0.24</v>
      </c>
      <c r="X40" s="14">
        <v>18.600000000000001</v>
      </c>
      <c r="Y40" s="14">
        <v>176.5</v>
      </c>
      <c r="Z40" s="14">
        <v>34.4</v>
      </c>
      <c r="AA40" s="14">
        <v>210.9</v>
      </c>
      <c r="AB40" s="14">
        <v>57</v>
      </c>
    </row>
    <row r="41" spans="2:28" ht="15">
      <c r="B41" s="72">
        <v>58</v>
      </c>
      <c r="C41" s="14">
        <v>66.8</v>
      </c>
      <c r="D41" s="14">
        <v>57.7</v>
      </c>
      <c r="E41" s="14">
        <v>16.7</v>
      </c>
      <c r="F41" s="14">
        <v>0.7</v>
      </c>
      <c r="G41" s="14">
        <v>2.02</v>
      </c>
      <c r="H41" s="14">
        <v>3.31</v>
      </c>
      <c r="I41" s="14">
        <v>1.0900000000000001</v>
      </c>
      <c r="J41" s="14">
        <v>0.28999999999999998</v>
      </c>
      <c r="K41" s="14">
        <v>0.27</v>
      </c>
      <c r="L41" s="14">
        <v>0.28000000000000003</v>
      </c>
      <c r="M41" s="14">
        <v>16.600000000000001</v>
      </c>
      <c r="N41" s="14">
        <v>0.13</v>
      </c>
      <c r="O41" s="14">
        <v>2.86</v>
      </c>
      <c r="P41" s="14">
        <v>1.4</v>
      </c>
      <c r="Q41" s="14">
        <v>0.6</v>
      </c>
      <c r="R41" s="14">
        <v>0</v>
      </c>
      <c r="S41" s="14">
        <v>0.6</v>
      </c>
      <c r="T41" s="14">
        <v>0.71</v>
      </c>
      <c r="U41" s="14">
        <v>0.09</v>
      </c>
      <c r="V41" s="14">
        <v>1.75</v>
      </c>
      <c r="W41" s="14">
        <v>0.23</v>
      </c>
      <c r="X41" s="14">
        <v>20.14</v>
      </c>
      <c r="Y41" s="14">
        <v>194</v>
      </c>
      <c r="Z41" s="14">
        <v>37.6</v>
      </c>
      <c r="AA41" s="14">
        <v>231.6</v>
      </c>
      <c r="AB41" s="14">
        <v>58</v>
      </c>
    </row>
    <row r="42" spans="2:28" ht="15">
      <c r="B42" s="72">
        <v>59</v>
      </c>
      <c r="C42" s="14">
        <v>74.8</v>
      </c>
      <c r="D42" s="14">
        <v>61.7</v>
      </c>
      <c r="E42" s="14">
        <v>18.399999999999999</v>
      </c>
      <c r="F42" s="14">
        <v>0.7</v>
      </c>
      <c r="G42" s="14">
        <v>2.65</v>
      </c>
      <c r="H42" s="14">
        <v>3.5</v>
      </c>
      <c r="I42" s="14">
        <v>1.35</v>
      </c>
      <c r="J42" s="14">
        <v>0.3</v>
      </c>
      <c r="K42" s="14">
        <v>0.28999999999999998</v>
      </c>
      <c r="L42" s="14">
        <v>0.28999999999999998</v>
      </c>
      <c r="M42" s="14">
        <v>18.3</v>
      </c>
      <c r="N42" s="14">
        <v>0.15</v>
      </c>
      <c r="O42" s="14">
        <v>3.17</v>
      </c>
      <c r="P42" s="14">
        <v>1.4</v>
      </c>
      <c r="Q42" s="14">
        <v>0.67</v>
      </c>
      <c r="R42" s="14">
        <v>0</v>
      </c>
      <c r="S42" s="14">
        <v>0.5</v>
      </c>
      <c r="T42" s="14">
        <v>0.78</v>
      </c>
      <c r="U42" s="14">
        <v>0.09</v>
      </c>
      <c r="V42" s="14">
        <v>2.0299999999999998</v>
      </c>
      <c r="W42" s="14">
        <v>0.23</v>
      </c>
      <c r="X42" s="14">
        <v>21.38</v>
      </c>
      <c r="Y42" s="14">
        <v>212.4</v>
      </c>
      <c r="Z42" s="14">
        <v>41.3</v>
      </c>
      <c r="AA42" s="14">
        <v>253.7</v>
      </c>
      <c r="AB42" s="14">
        <v>59</v>
      </c>
    </row>
    <row r="43" spans="2:28" ht="15">
      <c r="B43" s="72">
        <v>60</v>
      </c>
      <c r="C43" s="14">
        <v>83.5</v>
      </c>
      <c r="D43" s="14">
        <v>65.8</v>
      </c>
      <c r="E43" s="14">
        <v>20.2</v>
      </c>
      <c r="F43" s="14">
        <v>0.6</v>
      </c>
      <c r="G43" s="14">
        <v>3.48</v>
      </c>
      <c r="H43" s="14">
        <v>3.69</v>
      </c>
      <c r="I43" s="14">
        <v>1.66</v>
      </c>
      <c r="J43" s="14">
        <v>0.3</v>
      </c>
      <c r="K43" s="14">
        <v>0.31</v>
      </c>
      <c r="L43" s="14">
        <v>0.3</v>
      </c>
      <c r="M43" s="14">
        <v>20.100000000000001</v>
      </c>
      <c r="N43" s="14">
        <v>0.16</v>
      </c>
      <c r="O43" s="14">
        <v>3.51</v>
      </c>
      <c r="P43" s="14">
        <v>1.5</v>
      </c>
      <c r="Q43" s="14">
        <v>0.74</v>
      </c>
      <c r="R43" s="14">
        <v>0</v>
      </c>
      <c r="S43" s="14">
        <v>0.5</v>
      </c>
      <c r="T43" s="14">
        <v>0.86</v>
      </c>
      <c r="U43" s="14">
        <v>0.09</v>
      </c>
      <c r="V43" s="14">
        <v>2.37</v>
      </c>
      <c r="W43" s="14">
        <v>0.23</v>
      </c>
      <c r="X43" s="14">
        <v>22.7</v>
      </c>
      <c r="Y43" s="14">
        <v>232.3</v>
      </c>
      <c r="Z43" s="14">
        <v>45.1</v>
      </c>
      <c r="AA43" s="14">
        <v>277.39999999999998</v>
      </c>
      <c r="AB43" s="14">
        <v>60</v>
      </c>
    </row>
    <row r="44" spans="2:28" ht="15">
      <c r="B44" s="72">
        <v>61</v>
      </c>
      <c r="C44" s="14">
        <v>92.8</v>
      </c>
      <c r="D44" s="14">
        <v>70.099999999999994</v>
      </c>
      <c r="E44" s="14">
        <v>22.1</v>
      </c>
      <c r="F44" s="14">
        <v>0.6</v>
      </c>
      <c r="G44" s="14">
        <v>4.5599999999999996</v>
      </c>
      <c r="H44" s="14">
        <v>3.87</v>
      </c>
      <c r="I44" s="14">
        <v>2.0499999999999998</v>
      </c>
      <c r="J44" s="14">
        <v>0.31</v>
      </c>
      <c r="K44" s="14">
        <v>0.33</v>
      </c>
      <c r="L44" s="14">
        <v>0.32</v>
      </c>
      <c r="M44" s="14">
        <v>22</v>
      </c>
      <c r="N44" s="14">
        <v>0.17</v>
      </c>
      <c r="O44" s="14">
        <v>3.87</v>
      </c>
      <c r="P44" s="14">
        <v>1.6</v>
      </c>
      <c r="Q44" s="14">
        <v>0.82</v>
      </c>
      <c r="R44" s="14">
        <v>0</v>
      </c>
      <c r="S44" s="14">
        <v>0.5</v>
      </c>
      <c r="T44" s="14">
        <v>0.93</v>
      </c>
      <c r="U44" s="14">
        <v>0.1</v>
      </c>
      <c r="V44" s="14">
        <v>2.76</v>
      </c>
      <c r="W44" s="14">
        <v>0.23</v>
      </c>
      <c r="X44" s="14">
        <v>23.81</v>
      </c>
      <c r="Y44" s="14">
        <v>253.5</v>
      </c>
      <c r="Z44" s="14">
        <v>49.3</v>
      </c>
      <c r="AA44" s="14">
        <v>302.8</v>
      </c>
      <c r="AB44" s="14">
        <v>61</v>
      </c>
    </row>
    <row r="45" spans="2:28" ht="15">
      <c r="B45" s="72">
        <v>62</v>
      </c>
      <c r="C45" s="14">
        <v>102.6</v>
      </c>
      <c r="D45" s="14">
        <v>74.599999999999994</v>
      </c>
      <c r="E45" s="14">
        <v>24.1</v>
      </c>
      <c r="F45" s="14">
        <v>0.5</v>
      </c>
      <c r="G45" s="14">
        <v>5.98</v>
      </c>
      <c r="H45" s="14">
        <v>4.03</v>
      </c>
      <c r="I45" s="14">
        <v>2.5</v>
      </c>
      <c r="J45" s="14">
        <v>0.32</v>
      </c>
      <c r="K45" s="14">
        <v>0.36</v>
      </c>
      <c r="L45" s="14">
        <v>0.33</v>
      </c>
      <c r="M45" s="14">
        <v>23.8</v>
      </c>
      <c r="N45" s="14">
        <v>0.19</v>
      </c>
      <c r="O45" s="14">
        <v>4.25</v>
      </c>
      <c r="P45" s="14">
        <v>1.6</v>
      </c>
      <c r="Q45" s="14">
        <v>0.91</v>
      </c>
      <c r="R45" s="14">
        <v>0</v>
      </c>
      <c r="S45" s="14">
        <v>0.4</v>
      </c>
      <c r="T45" s="14">
        <v>1.01</v>
      </c>
      <c r="U45" s="14">
        <v>0.1</v>
      </c>
      <c r="V45" s="14">
        <v>3.21</v>
      </c>
      <c r="W45" s="14">
        <v>0.23</v>
      </c>
      <c r="X45" s="14">
        <v>24.61</v>
      </c>
      <c r="Y45" s="14">
        <v>275.3</v>
      </c>
      <c r="Z45" s="14">
        <v>54</v>
      </c>
      <c r="AA45" s="14">
        <v>329.3</v>
      </c>
      <c r="AB45" s="14">
        <v>62</v>
      </c>
    </row>
    <row r="46" spans="2:28" ht="15">
      <c r="B46" s="72">
        <v>63</v>
      </c>
      <c r="C46" s="14">
        <v>112.9</v>
      </c>
      <c r="D46" s="14">
        <v>79.2</v>
      </c>
      <c r="E46" s="14">
        <v>26.4</v>
      </c>
      <c r="F46" s="14">
        <v>0.5</v>
      </c>
      <c r="G46" s="14">
        <v>7.89</v>
      </c>
      <c r="H46" s="14">
        <v>4.18</v>
      </c>
      <c r="I46" s="14">
        <v>3.03</v>
      </c>
      <c r="J46" s="14">
        <v>0.32</v>
      </c>
      <c r="K46" s="14">
        <v>0.39</v>
      </c>
      <c r="L46" s="14">
        <v>0.35</v>
      </c>
      <c r="M46" s="14">
        <v>25.5</v>
      </c>
      <c r="N46" s="14">
        <v>0.2</v>
      </c>
      <c r="O46" s="14">
        <v>4.6500000000000004</v>
      </c>
      <c r="P46" s="14">
        <v>1.7</v>
      </c>
      <c r="Q46" s="14">
        <v>1</v>
      </c>
      <c r="R46" s="14">
        <v>0</v>
      </c>
      <c r="S46" s="14">
        <v>0.4</v>
      </c>
      <c r="T46" s="14">
        <v>1.0900000000000001</v>
      </c>
      <c r="U46" s="14">
        <v>0.11</v>
      </c>
      <c r="V46" s="14">
        <v>3.75</v>
      </c>
      <c r="W46" s="14">
        <v>0.23</v>
      </c>
      <c r="X46" s="14">
        <v>25.07</v>
      </c>
      <c r="Y46" s="14">
        <v>298.5</v>
      </c>
      <c r="Z46" s="14">
        <v>59.3</v>
      </c>
      <c r="AA46" s="14">
        <v>357.8</v>
      </c>
      <c r="AB46" s="14">
        <v>63</v>
      </c>
    </row>
    <row r="47" spans="2:28" ht="15">
      <c r="B47" s="72">
        <v>64</v>
      </c>
      <c r="C47" s="14">
        <v>123.8</v>
      </c>
      <c r="D47" s="14">
        <v>83.9</v>
      </c>
      <c r="E47" s="14">
        <v>28.8</v>
      </c>
      <c r="F47" s="14">
        <v>0.4</v>
      </c>
      <c r="G47" s="14">
        <v>10.41</v>
      </c>
      <c r="H47" s="14">
        <v>4.3</v>
      </c>
      <c r="I47" s="14">
        <v>3.62</v>
      </c>
      <c r="J47" s="14">
        <v>0.33</v>
      </c>
      <c r="K47" s="14">
        <v>0.43</v>
      </c>
      <c r="L47" s="14">
        <v>0.37</v>
      </c>
      <c r="M47" s="14">
        <v>27.2</v>
      </c>
      <c r="N47" s="14">
        <v>0.22</v>
      </c>
      <c r="O47" s="14">
        <v>5.0599999999999996</v>
      </c>
      <c r="P47" s="14">
        <v>1.8</v>
      </c>
      <c r="Q47" s="14">
        <v>1.0900000000000001</v>
      </c>
      <c r="R47" s="14">
        <v>0</v>
      </c>
      <c r="S47" s="14">
        <v>0.3</v>
      </c>
      <c r="T47" s="14">
        <v>1.17</v>
      </c>
      <c r="U47" s="14">
        <v>0.11</v>
      </c>
      <c r="V47" s="14">
        <v>4.3600000000000003</v>
      </c>
      <c r="W47" s="14">
        <v>0.23</v>
      </c>
      <c r="X47" s="14">
        <v>25.25</v>
      </c>
      <c r="Y47" s="14">
        <v>322.8</v>
      </c>
      <c r="Z47" s="14">
        <v>65.2</v>
      </c>
      <c r="AA47" s="14">
        <v>388</v>
      </c>
      <c r="AB47" s="14">
        <v>64</v>
      </c>
    </row>
    <row r="48" spans="2:28" ht="15">
      <c r="B48" s="72">
        <v>65</v>
      </c>
      <c r="C48" s="14">
        <v>135.1</v>
      </c>
      <c r="D48" s="14">
        <v>88.6</v>
      </c>
      <c r="E48" s="14">
        <v>31.5</v>
      </c>
      <c r="F48" s="14">
        <v>0.4</v>
      </c>
      <c r="G48" s="14">
        <v>13.67</v>
      </c>
      <c r="H48" s="14">
        <v>4.4000000000000004</v>
      </c>
      <c r="I48" s="14">
        <v>4.29</v>
      </c>
      <c r="J48" s="14">
        <v>0.34</v>
      </c>
      <c r="K48" s="14">
        <v>0.48</v>
      </c>
      <c r="L48" s="14">
        <v>0.4</v>
      </c>
      <c r="M48" s="14">
        <v>28.7</v>
      </c>
      <c r="N48" s="14">
        <v>0.25</v>
      </c>
      <c r="O48" s="14">
        <v>5.48</v>
      </c>
      <c r="P48" s="14">
        <v>1.9</v>
      </c>
      <c r="Q48" s="14">
        <v>1.19</v>
      </c>
      <c r="R48" s="14">
        <v>0</v>
      </c>
      <c r="S48" s="14">
        <v>0.3</v>
      </c>
      <c r="T48" s="14">
        <v>1.25</v>
      </c>
      <c r="U48" s="14">
        <v>0.12</v>
      </c>
      <c r="V48" s="14">
        <v>5.07</v>
      </c>
      <c r="W48" s="14">
        <v>0.24</v>
      </c>
      <c r="X48" s="14">
        <v>24.94</v>
      </c>
      <c r="Y48" s="14">
        <v>348.2</v>
      </c>
      <c r="Z48" s="14">
        <v>72.2</v>
      </c>
      <c r="AA48" s="14">
        <v>420.4</v>
      </c>
      <c r="AB48" s="14">
        <v>65</v>
      </c>
    </row>
    <row r="49" spans="2:28" ht="15">
      <c r="B49" s="72">
        <v>66</v>
      </c>
      <c r="C49" s="14">
        <v>146.80000000000001</v>
      </c>
      <c r="D49" s="14">
        <v>93.5</v>
      </c>
      <c r="E49" s="14">
        <v>34.5</v>
      </c>
      <c r="F49" s="14">
        <v>0.4</v>
      </c>
      <c r="G49" s="14">
        <v>17.77</v>
      </c>
      <c r="H49" s="14">
        <v>4.47</v>
      </c>
      <c r="I49" s="14">
        <v>5.0199999999999996</v>
      </c>
      <c r="J49" s="14">
        <v>0.35</v>
      </c>
      <c r="K49" s="14">
        <v>0.54</v>
      </c>
      <c r="L49" s="14">
        <v>0.43</v>
      </c>
      <c r="M49" s="14">
        <v>29.9</v>
      </c>
      <c r="N49" s="14">
        <v>0.27</v>
      </c>
      <c r="O49" s="14">
        <v>5.9</v>
      </c>
      <c r="P49" s="14">
        <v>2.1</v>
      </c>
      <c r="Q49" s="14">
        <v>1.29</v>
      </c>
      <c r="R49" s="14">
        <v>0</v>
      </c>
      <c r="S49" s="14">
        <v>0.2</v>
      </c>
      <c r="T49" s="14">
        <v>1.33</v>
      </c>
      <c r="U49" s="14">
        <v>0.12</v>
      </c>
      <c r="V49" s="14">
        <v>5.88</v>
      </c>
      <c r="W49" s="14">
        <v>0.24</v>
      </c>
      <c r="X49" s="14">
        <v>0</v>
      </c>
      <c r="Y49" s="14">
        <v>350.6</v>
      </c>
      <c r="Z49" s="14">
        <v>97.3</v>
      </c>
      <c r="AA49" s="14">
        <v>447.9</v>
      </c>
      <c r="AB49" s="14">
        <v>66</v>
      </c>
    </row>
    <row r="50" spans="2:28" ht="15">
      <c r="B50" s="72">
        <v>67</v>
      </c>
      <c r="C50" s="14">
        <v>159</v>
      </c>
      <c r="D50" s="14">
        <v>98.4</v>
      </c>
      <c r="E50" s="14">
        <v>37.700000000000003</v>
      </c>
      <c r="F50" s="14">
        <v>0.3</v>
      </c>
      <c r="G50" s="14">
        <v>22.71</v>
      </c>
      <c r="H50" s="14">
        <v>4.51</v>
      </c>
      <c r="I50" s="14">
        <v>5.8</v>
      </c>
      <c r="J50" s="14">
        <v>0.36</v>
      </c>
      <c r="K50" s="14">
        <v>0.61</v>
      </c>
      <c r="L50" s="14">
        <v>0.46</v>
      </c>
      <c r="M50" s="14">
        <v>31</v>
      </c>
      <c r="N50" s="14">
        <v>0.3</v>
      </c>
      <c r="O50" s="14">
        <v>6.33</v>
      </c>
      <c r="P50" s="14">
        <v>2.2000000000000002</v>
      </c>
      <c r="Q50" s="14">
        <v>1.39</v>
      </c>
      <c r="R50" s="14">
        <v>0</v>
      </c>
      <c r="S50" s="14">
        <v>0.2</v>
      </c>
      <c r="T50" s="14">
        <v>1.4</v>
      </c>
      <c r="U50" s="14">
        <v>0.13</v>
      </c>
      <c r="V50" s="14">
        <v>6.77</v>
      </c>
      <c r="W50" s="14">
        <v>0.24</v>
      </c>
      <c r="X50" s="14">
        <v>0</v>
      </c>
      <c r="Y50" s="14">
        <v>379.3</v>
      </c>
      <c r="Z50" s="14">
        <v>108.1</v>
      </c>
      <c r="AA50" s="14">
        <v>487.4</v>
      </c>
      <c r="AB50" s="14">
        <v>67</v>
      </c>
    </row>
    <row r="51" spans="2:28" ht="15">
      <c r="B51" s="72">
        <v>68</v>
      </c>
      <c r="C51" s="14">
        <v>171.7</v>
      </c>
      <c r="D51" s="14">
        <v>103.5</v>
      </c>
      <c r="E51" s="14">
        <v>41.3</v>
      </c>
      <c r="F51" s="14">
        <v>0.3</v>
      </c>
      <c r="G51" s="14">
        <v>28.47</v>
      </c>
      <c r="H51" s="14">
        <v>4.51</v>
      </c>
      <c r="I51" s="14">
        <v>6.61</v>
      </c>
      <c r="J51" s="14">
        <v>0.37</v>
      </c>
      <c r="K51" s="14">
        <v>0.69</v>
      </c>
      <c r="L51" s="14">
        <v>0.5</v>
      </c>
      <c r="M51" s="14">
        <v>31.9</v>
      </c>
      <c r="N51" s="14">
        <v>0.33</v>
      </c>
      <c r="O51" s="14">
        <v>6.74</v>
      </c>
      <c r="P51" s="14">
        <v>2.4</v>
      </c>
      <c r="Q51" s="14">
        <v>1.49</v>
      </c>
      <c r="R51" s="14">
        <v>0</v>
      </c>
      <c r="S51" s="14">
        <v>0.2</v>
      </c>
      <c r="T51" s="14">
        <v>1.48</v>
      </c>
      <c r="U51" s="14">
        <v>0.13</v>
      </c>
      <c r="V51" s="14">
        <v>7.74</v>
      </c>
      <c r="W51" s="14">
        <v>0.25</v>
      </c>
      <c r="X51" s="14">
        <v>0</v>
      </c>
      <c r="Y51" s="14">
        <v>410.1</v>
      </c>
      <c r="Z51" s="14">
        <v>120.6</v>
      </c>
      <c r="AA51" s="14">
        <v>530.70000000000005</v>
      </c>
      <c r="AB51" s="14">
        <v>68</v>
      </c>
    </row>
    <row r="52" spans="2:28" ht="15">
      <c r="B52" s="72">
        <v>69</v>
      </c>
      <c r="C52" s="14">
        <v>184.9</v>
      </c>
      <c r="D52" s="14">
        <v>108.7</v>
      </c>
      <c r="E52" s="14">
        <v>45.2</v>
      </c>
      <c r="F52" s="14">
        <v>0.3</v>
      </c>
      <c r="G52" s="14">
        <v>35.03</v>
      </c>
      <c r="H52" s="14">
        <v>4.49</v>
      </c>
      <c r="I52" s="14">
        <v>7.44</v>
      </c>
      <c r="J52" s="14">
        <v>0.38</v>
      </c>
      <c r="K52" s="14">
        <v>0.8</v>
      </c>
      <c r="L52" s="14">
        <v>0.54</v>
      </c>
      <c r="M52" s="14">
        <v>32.700000000000003</v>
      </c>
      <c r="N52" s="14">
        <v>0.37</v>
      </c>
      <c r="O52" s="14">
        <v>7.15</v>
      </c>
      <c r="P52" s="14">
        <v>2.6</v>
      </c>
      <c r="Q52" s="14">
        <v>1.59</v>
      </c>
      <c r="R52" s="14">
        <v>0</v>
      </c>
      <c r="S52" s="14">
        <v>0.1</v>
      </c>
      <c r="T52" s="14">
        <v>1.54</v>
      </c>
      <c r="U52" s="14">
        <v>0.14000000000000001</v>
      </c>
      <c r="V52" s="14">
        <v>8.7799999999999994</v>
      </c>
      <c r="W52" s="14">
        <v>0.25</v>
      </c>
      <c r="X52" s="14">
        <v>0</v>
      </c>
      <c r="Y52" s="14">
        <v>442.5</v>
      </c>
      <c r="Z52" s="14">
        <v>134.9</v>
      </c>
      <c r="AA52" s="14">
        <v>577.4</v>
      </c>
      <c r="AB52" s="14">
        <v>69</v>
      </c>
    </row>
    <row r="53" spans="2:28" ht="15">
      <c r="B53" s="73">
        <v>70</v>
      </c>
      <c r="C53" s="14">
        <v>198.6</v>
      </c>
      <c r="D53" s="14">
        <v>114.1</v>
      </c>
      <c r="E53" s="14">
        <v>49.7</v>
      </c>
      <c r="F53" s="14">
        <v>0.2</v>
      </c>
      <c r="G53" s="14">
        <v>42.34</v>
      </c>
      <c r="H53" s="14">
        <v>4.42</v>
      </c>
      <c r="I53" s="14">
        <v>8.25</v>
      </c>
      <c r="J53" s="14">
        <v>0.39</v>
      </c>
      <c r="K53" s="14">
        <v>0.93</v>
      </c>
      <c r="L53" s="14">
        <v>0.57999999999999996</v>
      </c>
      <c r="M53" s="14">
        <v>33.299999999999997</v>
      </c>
      <c r="N53" s="14">
        <v>0.42</v>
      </c>
      <c r="O53" s="14">
        <v>7.54</v>
      </c>
      <c r="P53" s="14">
        <v>2.9</v>
      </c>
      <c r="Q53" s="14">
        <v>1.69</v>
      </c>
      <c r="R53" s="14">
        <v>0</v>
      </c>
      <c r="S53" s="14">
        <v>0.1</v>
      </c>
      <c r="T53" s="14">
        <v>1.6</v>
      </c>
      <c r="U53" s="14">
        <v>0.15</v>
      </c>
      <c r="V53" s="14">
        <v>9.8699999999999992</v>
      </c>
      <c r="W53" s="14">
        <v>0.26</v>
      </c>
      <c r="X53" s="14">
        <v>0</v>
      </c>
      <c r="Y53" s="14">
        <v>476.8</v>
      </c>
      <c r="Z53" s="14">
        <v>151.4</v>
      </c>
      <c r="AA53" s="14">
        <v>628.20000000000005</v>
      </c>
      <c r="AB53" s="14">
        <v>70</v>
      </c>
    </row>
    <row r="54" spans="2:28">
      <c r="B54" t="s">
        <v>14</v>
      </c>
    </row>
    <row r="55" spans="2:28">
      <c r="B55" s="14">
        <v>20</v>
      </c>
      <c r="C55" s="14">
        <v>2.1</v>
      </c>
      <c r="D55" s="14">
        <v>0</v>
      </c>
      <c r="E55" s="14">
        <v>0.5</v>
      </c>
      <c r="F55" s="14">
        <v>0.3</v>
      </c>
      <c r="G55" s="14">
        <v>0</v>
      </c>
      <c r="H55" s="14">
        <v>0</v>
      </c>
      <c r="I55" s="14">
        <v>0</v>
      </c>
      <c r="J55" s="14">
        <v>0.05</v>
      </c>
      <c r="K55" s="14">
        <v>0.08</v>
      </c>
      <c r="L55" s="14">
        <v>0.16</v>
      </c>
      <c r="M55" s="14">
        <v>0</v>
      </c>
      <c r="N55" s="14">
        <v>0.04</v>
      </c>
      <c r="O55" s="14">
        <v>0.16</v>
      </c>
      <c r="P55" s="14">
        <v>0.1</v>
      </c>
      <c r="Q55" s="14">
        <v>0.01</v>
      </c>
      <c r="R55" s="14">
        <v>0</v>
      </c>
      <c r="S55" s="14">
        <v>0.1</v>
      </c>
      <c r="T55" s="14">
        <v>0</v>
      </c>
      <c r="U55" s="14">
        <v>0.13</v>
      </c>
      <c r="V55" s="14">
        <v>0</v>
      </c>
      <c r="W55" s="14">
        <v>0.14000000000000001</v>
      </c>
      <c r="X55" s="14">
        <v>0.68</v>
      </c>
      <c r="Y55" s="14">
        <v>4.4000000000000004</v>
      </c>
      <c r="Z55" s="14">
        <v>2.2999999999999998</v>
      </c>
      <c r="AA55" s="14">
        <v>6.7</v>
      </c>
      <c r="AB55" s="14">
        <v>20</v>
      </c>
    </row>
    <row r="56" spans="2:28">
      <c r="B56" s="14">
        <v>21</v>
      </c>
      <c r="C56" s="14">
        <v>2.2999999999999998</v>
      </c>
      <c r="D56" s="14">
        <v>0.1</v>
      </c>
      <c r="E56" s="14">
        <v>0.5</v>
      </c>
      <c r="F56" s="14">
        <v>0.3</v>
      </c>
      <c r="G56" s="14">
        <v>0</v>
      </c>
      <c r="H56" s="14">
        <v>0</v>
      </c>
      <c r="I56" s="14">
        <v>0</v>
      </c>
      <c r="J56" s="14">
        <v>0.05</v>
      </c>
      <c r="K56" s="14">
        <v>0.08</v>
      </c>
      <c r="L56" s="14">
        <v>0.15</v>
      </c>
      <c r="M56" s="14">
        <v>0</v>
      </c>
      <c r="N56" s="14">
        <v>0.04</v>
      </c>
      <c r="O56" s="14">
        <v>0.16</v>
      </c>
      <c r="P56" s="14">
        <v>0.2</v>
      </c>
      <c r="Q56" s="14">
        <v>0.01</v>
      </c>
      <c r="R56" s="14">
        <v>0</v>
      </c>
      <c r="S56" s="14">
        <v>0.1</v>
      </c>
      <c r="T56" s="14">
        <v>0</v>
      </c>
      <c r="U56" s="14">
        <v>0.12</v>
      </c>
      <c r="V56" s="14">
        <v>0</v>
      </c>
      <c r="W56" s="14">
        <v>0.15</v>
      </c>
      <c r="X56" s="14">
        <v>0.78</v>
      </c>
      <c r="Y56" s="14">
        <v>4.9000000000000004</v>
      </c>
      <c r="Z56" s="14">
        <v>2.2999999999999998</v>
      </c>
      <c r="AA56" s="14">
        <v>7.2</v>
      </c>
      <c r="AB56" s="14">
        <v>21</v>
      </c>
    </row>
    <row r="57" spans="2:28">
      <c r="B57" s="14">
        <v>22</v>
      </c>
      <c r="C57" s="14">
        <v>2.6</v>
      </c>
      <c r="D57" s="14">
        <v>0.1</v>
      </c>
      <c r="E57" s="14">
        <v>0.6</v>
      </c>
      <c r="F57" s="14">
        <v>0.4</v>
      </c>
      <c r="G57" s="14">
        <v>0</v>
      </c>
      <c r="H57" s="14">
        <v>0</v>
      </c>
      <c r="I57" s="14">
        <v>0</v>
      </c>
      <c r="J57" s="14">
        <v>0.05</v>
      </c>
      <c r="K57" s="14">
        <v>0.08</v>
      </c>
      <c r="L57" s="14">
        <v>0.14000000000000001</v>
      </c>
      <c r="M57" s="14">
        <v>0</v>
      </c>
      <c r="N57" s="14">
        <v>0.04</v>
      </c>
      <c r="O57" s="14">
        <v>0.16</v>
      </c>
      <c r="P57" s="14">
        <v>0.2</v>
      </c>
      <c r="Q57" s="14">
        <v>0.01</v>
      </c>
      <c r="R57" s="14">
        <v>0</v>
      </c>
      <c r="S57" s="14">
        <v>0.1</v>
      </c>
      <c r="T57" s="14">
        <v>0</v>
      </c>
      <c r="U57" s="14">
        <v>0.12</v>
      </c>
      <c r="V57" s="14">
        <v>0</v>
      </c>
      <c r="W57" s="14">
        <v>0.15</v>
      </c>
      <c r="X57" s="14">
        <v>0.87</v>
      </c>
      <c r="Y57" s="14">
        <v>5.5</v>
      </c>
      <c r="Z57" s="14">
        <v>2.2999999999999998</v>
      </c>
      <c r="AA57" s="14">
        <v>7.8</v>
      </c>
      <c r="AB57" s="14">
        <v>22</v>
      </c>
    </row>
    <row r="58" spans="2:28">
      <c r="B58" s="14">
        <v>23</v>
      </c>
      <c r="C58" s="14">
        <v>3</v>
      </c>
      <c r="D58" s="14">
        <v>0.1</v>
      </c>
      <c r="E58" s="14">
        <v>0.6</v>
      </c>
      <c r="F58" s="14">
        <v>0.5</v>
      </c>
      <c r="G58" s="14">
        <v>0</v>
      </c>
      <c r="H58" s="14">
        <v>0</v>
      </c>
      <c r="I58" s="14">
        <v>0</v>
      </c>
      <c r="J58" s="14">
        <v>0.05</v>
      </c>
      <c r="K58" s="14">
        <v>0.08</v>
      </c>
      <c r="L58" s="14">
        <v>0.13</v>
      </c>
      <c r="M58" s="14">
        <v>0</v>
      </c>
      <c r="N58" s="14">
        <v>0.04</v>
      </c>
      <c r="O58" s="14">
        <v>0.16</v>
      </c>
      <c r="P58" s="14">
        <v>0.2</v>
      </c>
      <c r="Q58" s="14">
        <v>0.01</v>
      </c>
      <c r="R58" s="14">
        <v>0</v>
      </c>
      <c r="S58" s="14">
        <v>0.1</v>
      </c>
      <c r="T58" s="14">
        <v>0</v>
      </c>
      <c r="U58" s="14">
        <v>0.12</v>
      </c>
      <c r="V58" s="14">
        <v>0</v>
      </c>
      <c r="W58" s="14">
        <v>0.15</v>
      </c>
      <c r="X58" s="14">
        <v>0.96</v>
      </c>
      <c r="Y58" s="14">
        <v>6.1</v>
      </c>
      <c r="Z58" s="14">
        <v>2.2999999999999998</v>
      </c>
      <c r="AA58" s="14">
        <v>8.4</v>
      </c>
      <c r="AB58" s="14">
        <v>23</v>
      </c>
    </row>
    <row r="59" spans="2:28">
      <c r="B59" s="14">
        <v>24</v>
      </c>
      <c r="C59" s="14">
        <v>3.3</v>
      </c>
      <c r="D59" s="14">
        <v>0.1</v>
      </c>
      <c r="E59" s="14">
        <v>0.7</v>
      </c>
      <c r="F59" s="14">
        <v>0.6</v>
      </c>
      <c r="G59" s="14">
        <v>0</v>
      </c>
      <c r="H59" s="14">
        <v>0</v>
      </c>
      <c r="I59" s="14">
        <v>0</v>
      </c>
      <c r="J59" s="14">
        <v>0.05</v>
      </c>
      <c r="K59" s="14">
        <v>0.08</v>
      </c>
      <c r="L59" s="14">
        <v>0.12</v>
      </c>
      <c r="M59" s="14">
        <v>0</v>
      </c>
      <c r="N59" s="14">
        <v>0.04</v>
      </c>
      <c r="O59" s="14">
        <v>0.16</v>
      </c>
      <c r="P59" s="14">
        <v>0.2</v>
      </c>
      <c r="Q59" s="14">
        <v>0.01</v>
      </c>
      <c r="R59" s="14">
        <v>0</v>
      </c>
      <c r="S59" s="14">
        <v>0.1</v>
      </c>
      <c r="T59" s="14">
        <v>0</v>
      </c>
      <c r="U59" s="14">
        <v>0.12</v>
      </c>
      <c r="V59" s="14">
        <v>0</v>
      </c>
      <c r="W59" s="14">
        <v>0.16</v>
      </c>
      <c r="X59" s="14">
        <v>1.1499999999999999</v>
      </c>
      <c r="Y59" s="14">
        <v>6.8</v>
      </c>
      <c r="Z59" s="14">
        <v>2.2999999999999998</v>
      </c>
      <c r="AA59" s="14">
        <v>9.1</v>
      </c>
      <c r="AB59" s="14">
        <v>24</v>
      </c>
    </row>
    <row r="60" spans="2:28">
      <c r="B60" s="14">
        <v>25</v>
      </c>
      <c r="C60" s="14">
        <v>3.8</v>
      </c>
      <c r="D60" s="14">
        <v>0.1</v>
      </c>
      <c r="E60" s="14">
        <v>0.7</v>
      </c>
      <c r="F60" s="14">
        <v>0.7</v>
      </c>
      <c r="G60" s="14">
        <v>0</v>
      </c>
      <c r="H60" s="14">
        <v>0</v>
      </c>
      <c r="I60" s="14">
        <v>0.01</v>
      </c>
      <c r="J60" s="14">
        <v>0.06</v>
      </c>
      <c r="K60" s="14">
        <v>0.09</v>
      </c>
      <c r="L60" s="14">
        <v>0.12</v>
      </c>
      <c r="M60" s="14">
        <v>0</v>
      </c>
      <c r="N60" s="14">
        <v>0.04</v>
      </c>
      <c r="O60" s="14">
        <v>0.16</v>
      </c>
      <c r="P60" s="14">
        <v>0.2</v>
      </c>
      <c r="Q60" s="14">
        <v>0.01</v>
      </c>
      <c r="R60" s="14">
        <v>0</v>
      </c>
      <c r="S60" s="14">
        <v>0.1</v>
      </c>
      <c r="T60" s="14">
        <v>0</v>
      </c>
      <c r="U60" s="14">
        <v>0.11</v>
      </c>
      <c r="V60" s="14">
        <v>0.01</v>
      </c>
      <c r="W60" s="14">
        <v>0.16</v>
      </c>
      <c r="X60" s="14">
        <v>1.35</v>
      </c>
      <c r="Y60" s="14">
        <v>7.6</v>
      </c>
      <c r="Z60" s="14">
        <v>2.4</v>
      </c>
      <c r="AA60" s="14">
        <v>10</v>
      </c>
      <c r="AB60" s="14">
        <v>25</v>
      </c>
    </row>
    <row r="61" spans="2:28">
      <c r="B61" s="14">
        <v>26</v>
      </c>
      <c r="C61" s="14">
        <v>4.2</v>
      </c>
      <c r="D61" s="14">
        <v>0.1</v>
      </c>
      <c r="E61" s="14">
        <v>0.8</v>
      </c>
      <c r="F61" s="14">
        <v>0.9</v>
      </c>
      <c r="G61" s="14">
        <v>0</v>
      </c>
      <c r="H61" s="14">
        <v>0</v>
      </c>
      <c r="I61" s="14">
        <v>0.01</v>
      </c>
      <c r="J61" s="14">
        <v>0.06</v>
      </c>
      <c r="K61" s="14">
        <v>0.09</v>
      </c>
      <c r="L61" s="14">
        <v>0.11</v>
      </c>
      <c r="M61" s="14">
        <v>0</v>
      </c>
      <c r="N61" s="14">
        <v>0.04</v>
      </c>
      <c r="O61" s="14">
        <v>0.16</v>
      </c>
      <c r="P61" s="14">
        <v>0.2</v>
      </c>
      <c r="Q61" s="14">
        <v>0.02</v>
      </c>
      <c r="R61" s="14">
        <v>0</v>
      </c>
      <c r="S61" s="14">
        <v>0.1</v>
      </c>
      <c r="T61" s="14">
        <v>0</v>
      </c>
      <c r="U61" s="14">
        <v>0.11</v>
      </c>
      <c r="V61" s="14">
        <v>0.01</v>
      </c>
      <c r="W61" s="14">
        <v>0.16</v>
      </c>
      <c r="X61" s="14">
        <v>1.54</v>
      </c>
      <c r="Y61" s="14">
        <v>8.5</v>
      </c>
      <c r="Z61" s="14">
        <v>2.4</v>
      </c>
      <c r="AA61" s="14">
        <v>10.9</v>
      </c>
      <c r="AB61" s="14">
        <v>26</v>
      </c>
    </row>
    <row r="62" spans="2:28">
      <c r="B62" s="14">
        <v>27</v>
      </c>
      <c r="C62" s="14">
        <v>4.8</v>
      </c>
      <c r="D62" s="14">
        <v>0.2</v>
      </c>
      <c r="E62" s="14">
        <v>0.8</v>
      </c>
      <c r="F62" s="14">
        <v>1</v>
      </c>
      <c r="G62" s="14">
        <v>0</v>
      </c>
      <c r="H62" s="14">
        <v>0</v>
      </c>
      <c r="I62" s="14">
        <v>0.01</v>
      </c>
      <c r="J62" s="14">
        <v>0.06</v>
      </c>
      <c r="K62" s="14">
        <v>0.09</v>
      </c>
      <c r="L62" s="14">
        <v>0.1</v>
      </c>
      <c r="M62" s="14">
        <v>0</v>
      </c>
      <c r="N62" s="14">
        <v>0.05</v>
      </c>
      <c r="O62" s="14">
        <v>0.17</v>
      </c>
      <c r="P62" s="14">
        <v>0.3</v>
      </c>
      <c r="Q62" s="14">
        <v>0.02</v>
      </c>
      <c r="R62" s="14">
        <v>0</v>
      </c>
      <c r="S62" s="14">
        <v>0.1</v>
      </c>
      <c r="T62" s="14">
        <v>0</v>
      </c>
      <c r="U62" s="14">
        <v>0.11</v>
      </c>
      <c r="V62" s="14">
        <v>0.01</v>
      </c>
      <c r="W62" s="14">
        <v>0.16</v>
      </c>
      <c r="X62" s="14">
        <v>1.73</v>
      </c>
      <c r="Y62" s="14">
        <v>9.6</v>
      </c>
      <c r="Z62" s="14">
        <v>2.5</v>
      </c>
      <c r="AA62" s="14">
        <v>12.1</v>
      </c>
      <c r="AB62" s="14">
        <v>27</v>
      </c>
    </row>
    <row r="63" spans="2:28">
      <c r="B63" s="14">
        <v>28</v>
      </c>
      <c r="C63" s="14">
        <v>5.3</v>
      </c>
      <c r="D63" s="14">
        <v>0.2</v>
      </c>
      <c r="E63" s="14">
        <v>0.9</v>
      </c>
      <c r="F63" s="14">
        <v>1.2</v>
      </c>
      <c r="G63" s="14">
        <v>0</v>
      </c>
      <c r="H63" s="14">
        <v>0.01</v>
      </c>
      <c r="I63" s="14">
        <v>0.01</v>
      </c>
      <c r="J63" s="14">
        <v>0.06</v>
      </c>
      <c r="K63" s="14">
        <v>0.09</v>
      </c>
      <c r="L63" s="14">
        <v>0.1</v>
      </c>
      <c r="M63" s="14">
        <v>0</v>
      </c>
      <c r="N63" s="14">
        <v>0.05</v>
      </c>
      <c r="O63" s="14">
        <v>0.17</v>
      </c>
      <c r="P63" s="14">
        <v>0.3</v>
      </c>
      <c r="Q63" s="14">
        <v>0.02</v>
      </c>
      <c r="R63" s="14">
        <v>0</v>
      </c>
      <c r="S63" s="14">
        <v>0.1</v>
      </c>
      <c r="T63" s="14">
        <v>0.01</v>
      </c>
      <c r="U63" s="14">
        <v>0.1</v>
      </c>
      <c r="V63" s="14">
        <v>0.01</v>
      </c>
      <c r="W63" s="14">
        <v>0.16</v>
      </c>
      <c r="X63" s="14">
        <v>1.92</v>
      </c>
      <c r="Y63" s="14">
        <v>10.6</v>
      </c>
      <c r="Z63" s="14">
        <v>2.6</v>
      </c>
      <c r="AA63" s="14">
        <v>13.2</v>
      </c>
      <c r="AB63" s="14">
        <v>28</v>
      </c>
    </row>
    <row r="64" spans="2:28">
      <c r="B64" s="14">
        <v>29</v>
      </c>
      <c r="C64" s="14">
        <v>6</v>
      </c>
      <c r="D64" s="14">
        <v>0.2</v>
      </c>
      <c r="E64" s="14">
        <v>0.9</v>
      </c>
      <c r="F64" s="14">
        <v>1.3</v>
      </c>
      <c r="G64" s="14">
        <v>0</v>
      </c>
      <c r="H64" s="14">
        <v>0.01</v>
      </c>
      <c r="I64" s="14">
        <v>0.01</v>
      </c>
      <c r="J64" s="14">
        <v>7.0000000000000007E-2</v>
      </c>
      <c r="K64" s="14">
        <v>0.09</v>
      </c>
      <c r="L64" s="14">
        <v>0.1</v>
      </c>
      <c r="M64" s="14">
        <v>0</v>
      </c>
      <c r="N64" s="14">
        <v>0.05</v>
      </c>
      <c r="O64" s="14">
        <v>0.17</v>
      </c>
      <c r="P64" s="14">
        <v>0.3</v>
      </c>
      <c r="Q64" s="14">
        <v>0.02</v>
      </c>
      <c r="R64" s="14">
        <v>0</v>
      </c>
      <c r="S64" s="14">
        <v>0.1</v>
      </c>
      <c r="T64" s="14">
        <v>0.01</v>
      </c>
      <c r="U64" s="14">
        <v>0.1</v>
      </c>
      <c r="V64" s="14">
        <v>0.01</v>
      </c>
      <c r="W64" s="14">
        <v>0.16</v>
      </c>
      <c r="X64" s="14">
        <v>2.21</v>
      </c>
      <c r="Y64" s="14">
        <v>11.7</v>
      </c>
      <c r="Z64" s="14">
        <v>2.7</v>
      </c>
      <c r="AA64" s="14">
        <v>14.4</v>
      </c>
      <c r="AB64" s="14">
        <v>29</v>
      </c>
    </row>
    <row r="65" spans="2:28">
      <c r="B65" s="14">
        <v>30</v>
      </c>
      <c r="C65" s="14">
        <v>6.7</v>
      </c>
      <c r="D65" s="14">
        <v>0.3</v>
      </c>
      <c r="E65" s="14">
        <v>1</v>
      </c>
      <c r="F65" s="14">
        <v>1.5</v>
      </c>
      <c r="G65" s="14">
        <v>0</v>
      </c>
      <c r="H65" s="14">
        <v>0.01</v>
      </c>
      <c r="I65" s="14">
        <v>0.01</v>
      </c>
      <c r="J65" s="14">
        <v>7.0000000000000007E-2</v>
      </c>
      <c r="K65" s="14">
        <v>0.1</v>
      </c>
      <c r="L65" s="14">
        <v>0.09</v>
      </c>
      <c r="M65" s="14">
        <v>0</v>
      </c>
      <c r="N65" s="14">
        <v>0.05</v>
      </c>
      <c r="O65" s="14">
        <v>0.17</v>
      </c>
      <c r="P65" s="14">
        <v>0.3</v>
      </c>
      <c r="Q65" s="14">
        <v>0.02</v>
      </c>
      <c r="R65" s="14">
        <v>0</v>
      </c>
      <c r="S65" s="14">
        <v>0.1</v>
      </c>
      <c r="T65" s="14">
        <v>0.01</v>
      </c>
      <c r="U65" s="14">
        <v>0.1</v>
      </c>
      <c r="V65" s="14">
        <v>0.01</v>
      </c>
      <c r="W65" s="14">
        <v>0.16</v>
      </c>
      <c r="X65" s="14">
        <v>2.5</v>
      </c>
      <c r="Y65" s="14">
        <v>13.1</v>
      </c>
      <c r="Z65" s="14">
        <v>2.8</v>
      </c>
      <c r="AA65" s="14">
        <v>15.9</v>
      </c>
      <c r="AB65" s="14">
        <v>30</v>
      </c>
    </row>
    <row r="66" spans="2:28">
      <c r="B66" s="14">
        <v>31</v>
      </c>
      <c r="C66" s="14">
        <v>7.4</v>
      </c>
      <c r="D66" s="14">
        <v>0.4</v>
      </c>
      <c r="E66" s="14">
        <v>1.1000000000000001</v>
      </c>
      <c r="F66" s="14">
        <v>1.6</v>
      </c>
      <c r="G66" s="14">
        <v>0</v>
      </c>
      <c r="H66" s="14">
        <v>0.01</v>
      </c>
      <c r="I66" s="14">
        <v>0.01</v>
      </c>
      <c r="J66" s="14">
        <v>0.08</v>
      </c>
      <c r="K66" s="14">
        <v>0.1</v>
      </c>
      <c r="L66" s="14">
        <v>0.09</v>
      </c>
      <c r="M66" s="14">
        <v>0</v>
      </c>
      <c r="N66" s="14">
        <v>0.05</v>
      </c>
      <c r="O66" s="14">
        <v>0.17</v>
      </c>
      <c r="P66" s="14">
        <v>0.3</v>
      </c>
      <c r="Q66" s="14">
        <v>0.02</v>
      </c>
      <c r="R66" s="14">
        <v>0</v>
      </c>
      <c r="S66" s="14">
        <v>0.1</v>
      </c>
      <c r="T66" s="14">
        <v>0.01</v>
      </c>
      <c r="U66" s="14">
        <v>0.09</v>
      </c>
      <c r="V66" s="14">
        <v>0.02</v>
      </c>
      <c r="W66" s="14">
        <v>0.16</v>
      </c>
      <c r="X66" s="14">
        <v>2.78</v>
      </c>
      <c r="Y66" s="14">
        <v>14.4</v>
      </c>
      <c r="Z66" s="14">
        <v>3</v>
      </c>
      <c r="AA66" s="14">
        <v>17.399999999999999</v>
      </c>
      <c r="AB66" s="14">
        <v>31</v>
      </c>
    </row>
    <row r="67" spans="2:28">
      <c r="B67" s="14">
        <v>32</v>
      </c>
      <c r="C67" s="14">
        <v>8.3000000000000007</v>
      </c>
      <c r="D67" s="14">
        <v>0.4</v>
      </c>
      <c r="E67" s="14">
        <v>1.2</v>
      </c>
      <c r="F67" s="14">
        <v>1.8</v>
      </c>
      <c r="G67" s="14">
        <v>0.01</v>
      </c>
      <c r="H67" s="14">
        <v>0.01</v>
      </c>
      <c r="I67" s="14">
        <v>0.01</v>
      </c>
      <c r="J67" s="14">
        <v>0.08</v>
      </c>
      <c r="K67" s="14">
        <v>0.1</v>
      </c>
      <c r="L67" s="14">
        <v>0.09</v>
      </c>
      <c r="M67" s="14">
        <v>0</v>
      </c>
      <c r="N67" s="14">
        <v>0.05</v>
      </c>
      <c r="O67" s="14">
        <v>0.18</v>
      </c>
      <c r="P67" s="14">
        <v>0.3</v>
      </c>
      <c r="Q67" s="14">
        <v>0.02</v>
      </c>
      <c r="R67" s="14">
        <v>0</v>
      </c>
      <c r="S67" s="14">
        <v>0.1</v>
      </c>
      <c r="T67" s="14">
        <v>0.01</v>
      </c>
      <c r="U67" s="14">
        <v>0.09</v>
      </c>
      <c r="V67" s="14">
        <v>0.02</v>
      </c>
      <c r="W67" s="14">
        <v>0.16</v>
      </c>
      <c r="X67" s="14">
        <v>3.16</v>
      </c>
      <c r="Y67" s="14">
        <v>16</v>
      </c>
      <c r="Z67" s="14">
        <v>3.1</v>
      </c>
      <c r="AA67" s="14">
        <v>19.100000000000001</v>
      </c>
      <c r="AB67" s="14">
        <v>32</v>
      </c>
    </row>
    <row r="68" spans="2:28">
      <c r="B68" s="14">
        <v>33</v>
      </c>
      <c r="C68" s="14">
        <v>9.1</v>
      </c>
      <c r="D68" s="14">
        <v>0.5</v>
      </c>
      <c r="E68" s="14">
        <v>1.3</v>
      </c>
      <c r="F68" s="14">
        <v>1.9</v>
      </c>
      <c r="G68" s="14">
        <v>0.01</v>
      </c>
      <c r="H68" s="14">
        <v>0.01</v>
      </c>
      <c r="I68" s="14">
        <v>0.01</v>
      </c>
      <c r="J68" s="14">
        <v>0.09</v>
      </c>
      <c r="K68" s="14">
        <v>0.1</v>
      </c>
      <c r="L68" s="14">
        <v>0.09</v>
      </c>
      <c r="M68" s="14">
        <v>0</v>
      </c>
      <c r="N68" s="14">
        <v>0.05</v>
      </c>
      <c r="O68" s="14">
        <v>0.18</v>
      </c>
      <c r="P68" s="14">
        <v>0.4</v>
      </c>
      <c r="Q68" s="14">
        <v>0.03</v>
      </c>
      <c r="R68" s="14">
        <v>0</v>
      </c>
      <c r="S68" s="14">
        <v>0.1</v>
      </c>
      <c r="T68" s="14">
        <v>0.01</v>
      </c>
      <c r="U68" s="14">
        <v>0.09</v>
      </c>
      <c r="V68" s="14">
        <v>0.02</v>
      </c>
      <c r="W68" s="14">
        <v>0.16</v>
      </c>
      <c r="X68" s="14">
        <v>3.54</v>
      </c>
      <c r="Y68" s="14">
        <v>17.600000000000001</v>
      </c>
      <c r="Z68" s="14">
        <v>3.2</v>
      </c>
      <c r="AA68" s="14">
        <v>20.8</v>
      </c>
      <c r="AB68" s="14">
        <v>33</v>
      </c>
    </row>
    <row r="69" spans="2:28">
      <c r="B69" s="14">
        <v>34</v>
      </c>
      <c r="C69" s="14">
        <v>10.1</v>
      </c>
      <c r="D69" s="14">
        <v>0.6</v>
      </c>
      <c r="E69" s="14">
        <v>1.4</v>
      </c>
      <c r="F69" s="14">
        <v>2</v>
      </c>
      <c r="G69" s="14">
        <v>0.01</v>
      </c>
      <c r="H69" s="14">
        <v>0.02</v>
      </c>
      <c r="I69" s="14">
        <v>0.01</v>
      </c>
      <c r="J69" s="14">
        <v>0.09</v>
      </c>
      <c r="K69" s="14">
        <v>0.11</v>
      </c>
      <c r="L69" s="14">
        <v>0.1</v>
      </c>
      <c r="M69" s="14">
        <v>0</v>
      </c>
      <c r="N69" s="14">
        <v>0.05</v>
      </c>
      <c r="O69" s="14">
        <v>0.19</v>
      </c>
      <c r="P69" s="14">
        <v>0.4</v>
      </c>
      <c r="Q69" s="14">
        <v>0.03</v>
      </c>
      <c r="R69" s="14">
        <v>0</v>
      </c>
      <c r="S69" s="14">
        <v>0.1</v>
      </c>
      <c r="T69" s="14">
        <v>0.01</v>
      </c>
      <c r="U69" s="14">
        <v>0.09</v>
      </c>
      <c r="V69" s="14">
        <v>0.03</v>
      </c>
      <c r="W69" s="14">
        <v>0.16</v>
      </c>
      <c r="X69" s="14">
        <v>4.0199999999999996</v>
      </c>
      <c r="Y69" s="14">
        <v>19.399999999999999</v>
      </c>
      <c r="Z69" s="14">
        <v>3.3</v>
      </c>
      <c r="AA69" s="14">
        <v>22.7</v>
      </c>
      <c r="AB69" s="14">
        <v>34</v>
      </c>
    </row>
    <row r="70" spans="2:28">
      <c r="B70" s="14">
        <v>35</v>
      </c>
      <c r="C70" s="14">
        <v>11</v>
      </c>
      <c r="D70" s="14">
        <v>0.8</v>
      </c>
      <c r="E70" s="14">
        <v>1.5</v>
      </c>
      <c r="F70" s="14">
        <v>2.2000000000000002</v>
      </c>
      <c r="G70" s="14">
        <v>0.01</v>
      </c>
      <c r="H70" s="14">
        <v>0.02</v>
      </c>
      <c r="I70" s="14">
        <v>0.01</v>
      </c>
      <c r="J70" s="14">
        <v>0.1</v>
      </c>
      <c r="K70" s="14">
        <v>0.11</v>
      </c>
      <c r="L70" s="14">
        <v>0.1</v>
      </c>
      <c r="M70" s="14">
        <v>0.1</v>
      </c>
      <c r="N70" s="14">
        <v>0.05</v>
      </c>
      <c r="O70" s="14">
        <v>0.19</v>
      </c>
      <c r="P70" s="14">
        <v>0.4</v>
      </c>
      <c r="Q70" s="14">
        <v>0.03</v>
      </c>
      <c r="R70" s="14">
        <v>0</v>
      </c>
      <c r="S70" s="14">
        <v>0.1</v>
      </c>
      <c r="T70" s="14">
        <v>0.02</v>
      </c>
      <c r="U70" s="14">
        <v>0.08</v>
      </c>
      <c r="V70" s="14">
        <v>0.03</v>
      </c>
      <c r="W70" s="14">
        <v>0.16</v>
      </c>
      <c r="X70" s="14">
        <v>4.49</v>
      </c>
      <c r="Y70" s="14">
        <v>21.4</v>
      </c>
      <c r="Z70" s="14">
        <v>3.5</v>
      </c>
      <c r="AA70" s="14">
        <v>24.9</v>
      </c>
      <c r="AB70" s="14">
        <v>35</v>
      </c>
    </row>
    <row r="71" spans="2:28">
      <c r="B71" s="14">
        <v>36</v>
      </c>
      <c r="C71" s="14">
        <v>12.1</v>
      </c>
      <c r="D71" s="14">
        <v>0.9</v>
      </c>
      <c r="E71" s="14">
        <v>1.6</v>
      </c>
      <c r="F71" s="14">
        <v>2.2999999999999998</v>
      </c>
      <c r="G71" s="14">
        <v>0.01</v>
      </c>
      <c r="H71" s="14">
        <v>0.03</v>
      </c>
      <c r="I71" s="14">
        <v>0.01</v>
      </c>
      <c r="J71" s="14">
        <v>0.1</v>
      </c>
      <c r="K71" s="14">
        <v>0.11</v>
      </c>
      <c r="L71" s="14">
        <v>0.1</v>
      </c>
      <c r="M71" s="14">
        <v>0.1</v>
      </c>
      <c r="N71" s="14">
        <v>0.05</v>
      </c>
      <c r="O71" s="14">
        <v>0.2</v>
      </c>
      <c r="P71" s="14">
        <v>0.4</v>
      </c>
      <c r="Q71" s="14">
        <v>0.03</v>
      </c>
      <c r="R71" s="14">
        <v>0</v>
      </c>
      <c r="S71" s="14">
        <v>0.1</v>
      </c>
      <c r="T71" s="14">
        <v>0.02</v>
      </c>
      <c r="U71" s="14">
        <v>0.08</v>
      </c>
      <c r="V71" s="14">
        <v>0.04</v>
      </c>
      <c r="W71" s="14">
        <v>0.16</v>
      </c>
      <c r="X71" s="14">
        <v>5.05</v>
      </c>
      <c r="Y71" s="14">
        <v>23.4</v>
      </c>
      <c r="Z71" s="14">
        <v>3.6</v>
      </c>
      <c r="AA71" s="14">
        <v>27</v>
      </c>
      <c r="AB71" s="14">
        <v>36</v>
      </c>
    </row>
    <row r="72" spans="2:28">
      <c r="B72" s="14">
        <v>37</v>
      </c>
      <c r="C72" s="14">
        <v>13.2</v>
      </c>
      <c r="D72" s="14">
        <v>1.1000000000000001</v>
      </c>
      <c r="E72" s="14">
        <v>1.8</v>
      </c>
      <c r="F72" s="14">
        <v>2.4</v>
      </c>
      <c r="G72" s="14">
        <v>0.02</v>
      </c>
      <c r="H72" s="14">
        <v>0.03</v>
      </c>
      <c r="I72" s="14">
        <v>0.01</v>
      </c>
      <c r="J72" s="14">
        <v>0.11</v>
      </c>
      <c r="K72" s="14">
        <v>0.11</v>
      </c>
      <c r="L72" s="14">
        <v>0.1</v>
      </c>
      <c r="M72" s="14">
        <v>0.1</v>
      </c>
      <c r="N72" s="14">
        <v>0.05</v>
      </c>
      <c r="O72" s="14">
        <v>0.21</v>
      </c>
      <c r="P72" s="14">
        <v>0.4</v>
      </c>
      <c r="Q72" s="14">
        <v>0.04</v>
      </c>
      <c r="R72" s="14">
        <v>0</v>
      </c>
      <c r="S72" s="14">
        <v>0.2</v>
      </c>
      <c r="T72" s="14">
        <v>0.02</v>
      </c>
      <c r="U72" s="14">
        <v>0.08</v>
      </c>
      <c r="V72" s="14">
        <v>0.05</v>
      </c>
      <c r="W72" s="14">
        <v>0.16</v>
      </c>
      <c r="X72" s="14">
        <v>5.71</v>
      </c>
      <c r="Y72" s="14">
        <v>25.8</v>
      </c>
      <c r="Z72" s="14">
        <v>3.7</v>
      </c>
      <c r="AA72" s="14">
        <v>29.5</v>
      </c>
      <c r="AB72" s="14">
        <v>37</v>
      </c>
    </row>
    <row r="73" spans="2:28">
      <c r="B73" s="14">
        <v>38</v>
      </c>
      <c r="C73" s="14">
        <v>14.4</v>
      </c>
      <c r="D73" s="14">
        <v>1.4</v>
      </c>
      <c r="E73" s="14">
        <v>1.9</v>
      </c>
      <c r="F73" s="14">
        <v>2.4</v>
      </c>
      <c r="G73" s="14">
        <v>0.02</v>
      </c>
      <c r="H73" s="14">
        <v>0.04</v>
      </c>
      <c r="I73" s="14">
        <v>0.01</v>
      </c>
      <c r="J73" s="14">
        <v>0.12</v>
      </c>
      <c r="K73" s="14">
        <v>0.12</v>
      </c>
      <c r="L73" s="14">
        <v>0.11</v>
      </c>
      <c r="M73" s="14">
        <v>0.1</v>
      </c>
      <c r="N73" s="14">
        <v>0.05</v>
      </c>
      <c r="O73" s="14">
        <v>0.22</v>
      </c>
      <c r="P73" s="14">
        <v>0.4</v>
      </c>
      <c r="Q73" s="14">
        <v>0.04</v>
      </c>
      <c r="R73" s="14">
        <v>0</v>
      </c>
      <c r="S73" s="14">
        <v>0.2</v>
      </c>
      <c r="T73" s="14">
        <v>0.03</v>
      </c>
      <c r="U73" s="14">
        <v>0.08</v>
      </c>
      <c r="V73" s="14">
        <v>0.06</v>
      </c>
      <c r="W73" s="14">
        <v>0.15</v>
      </c>
      <c r="X73" s="14">
        <v>6.36</v>
      </c>
      <c r="Y73" s="14">
        <v>28.1</v>
      </c>
      <c r="Z73" s="14">
        <v>3.9</v>
      </c>
      <c r="AA73" s="14">
        <v>32</v>
      </c>
      <c r="AB73" s="14">
        <v>38</v>
      </c>
    </row>
    <row r="74" spans="2:28">
      <c r="B74" s="14">
        <v>39</v>
      </c>
      <c r="C74" s="14">
        <v>15.7</v>
      </c>
      <c r="D74" s="14">
        <v>1.6</v>
      </c>
      <c r="E74" s="14">
        <v>2.1</v>
      </c>
      <c r="F74" s="14">
        <v>2.5</v>
      </c>
      <c r="G74" s="14">
        <v>0.03</v>
      </c>
      <c r="H74" s="14">
        <v>0.04</v>
      </c>
      <c r="I74" s="14">
        <v>0.02</v>
      </c>
      <c r="J74" s="14">
        <v>0.12</v>
      </c>
      <c r="K74" s="14">
        <v>0.12</v>
      </c>
      <c r="L74" s="14">
        <v>0.11</v>
      </c>
      <c r="M74" s="14">
        <v>0.1</v>
      </c>
      <c r="N74" s="14">
        <v>0.06</v>
      </c>
      <c r="O74" s="14">
        <v>0.23</v>
      </c>
      <c r="P74" s="14">
        <v>0.5</v>
      </c>
      <c r="Q74" s="14">
        <v>0.04</v>
      </c>
      <c r="R74" s="14">
        <v>0</v>
      </c>
      <c r="S74" s="14">
        <v>0.2</v>
      </c>
      <c r="T74" s="14">
        <v>0.03</v>
      </c>
      <c r="U74" s="14">
        <v>0.08</v>
      </c>
      <c r="V74" s="14">
        <v>7.0000000000000007E-2</v>
      </c>
      <c r="W74" s="14">
        <v>0.15</v>
      </c>
      <c r="X74" s="14">
        <v>7.11</v>
      </c>
      <c r="Y74" s="14">
        <v>30.8</v>
      </c>
      <c r="Z74" s="14">
        <v>4</v>
      </c>
      <c r="AA74" s="14">
        <v>34.799999999999997</v>
      </c>
      <c r="AB74" s="14">
        <v>39</v>
      </c>
    </row>
    <row r="75" spans="2:28">
      <c r="B75" s="14">
        <v>40</v>
      </c>
      <c r="C75" s="14">
        <v>17.2</v>
      </c>
      <c r="D75" s="14">
        <v>1.9</v>
      </c>
      <c r="E75" s="14">
        <v>2.2999999999999998</v>
      </c>
      <c r="F75" s="14">
        <v>2.5</v>
      </c>
      <c r="G75" s="14">
        <v>0.03</v>
      </c>
      <c r="H75" s="14">
        <v>0.05</v>
      </c>
      <c r="I75" s="14">
        <v>0.02</v>
      </c>
      <c r="J75" s="14">
        <v>0.13</v>
      </c>
      <c r="K75" s="14">
        <v>0.13</v>
      </c>
      <c r="L75" s="14">
        <v>0.11</v>
      </c>
      <c r="M75" s="14">
        <v>0.2</v>
      </c>
      <c r="N75" s="14">
        <v>0.06</v>
      </c>
      <c r="O75" s="14">
        <v>0.25</v>
      </c>
      <c r="P75" s="14">
        <v>0.5</v>
      </c>
      <c r="Q75" s="14">
        <v>0.05</v>
      </c>
      <c r="R75" s="14">
        <v>0</v>
      </c>
      <c r="S75" s="14">
        <v>0.2</v>
      </c>
      <c r="T75" s="14">
        <v>0.04</v>
      </c>
      <c r="U75" s="14">
        <v>7.0000000000000007E-2</v>
      </c>
      <c r="V75" s="14">
        <v>0.08</v>
      </c>
      <c r="W75" s="14">
        <v>0.15</v>
      </c>
      <c r="X75" s="14">
        <v>8.0500000000000007</v>
      </c>
      <c r="Y75" s="14">
        <v>33.9</v>
      </c>
      <c r="Z75" s="14">
        <v>4.2</v>
      </c>
      <c r="AA75" s="14">
        <v>38.1</v>
      </c>
      <c r="AB75" s="14">
        <v>40</v>
      </c>
    </row>
    <row r="76" spans="2:28">
      <c r="B76" s="14">
        <v>41</v>
      </c>
      <c r="C76" s="14">
        <v>18.8</v>
      </c>
      <c r="D76" s="14">
        <v>2.2999999999999998</v>
      </c>
      <c r="E76" s="14">
        <v>2.6</v>
      </c>
      <c r="F76" s="14">
        <v>2.6</v>
      </c>
      <c r="G76" s="14">
        <v>0.04</v>
      </c>
      <c r="H76" s="14">
        <v>0.06</v>
      </c>
      <c r="I76" s="14">
        <v>0.02</v>
      </c>
      <c r="J76" s="14">
        <v>0.14000000000000001</v>
      </c>
      <c r="K76" s="14">
        <v>0.13</v>
      </c>
      <c r="L76" s="14">
        <v>0.11</v>
      </c>
      <c r="M76" s="14">
        <v>0.2</v>
      </c>
      <c r="N76" s="14">
        <v>0.06</v>
      </c>
      <c r="O76" s="14">
        <v>0.26</v>
      </c>
      <c r="P76" s="14">
        <v>0.5</v>
      </c>
      <c r="Q76" s="14">
        <v>0.05</v>
      </c>
      <c r="R76" s="14">
        <v>0</v>
      </c>
      <c r="S76" s="14">
        <v>0.2</v>
      </c>
      <c r="T76" s="14">
        <v>0.05</v>
      </c>
      <c r="U76" s="14">
        <v>7.0000000000000007E-2</v>
      </c>
      <c r="V76" s="14">
        <v>0.09</v>
      </c>
      <c r="W76" s="14">
        <v>0.15</v>
      </c>
      <c r="X76" s="14">
        <v>8.9700000000000006</v>
      </c>
      <c r="Y76" s="14">
        <v>37.299999999999997</v>
      </c>
      <c r="Z76" s="14">
        <v>4.5</v>
      </c>
      <c r="AA76" s="14">
        <v>41.8</v>
      </c>
      <c r="AB76" s="14">
        <v>41</v>
      </c>
    </row>
    <row r="77" spans="2:28">
      <c r="B77" s="14">
        <v>42</v>
      </c>
      <c r="C77" s="14">
        <v>20.7</v>
      </c>
      <c r="D77" s="14">
        <v>2.7</v>
      </c>
      <c r="E77" s="14">
        <v>2.8</v>
      </c>
      <c r="F77" s="14">
        <v>2.6</v>
      </c>
      <c r="G77" s="14">
        <v>0.05</v>
      </c>
      <c r="H77" s="14">
        <v>0.08</v>
      </c>
      <c r="I77" s="14">
        <v>0.02</v>
      </c>
      <c r="J77" s="14">
        <v>0.15</v>
      </c>
      <c r="K77" s="14">
        <v>0.13</v>
      </c>
      <c r="L77" s="14">
        <v>0.12</v>
      </c>
      <c r="M77" s="14">
        <v>0.2</v>
      </c>
      <c r="N77" s="14">
        <v>0.06</v>
      </c>
      <c r="O77" s="14">
        <v>0.28000000000000003</v>
      </c>
      <c r="P77" s="14">
        <v>0.5</v>
      </c>
      <c r="Q77" s="14">
        <v>0.05</v>
      </c>
      <c r="R77" s="14">
        <v>0</v>
      </c>
      <c r="S77" s="14">
        <v>0.2</v>
      </c>
      <c r="T77" s="14">
        <v>0.05</v>
      </c>
      <c r="U77" s="14">
        <v>7.0000000000000007E-2</v>
      </c>
      <c r="V77" s="14">
        <v>0.11</v>
      </c>
      <c r="W77" s="14">
        <v>0.15</v>
      </c>
      <c r="X77" s="14">
        <v>9.99</v>
      </c>
      <c r="Y77" s="14">
        <v>40.9</v>
      </c>
      <c r="Z77" s="14">
        <v>4.9000000000000004</v>
      </c>
      <c r="AA77" s="14">
        <v>45.8</v>
      </c>
      <c r="AB77" s="14">
        <v>42</v>
      </c>
    </row>
    <row r="78" spans="2:28">
      <c r="B78" s="14">
        <v>43</v>
      </c>
      <c r="C78" s="14">
        <v>22.7</v>
      </c>
      <c r="D78" s="14">
        <v>3.1</v>
      </c>
      <c r="E78" s="14">
        <v>3.1</v>
      </c>
      <c r="F78" s="14">
        <v>2.6</v>
      </c>
      <c r="G78" s="14">
        <v>0.06</v>
      </c>
      <c r="H78" s="14">
        <v>0.09</v>
      </c>
      <c r="I78" s="14">
        <v>0.02</v>
      </c>
      <c r="J78" s="14">
        <v>0.15</v>
      </c>
      <c r="K78" s="14">
        <v>0.14000000000000001</v>
      </c>
      <c r="L78" s="14">
        <v>0.12</v>
      </c>
      <c r="M78" s="14">
        <v>0.3</v>
      </c>
      <c r="N78" s="14">
        <v>0.06</v>
      </c>
      <c r="O78" s="14">
        <v>0.3</v>
      </c>
      <c r="P78" s="14">
        <v>0.5</v>
      </c>
      <c r="Q78" s="14">
        <v>0.06</v>
      </c>
      <c r="R78" s="14">
        <v>0</v>
      </c>
      <c r="S78" s="14">
        <v>0.2</v>
      </c>
      <c r="T78" s="14">
        <v>0.06</v>
      </c>
      <c r="U78" s="14">
        <v>7.0000000000000007E-2</v>
      </c>
      <c r="V78" s="14">
        <v>0.13</v>
      </c>
      <c r="W78" s="14">
        <v>0.15</v>
      </c>
      <c r="X78" s="14">
        <v>11.09</v>
      </c>
      <c r="Y78" s="14">
        <v>44.9</v>
      </c>
      <c r="Z78" s="14">
        <v>5.2</v>
      </c>
      <c r="AA78" s="14">
        <v>50.1</v>
      </c>
      <c r="AB78" s="14">
        <v>43</v>
      </c>
    </row>
    <row r="79" spans="2:28">
      <c r="B79" s="14">
        <v>44</v>
      </c>
      <c r="C79" s="14">
        <v>25</v>
      </c>
      <c r="D79" s="14">
        <v>3.5</v>
      </c>
      <c r="E79" s="14">
        <v>3.4</v>
      </c>
      <c r="F79" s="14">
        <v>2.5</v>
      </c>
      <c r="G79" s="14">
        <v>0.08</v>
      </c>
      <c r="H79" s="14">
        <v>0.1</v>
      </c>
      <c r="I79" s="14">
        <v>0.03</v>
      </c>
      <c r="J79" s="14">
        <v>0.16</v>
      </c>
      <c r="K79" s="14">
        <v>0.14000000000000001</v>
      </c>
      <c r="L79" s="14">
        <v>0.12</v>
      </c>
      <c r="M79" s="14">
        <v>0.3</v>
      </c>
      <c r="N79" s="14">
        <v>0.06</v>
      </c>
      <c r="O79" s="14">
        <v>0.33</v>
      </c>
      <c r="P79" s="14">
        <v>0.5</v>
      </c>
      <c r="Q79" s="14">
        <v>0.06</v>
      </c>
      <c r="R79" s="14">
        <v>0</v>
      </c>
      <c r="S79" s="14">
        <v>0.2</v>
      </c>
      <c r="T79" s="14">
        <v>7.0000000000000007E-2</v>
      </c>
      <c r="U79" s="14">
        <v>7.0000000000000007E-2</v>
      </c>
      <c r="V79" s="14">
        <v>0.15</v>
      </c>
      <c r="W79" s="14">
        <v>0.15</v>
      </c>
      <c r="X79" s="14">
        <v>12.28</v>
      </c>
      <c r="Y79" s="14">
        <v>49.1</v>
      </c>
      <c r="Z79" s="14">
        <v>5.5</v>
      </c>
      <c r="AA79" s="14">
        <v>54.6</v>
      </c>
      <c r="AB79" s="14">
        <v>44</v>
      </c>
    </row>
    <row r="80" spans="2:28">
      <c r="B80" s="14">
        <v>45</v>
      </c>
      <c r="C80" s="14">
        <v>27.6</v>
      </c>
      <c r="D80" s="14">
        <v>4</v>
      </c>
      <c r="E80" s="14">
        <v>3.7</v>
      </c>
      <c r="F80" s="14">
        <v>2.5</v>
      </c>
      <c r="G80" s="14">
        <v>0.1</v>
      </c>
      <c r="H80" s="14">
        <v>0.12</v>
      </c>
      <c r="I80" s="14">
        <v>0.03</v>
      </c>
      <c r="J80" s="14">
        <v>0.17</v>
      </c>
      <c r="K80" s="14">
        <v>0.15</v>
      </c>
      <c r="L80" s="14">
        <v>0.12</v>
      </c>
      <c r="M80" s="14">
        <v>0.4</v>
      </c>
      <c r="N80" s="14">
        <v>7.0000000000000007E-2</v>
      </c>
      <c r="O80" s="14">
        <v>0.36</v>
      </c>
      <c r="P80" s="14">
        <v>0.6</v>
      </c>
      <c r="Q80" s="14">
        <v>7.0000000000000007E-2</v>
      </c>
      <c r="R80" s="14">
        <v>0</v>
      </c>
      <c r="S80" s="14">
        <v>0.2</v>
      </c>
      <c r="T80" s="14">
        <v>0.09</v>
      </c>
      <c r="U80" s="14">
        <v>7.0000000000000007E-2</v>
      </c>
      <c r="V80" s="14">
        <v>0.18</v>
      </c>
      <c r="W80" s="14">
        <v>0.15</v>
      </c>
      <c r="X80" s="14">
        <v>13.55</v>
      </c>
      <c r="Y80" s="14">
        <v>54.1</v>
      </c>
      <c r="Z80" s="14">
        <v>5.8</v>
      </c>
      <c r="AA80" s="14">
        <v>59.9</v>
      </c>
      <c r="AB80" s="14">
        <v>45</v>
      </c>
    </row>
    <row r="81" spans="2:28">
      <c r="B81" s="14">
        <v>46</v>
      </c>
      <c r="C81" s="14">
        <v>30.6</v>
      </c>
      <c r="D81" s="14">
        <v>4.5</v>
      </c>
      <c r="E81" s="14">
        <v>4</v>
      </c>
      <c r="F81" s="14">
        <v>2.4</v>
      </c>
      <c r="G81" s="14">
        <v>0.12</v>
      </c>
      <c r="H81" s="14">
        <v>0.14000000000000001</v>
      </c>
      <c r="I81" s="14">
        <v>0.03</v>
      </c>
      <c r="J81" s="14">
        <v>0.18</v>
      </c>
      <c r="K81" s="14">
        <v>0.15</v>
      </c>
      <c r="L81" s="14">
        <v>0.13</v>
      </c>
      <c r="M81" s="14">
        <v>0.5</v>
      </c>
      <c r="N81" s="14">
        <v>7.0000000000000007E-2</v>
      </c>
      <c r="O81" s="14">
        <v>0.39</v>
      </c>
      <c r="P81" s="14">
        <v>0.6</v>
      </c>
      <c r="Q81" s="14">
        <v>7.0000000000000007E-2</v>
      </c>
      <c r="R81" s="14">
        <v>0</v>
      </c>
      <c r="S81" s="14">
        <v>0.2</v>
      </c>
      <c r="T81" s="14">
        <v>0.1</v>
      </c>
      <c r="U81" s="14">
        <v>7.0000000000000007E-2</v>
      </c>
      <c r="V81" s="14">
        <v>0.21</v>
      </c>
      <c r="W81" s="14">
        <v>0.15</v>
      </c>
      <c r="X81" s="14">
        <v>15.1</v>
      </c>
      <c r="Y81" s="14">
        <v>59.6</v>
      </c>
      <c r="Z81" s="14">
        <v>6.1</v>
      </c>
      <c r="AA81" s="14">
        <v>65.7</v>
      </c>
      <c r="AB81" s="14">
        <v>46</v>
      </c>
    </row>
    <row r="82" spans="2:28">
      <c r="B82" s="14">
        <v>47</v>
      </c>
      <c r="C82" s="14">
        <v>33.799999999999997</v>
      </c>
      <c r="D82" s="14">
        <v>5.0999999999999996</v>
      </c>
      <c r="E82" s="14">
        <v>4.3</v>
      </c>
      <c r="F82" s="14">
        <v>2.4</v>
      </c>
      <c r="G82" s="14">
        <v>0.15</v>
      </c>
      <c r="H82" s="14">
        <v>0.17</v>
      </c>
      <c r="I82" s="14">
        <v>0.04</v>
      </c>
      <c r="J82" s="14">
        <v>0.19</v>
      </c>
      <c r="K82" s="14">
        <v>0.16</v>
      </c>
      <c r="L82" s="14">
        <v>0.13</v>
      </c>
      <c r="M82" s="14">
        <v>0.6</v>
      </c>
      <c r="N82" s="14">
        <v>7.0000000000000007E-2</v>
      </c>
      <c r="O82" s="14">
        <v>0.43</v>
      </c>
      <c r="P82" s="14">
        <v>0.6</v>
      </c>
      <c r="Q82" s="14">
        <v>0.08</v>
      </c>
      <c r="R82" s="14">
        <v>0</v>
      </c>
      <c r="S82" s="14">
        <v>0.2</v>
      </c>
      <c r="T82" s="14">
        <v>0.12</v>
      </c>
      <c r="U82" s="14">
        <v>7.0000000000000007E-2</v>
      </c>
      <c r="V82" s="14">
        <v>0.25</v>
      </c>
      <c r="W82" s="14">
        <v>0.15</v>
      </c>
      <c r="X82" s="14">
        <v>16.53</v>
      </c>
      <c r="Y82" s="14">
        <v>65.400000000000006</v>
      </c>
      <c r="Z82" s="14">
        <v>6.4</v>
      </c>
      <c r="AA82" s="14">
        <v>71.8</v>
      </c>
      <c r="AB82" s="14">
        <v>47</v>
      </c>
    </row>
    <row r="83" spans="2:28">
      <c r="B83" s="14">
        <v>48</v>
      </c>
      <c r="C83" s="14">
        <v>37.200000000000003</v>
      </c>
      <c r="D83" s="14">
        <v>5.6</v>
      </c>
      <c r="E83" s="14">
        <v>4.7</v>
      </c>
      <c r="F83" s="14">
        <v>2.2999999999999998</v>
      </c>
      <c r="G83" s="14">
        <v>0.19</v>
      </c>
      <c r="H83" s="14">
        <v>0.2</v>
      </c>
      <c r="I83" s="14">
        <v>0.04</v>
      </c>
      <c r="J83" s="14">
        <v>0.2</v>
      </c>
      <c r="K83" s="14">
        <v>0.17</v>
      </c>
      <c r="L83" s="14">
        <v>0.13</v>
      </c>
      <c r="M83" s="14">
        <v>0.7</v>
      </c>
      <c r="N83" s="14">
        <v>0.08</v>
      </c>
      <c r="O83" s="14">
        <v>0.47</v>
      </c>
      <c r="P83" s="14">
        <v>0.6</v>
      </c>
      <c r="Q83" s="14">
        <v>0.09</v>
      </c>
      <c r="R83" s="14">
        <v>0</v>
      </c>
      <c r="S83" s="14">
        <v>0.3</v>
      </c>
      <c r="T83" s="14">
        <v>0.14000000000000001</v>
      </c>
      <c r="U83" s="14">
        <v>7.0000000000000007E-2</v>
      </c>
      <c r="V83" s="14">
        <v>0.28999999999999998</v>
      </c>
      <c r="W83" s="14">
        <v>0.15</v>
      </c>
      <c r="X83" s="14">
        <v>18.23</v>
      </c>
      <c r="Y83" s="14">
        <v>71.7</v>
      </c>
      <c r="Z83" s="14">
        <v>6.7</v>
      </c>
      <c r="AA83" s="14">
        <v>78.400000000000006</v>
      </c>
      <c r="AB83" s="14">
        <v>48</v>
      </c>
    </row>
    <row r="84" spans="2:28">
      <c r="B84" s="14">
        <v>49</v>
      </c>
      <c r="C84" s="14">
        <v>40.799999999999997</v>
      </c>
      <c r="D84" s="14">
        <v>6.2</v>
      </c>
      <c r="E84" s="14">
        <v>5</v>
      </c>
      <c r="F84" s="14">
        <v>2.2000000000000002</v>
      </c>
      <c r="G84" s="14">
        <v>0.24</v>
      </c>
      <c r="H84" s="14">
        <v>0.23</v>
      </c>
      <c r="I84" s="14">
        <v>0.05</v>
      </c>
      <c r="J84" s="14">
        <v>0.2</v>
      </c>
      <c r="K84" s="14">
        <v>0.17</v>
      </c>
      <c r="L84" s="14">
        <v>0.13</v>
      </c>
      <c r="M84" s="14">
        <v>0.8</v>
      </c>
      <c r="N84" s="14">
        <v>0.08</v>
      </c>
      <c r="O84" s="14">
        <v>0.53</v>
      </c>
      <c r="P84" s="14">
        <v>0.6</v>
      </c>
      <c r="Q84" s="14">
        <v>0.09</v>
      </c>
      <c r="R84" s="14">
        <v>0</v>
      </c>
      <c r="S84" s="14">
        <v>0.3</v>
      </c>
      <c r="T84" s="14">
        <v>0.16</v>
      </c>
      <c r="U84" s="14">
        <v>7.0000000000000007E-2</v>
      </c>
      <c r="V84" s="14">
        <v>0.34</v>
      </c>
      <c r="W84" s="14">
        <v>0.15</v>
      </c>
      <c r="X84" s="14">
        <v>19.89</v>
      </c>
      <c r="Y84" s="14">
        <v>78.099999999999994</v>
      </c>
      <c r="Z84" s="14">
        <v>6.8</v>
      </c>
      <c r="AA84" s="14">
        <v>84.9</v>
      </c>
      <c r="AB84" s="14">
        <v>49</v>
      </c>
    </row>
    <row r="85" spans="2:28">
      <c r="B85" s="14">
        <v>50</v>
      </c>
      <c r="C85" s="14">
        <v>44.4</v>
      </c>
      <c r="D85" s="14">
        <v>6.9</v>
      </c>
      <c r="E85" s="14">
        <v>5.4</v>
      </c>
      <c r="F85" s="14">
        <v>2.1</v>
      </c>
      <c r="G85" s="14">
        <v>0.3</v>
      </c>
      <c r="H85" s="14">
        <v>0.27</v>
      </c>
      <c r="I85" s="14">
        <v>0.05</v>
      </c>
      <c r="J85" s="14">
        <v>0.21</v>
      </c>
      <c r="K85" s="14">
        <v>0.18</v>
      </c>
      <c r="L85" s="14">
        <v>0.13</v>
      </c>
      <c r="M85" s="14">
        <v>0.9</v>
      </c>
      <c r="N85" s="14">
        <v>0.08</v>
      </c>
      <c r="O85" s="14">
        <v>0.59</v>
      </c>
      <c r="P85" s="14">
        <v>0.6</v>
      </c>
      <c r="Q85" s="14">
        <v>0.1</v>
      </c>
      <c r="R85" s="14">
        <v>0</v>
      </c>
      <c r="S85" s="14">
        <v>0.3</v>
      </c>
      <c r="T85" s="14">
        <v>0.18</v>
      </c>
      <c r="U85" s="14">
        <v>7.0000000000000007E-2</v>
      </c>
      <c r="V85" s="14">
        <v>0.4</v>
      </c>
      <c r="W85" s="14">
        <v>0.15</v>
      </c>
      <c r="X85" s="14">
        <v>21.71</v>
      </c>
      <c r="Y85" s="14">
        <v>84.9</v>
      </c>
      <c r="Z85" s="14">
        <v>7</v>
      </c>
      <c r="AA85" s="14">
        <v>91.9</v>
      </c>
      <c r="AB85" s="14">
        <v>50</v>
      </c>
    </row>
    <row r="86" spans="2:28">
      <c r="B86" s="14">
        <v>51</v>
      </c>
      <c r="C86" s="14">
        <v>48.2</v>
      </c>
      <c r="D86" s="14">
        <v>7.6</v>
      </c>
      <c r="E86" s="14">
        <v>5.8</v>
      </c>
      <c r="F86" s="14">
        <v>2</v>
      </c>
      <c r="G86" s="14">
        <v>0.38</v>
      </c>
      <c r="H86" s="14">
        <v>0.31</v>
      </c>
      <c r="I86" s="14">
        <v>0.06</v>
      </c>
      <c r="J86" s="14">
        <v>0.22</v>
      </c>
      <c r="K86" s="14">
        <v>0.19</v>
      </c>
      <c r="L86" s="14">
        <v>0.14000000000000001</v>
      </c>
      <c r="M86" s="14">
        <v>1</v>
      </c>
      <c r="N86" s="14">
        <v>0.09</v>
      </c>
      <c r="O86" s="14">
        <v>0.66</v>
      </c>
      <c r="P86" s="14">
        <v>0.7</v>
      </c>
      <c r="Q86" s="14">
        <v>0.11</v>
      </c>
      <c r="R86" s="14">
        <v>0</v>
      </c>
      <c r="S86" s="14">
        <v>0.3</v>
      </c>
      <c r="T86" s="14">
        <v>0.21</v>
      </c>
      <c r="U86" s="14">
        <v>7.0000000000000007E-2</v>
      </c>
      <c r="V86" s="14">
        <v>0.47</v>
      </c>
      <c r="W86" s="14">
        <v>0.14000000000000001</v>
      </c>
      <c r="X86" s="14">
        <v>23.59</v>
      </c>
      <c r="Y86" s="14">
        <v>92.1</v>
      </c>
      <c r="Z86" s="14">
        <v>7.3</v>
      </c>
      <c r="AA86" s="14">
        <v>99.4</v>
      </c>
      <c r="AB86" s="14">
        <v>51</v>
      </c>
    </row>
    <row r="87" spans="2:28">
      <c r="B87" s="14">
        <v>52</v>
      </c>
      <c r="C87" s="14">
        <v>52</v>
      </c>
      <c r="D87" s="14">
        <v>8.4</v>
      </c>
      <c r="E87" s="14">
        <v>6.3</v>
      </c>
      <c r="F87" s="14">
        <v>1.9</v>
      </c>
      <c r="G87" s="14">
        <v>0.48</v>
      </c>
      <c r="H87" s="14">
        <v>0.35</v>
      </c>
      <c r="I87" s="14">
        <v>7.0000000000000007E-2</v>
      </c>
      <c r="J87" s="14">
        <v>0.22</v>
      </c>
      <c r="K87" s="14">
        <v>0.2</v>
      </c>
      <c r="L87" s="14">
        <v>0.14000000000000001</v>
      </c>
      <c r="M87" s="14">
        <v>1.2</v>
      </c>
      <c r="N87" s="14">
        <v>0.09</v>
      </c>
      <c r="O87" s="14">
        <v>0.74</v>
      </c>
      <c r="P87" s="14">
        <v>0.7</v>
      </c>
      <c r="Q87" s="14">
        <v>0.12</v>
      </c>
      <c r="R87" s="14">
        <v>0</v>
      </c>
      <c r="S87" s="14">
        <v>0.3</v>
      </c>
      <c r="T87" s="14">
        <v>0.24</v>
      </c>
      <c r="U87" s="14">
        <v>7.0000000000000007E-2</v>
      </c>
      <c r="V87" s="14">
        <v>0.54</v>
      </c>
      <c r="W87" s="14">
        <v>0.14000000000000001</v>
      </c>
      <c r="X87" s="14">
        <v>25.52</v>
      </c>
      <c r="Y87" s="14">
        <v>99.6</v>
      </c>
      <c r="Z87" s="14">
        <v>7.4</v>
      </c>
      <c r="AA87" s="14">
        <v>107</v>
      </c>
      <c r="AB87" s="14">
        <v>52</v>
      </c>
    </row>
    <row r="88" spans="2:28">
      <c r="B88" s="14">
        <v>53</v>
      </c>
      <c r="C88" s="14">
        <v>55.8</v>
      </c>
      <c r="D88" s="14">
        <v>9.3000000000000007</v>
      </c>
      <c r="E88" s="14">
        <v>6.8</v>
      </c>
      <c r="F88" s="14">
        <v>1.9</v>
      </c>
      <c r="G88" s="14">
        <v>0.61</v>
      </c>
      <c r="H88" s="14">
        <v>0.41</v>
      </c>
      <c r="I88" s="14">
        <v>0.08</v>
      </c>
      <c r="J88" s="14">
        <v>0.23</v>
      </c>
      <c r="K88" s="14">
        <v>0.21</v>
      </c>
      <c r="L88" s="14">
        <v>0.15</v>
      </c>
      <c r="M88" s="14">
        <v>1.3</v>
      </c>
      <c r="N88" s="14">
        <v>0.1</v>
      </c>
      <c r="O88" s="14">
        <v>0.83</v>
      </c>
      <c r="P88" s="14">
        <v>0.7</v>
      </c>
      <c r="Q88" s="14">
        <v>0.13</v>
      </c>
      <c r="R88" s="14">
        <v>0</v>
      </c>
      <c r="S88" s="14">
        <v>0.3</v>
      </c>
      <c r="T88" s="14">
        <v>0.28000000000000003</v>
      </c>
      <c r="U88" s="14">
        <v>0.08</v>
      </c>
      <c r="V88" s="14">
        <v>0.63</v>
      </c>
      <c r="W88" s="14">
        <v>0.14000000000000001</v>
      </c>
      <c r="X88" s="14">
        <v>27.57</v>
      </c>
      <c r="Y88" s="14">
        <v>107.4</v>
      </c>
      <c r="Z88" s="14">
        <v>7.8</v>
      </c>
      <c r="AA88" s="14">
        <v>115.2</v>
      </c>
      <c r="AB88" s="14">
        <v>53</v>
      </c>
    </row>
    <row r="89" spans="2:28">
      <c r="B89" s="14">
        <v>54</v>
      </c>
      <c r="C89" s="14">
        <v>59.7</v>
      </c>
      <c r="D89" s="14">
        <v>10.4</v>
      </c>
      <c r="E89" s="14">
        <v>7.3</v>
      </c>
      <c r="F89" s="14">
        <v>1.8</v>
      </c>
      <c r="G89" s="14">
        <v>0.77</v>
      </c>
      <c r="H89" s="14">
        <v>0.47</v>
      </c>
      <c r="I89" s="14">
        <v>0.1</v>
      </c>
      <c r="J89" s="14">
        <v>0.24</v>
      </c>
      <c r="K89" s="14">
        <v>0.22</v>
      </c>
      <c r="L89" s="14">
        <v>0.15</v>
      </c>
      <c r="M89" s="14">
        <v>1.5</v>
      </c>
      <c r="N89" s="14">
        <v>0.1</v>
      </c>
      <c r="O89" s="14">
        <v>0.95</v>
      </c>
      <c r="P89" s="14">
        <v>0.7</v>
      </c>
      <c r="Q89" s="14">
        <v>0.14000000000000001</v>
      </c>
      <c r="R89" s="14">
        <v>0</v>
      </c>
      <c r="S89" s="14">
        <v>0.3</v>
      </c>
      <c r="T89" s="14">
        <v>0.32</v>
      </c>
      <c r="U89" s="14">
        <v>0.08</v>
      </c>
      <c r="V89" s="14">
        <v>0.73</v>
      </c>
      <c r="W89" s="14">
        <v>0.14000000000000001</v>
      </c>
      <c r="X89" s="14">
        <v>29.65</v>
      </c>
      <c r="Y89" s="14">
        <v>115.6</v>
      </c>
      <c r="Z89" s="14">
        <v>8.1999999999999993</v>
      </c>
      <c r="AA89" s="14">
        <v>123.8</v>
      </c>
      <c r="AB89" s="14">
        <v>54</v>
      </c>
    </row>
    <row r="90" spans="2:28">
      <c r="B90" s="14">
        <v>55</v>
      </c>
      <c r="C90" s="14">
        <v>63.6</v>
      </c>
      <c r="D90" s="14">
        <v>11.5</v>
      </c>
      <c r="E90" s="14">
        <v>7.9</v>
      </c>
      <c r="F90" s="14">
        <v>1.7</v>
      </c>
      <c r="G90" s="14">
        <v>0.97</v>
      </c>
      <c r="H90" s="14">
        <v>0.54</v>
      </c>
      <c r="I90" s="14">
        <v>0.12</v>
      </c>
      <c r="J90" s="14">
        <v>0.24</v>
      </c>
      <c r="K90" s="14">
        <v>0.23</v>
      </c>
      <c r="L90" s="14">
        <v>0.16</v>
      </c>
      <c r="M90" s="14">
        <v>1.8</v>
      </c>
      <c r="N90" s="14">
        <v>0.11</v>
      </c>
      <c r="O90" s="14">
        <v>1.08</v>
      </c>
      <c r="P90" s="14">
        <v>0.8</v>
      </c>
      <c r="Q90" s="14">
        <v>0.15</v>
      </c>
      <c r="R90" s="14">
        <v>0</v>
      </c>
      <c r="S90" s="14">
        <v>0.3</v>
      </c>
      <c r="T90" s="14">
        <v>0.36</v>
      </c>
      <c r="U90" s="14">
        <v>0.08</v>
      </c>
      <c r="V90" s="14">
        <v>0.84</v>
      </c>
      <c r="W90" s="14">
        <v>0.14000000000000001</v>
      </c>
      <c r="X90" s="14">
        <v>31.84</v>
      </c>
      <c r="Y90" s="14">
        <v>124.3</v>
      </c>
      <c r="Z90" s="14">
        <v>8.8000000000000007</v>
      </c>
      <c r="AA90" s="14">
        <v>133.1</v>
      </c>
      <c r="AB90" s="14">
        <v>55</v>
      </c>
    </row>
    <row r="91" spans="2:28">
      <c r="B91" s="14">
        <v>56</v>
      </c>
      <c r="C91" s="14">
        <v>67.599999999999994</v>
      </c>
      <c r="D91" s="14">
        <v>12.8</v>
      </c>
      <c r="E91" s="14">
        <v>8.5</v>
      </c>
      <c r="F91" s="14">
        <v>1.6</v>
      </c>
      <c r="G91" s="14">
        <v>1.21</v>
      </c>
      <c r="H91" s="14">
        <v>0.61</v>
      </c>
      <c r="I91" s="14">
        <v>0.14000000000000001</v>
      </c>
      <c r="J91" s="14">
        <v>0.25</v>
      </c>
      <c r="K91" s="14">
        <v>0.24</v>
      </c>
      <c r="L91" s="14">
        <v>0.16</v>
      </c>
      <c r="M91" s="14">
        <v>2</v>
      </c>
      <c r="N91" s="14">
        <v>0.12</v>
      </c>
      <c r="O91" s="14">
        <v>1.23</v>
      </c>
      <c r="P91" s="14">
        <v>0.8</v>
      </c>
      <c r="Q91" s="14">
        <v>0.17</v>
      </c>
      <c r="R91" s="14">
        <v>0</v>
      </c>
      <c r="S91" s="14">
        <v>0.3</v>
      </c>
      <c r="T91" s="14">
        <v>0.41</v>
      </c>
      <c r="U91" s="14">
        <v>0.08</v>
      </c>
      <c r="V91" s="14">
        <v>0.97</v>
      </c>
      <c r="W91" s="14">
        <v>0.14000000000000001</v>
      </c>
      <c r="X91" s="14">
        <v>33.94</v>
      </c>
      <c r="Y91" s="14">
        <v>133.1</v>
      </c>
      <c r="Z91" s="14">
        <v>9.4</v>
      </c>
      <c r="AA91" s="14">
        <v>142.5</v>
      </c>
      <c r="AB91" s="14">
        <v>56</v>
      </c>
    </row>
    <row r="92" spans="2:28">
      <c r="B92" s="14">
        <v>57</v>
      </c>
      <c r="C92" s="14">
        <v>71.5</v>
      </c>
      <c r="D92" s="14">
        <v>14.3</v>
      </c>
      <c r="E92" s="14">
        <v>9.1999999999999993</v>
      </c>
      <c r="F92" s="14">
        <v>1.5</v>
      </c>
      <c r="G92" s="14">
        <v>1.52</v>
      </c>
      <c r="H92" s="14">
        <v>0.7</v>
      </c>
      <c r="I92" s="14">
        <v>0.16</v>
      </c>
      <c r="J92" s="14">
        <v>0.26</v>
      </c>
      <c r="K92" s="14">
        <v>0.25</v>
      </c>
      <c r="L92" s="14">
        <v>0.17</v>
      </c>
      <c r="M92" s="14">
        <v>2.2999999999999998</v>
      </c>
      <c r="N92" s="14">
        <v>0.13</v>
      </c>
      <c r="O92" s="14">
        <v>1.4</v>
      </c>
      <c r="P92" s="14">
        <v>0.8</v>
      </c>
      <c r="Q92" s="14">
        <v>0.18</v>
      </c>
      <c r="R92" s="14">
        <v>0</v>
      </c>
      <c r="S92" s="14">
        <v>0.3</v>
      </c>
      <c r="T92" s="14">
        <v>0.46</v>
      </c>
      <c r="U92" s="14">
        <v>0.08</v>
      </c>
      <c r="V92" s="14">
        <v>1.1000000000000001</v>
      </c>
      <c r="W92" s="14">
        <v>0.14000000000000001</v>
      </c>
      <c r="X92" s="14">
        <v>36.11</v>
      </c>
      <c r="Y92" s="14">
        <v>142.4</v>
      </c>
      <c r="Z92" s="14">
        <v>10.199999999999999</v>
      </c>
      <c r="AA92" s="14">
        <v>152.6</v>
      </c>
      <c r="AB92" s="14">
        <v>57</v>
      </c>
    </row>
    <row r="93" spans="2:28">
      <c r="B93" s="14">
        <v>58</v>
      </c>
      <c r="C93" s="14">
        <v>75.400000000000006</v>
      </c>
      <c r="D93" s="14">
        <v>16</v>
      </c>
      <c r="E93" s="14">
        <v>10.1</v>
      </c>
      <c r="F93" s="14">
        <v>1.4</v>
      </c>
      <c r="G93" s="14">
        <v>1.92</v>
      </c>
      <c r="H93" s="14">
        <v>0.79</v>
      </c>
      <c r="I93" s="14">
        <v>0.19</v>
      </c>
      <c r="J93" s="14">
        <v>0.26</v>
      </c>
      <c r="K93" s="14">
        <v>0.27</v>
      </c>
      <c r="L93" s="14">
        <v>0.18</v>
      </c>
      <c r="M93" s="14">
        <v>2.7</v>
      </c>
      <c r="N93" s="14">
        <v>0.13</v>
      </c>
      <c r="O93" s="14">
        <v>1.6</v>
      </c>
      <c r="P93" s="14">
        <v>0.8</v>
      </c>
      <c r="Q93" s="14">
        <v>0.2</v>
      </c>
      <c r="R93" s="14">
        <v>0</v>
      </c>
      <c r="S93" s="14">
        <v>0.3</v>
      </c>
      <c r="T93" s="14">
        <v>0.52</v>
      </c>
      <c r="U93" s="14">
        <v>0.09</v>
      </c>
      <c r="V93" s="14">
        <v>1.26</v>
      </c>
      <c r="W93" s="14">
        <v>0.14000000000000001</v>
      </c>
      <c r="X93" s="14">
        <v>38.24</v>
      </c>
      <c r="Y93" s="14">
        <v>152.30000000000001</v>
      </c>
      <c r="Z93" s="14">
        <v>11.2</v>
      </c>
      <c r="AA93" s="14">
        <v>163.5</v>
      </c>
      <c r="AB93" s="14">
        <v>58</v>
      </c>
    </row>
    <row r="94" spans="2:28">
      <c r="B94" s="14">
        <v>59</v>
      </c>
      <c r="C94" s="14">
        <v>79.3</v>
      </c>
      <c r="D94" s="14">
        <v>17.8</v>
      </c>
      <c r="E94" s="14">
        <v>11</v>
      </c>
      <c r="F94" s="14">
        <v>1.3</v>
      </c>
      <c r="G94" s="14">
        <v>2.42</v>
      </c>
      <c r="H94" s="14">
        <v>0.88</v>
      </c>
      <c r="I94" s="14">
        <v>0.22</v>
      </c>
      <c r="J94" s="14">
        <v>0.27</v>
      </c>
      <c r="K94" s="14">
        <v>0.28999999999999998</v>
      </c>
      <c r="L94" s="14">
        <v>0.19</v>
      </c>
      <c r="M94" s="14">
        <v>3</v>
      </c>
      <c r="N94" s="14">
        <v>0.15</v>
      </c>
      <c r="O94" s="14">
        <v>1.81</v>
      </c>
      <c r="P94" s="14">
        <v>0.9</v>
      </c>
      <c r="Q94" s="14">
        <v>0.22</v>
      </c>
      <c r="R94" s="14">
        <v>0</v>
      </c>
      <c r="S94" s="14">
        <v>0.3</v>
      </c>
      <c r="T94" s="14">
        <v>0.57999999999999996</v>
      </c>
      <c r="U94" s="14">
        <v>0.09</v>
      </c>
      <c r="V94" s="14">
        <v>1.43</v>
      </c>
      <c r="W94" s="14">
        <v>0.14000000000000001</v>
      </c>
      <c r="X94" s="14">
        <v>40.31</v>
      </c>
      <c r="Y94" s="14">
        <v>162.4</v>
      </c>
      <c r="Z94" s="14">
        <v>12.5</v>
      </c>
      <c r="AA94" s="14">
        <v>174.9</v>
      </c>
      <c r="AB94" s="14">
        <v>59</v>
      </c>
    </row>
    <row r="95" spans="2:28">
      <c r="B95" s="14">
        <v>60</v>
      </c>
      <c r="C95" s="14">
        <v>83.1</v>
      </c>
      <c r="D95" s="14">
        <v>19.899999999999999</v>
      </c>
      <c r="E95" s="14">
        <v>12</v>
      </c>
      <c r="F95" s="14">
        <v>1.2</v>
      </c>
      <c r="G95" s="14">
        <v>3.04</v>
      </c>
      <c r="H95" s="14">
        <v>0.98</v>
      </c>
      <c r="I95" s="14">
        <v>0.27</v>
      </c>
      <c r="J95" s="14">
        <v>0.27</v>
      </c>
      <c r="K95" s="14">
        <v>0.31</v>
      </c>
      <c r="L95" s="14">
        <v>0.2</v>
      </c>
      <c r="M95" s="14">
        <v>3.4</v>
      </c>
      <c r="N95" s="14">
        <v>0.16</v>
      </c>
      <c r="O95" s="14">
        <v>2.0499999999999998</v>
      </c>
      <c r="P95" s="14">
        <v>0.9</v>
      </c>
      <c r="Q95" s="14">
        <v>0.24</v>
      </c>
      <c r="R95" s="14">
        <v>0</v>
      </c>
      <c r="S95" s="14">
        <v>0.3</v>
      </c>
      <c r="T95" s="14">
        <v>0.64</v>
      </c>
      <c r="U95" s="14">
        <v>0.1</v>
      </c>
      <c r="V95" s="14">
        <v>1.62</v>
      </c>
      <c r="W95" s="14">
        <v>0.14000000000000001</v>
      </c>
      <c r="X95" s="14">
        <v>42.29</v>
      </c>
      <c r="Y95" s="14">
        <v>172.9</v>
      </c>
      <c r="Z95" s="14">
        <v>14</v>
      </c>
      <c r="AA95" s="14">
        <v>186.9</v>
      </c>
      <c r="AB95" s="14">
        <v>60</v>
      </c>
    </row>
    <row r="96" spans="2:28">
      <c r="B96" s="14">
        <v>61</v>
      </c>
      <c r="C96" s="14">
        <v>86.8</v>
      </c>
      <c r="D96" s="14">
        <v>22.1</v>
      </c>
      <c r="E96" s="14">
        <v>13.2</v>
      </c>
      <c r="F96" s="14">
        <v>1.1000000000000001</v>
      </c>
      <c r="G96" s="14">
        <v>3.8</v>
      </c>
      <c r="H96" s="14">
        <v>1.08</v>
      </c>
      <c r="I96" s="14">
        <v>0.32</v>
      </c>
      <c r="J96" s="14">
        <v>0.28000000000000003</v>
      </c>
      <c r="K96" s="14">
        <v>0.33</v>
      </c>
      <c r="L96" s="14">
        <v>0.21</v>
      </c>
      <c r="M96" s="14">
        <v>3.9</v>
      </c>
      <c r="N96" s="14">
        <v>0.17</v>
      </c>
      <c r="O96" s="14">
        <v>2.2999999999999998</v>
      </c>
      <c r="P96" s="14">
        <v>0.9</v>
      </c>
      <c r="Q96" s="14">
        <v>0.27</v>
      </c>
      <c r="R96" s="14">
        <v>0</v>
      </c>
      <c r="S96" s="14">
        <v>0.3</v>
      </c>
      <c r="T96" s="14">
        <v>0.71</v>
      </c>
      <c r="U96" s="14">
        <v>0.1</v>
      </c>
      <c r="V96" s="14">
        <v>1.84</v>
      </c>
      <c r="W96" s="14">
        <v>0.14000000000000001</v>
      </c>
      <c r="X96" s="14">
        <v>44.27</v>
      </c>
      <c r="Y96" s="14">
        <v>183.9</v>
      </c>
      <c r="Z96" s="14">
        <v>16</v>
      </c>
      <c r="AA96" s="14">
        <v>199.9</v>
      </c>
      <c r="AB96" s="14">
        <v>61</v>
      </c>
    </row>
    <row r="97" spans="2:28">
      <c r="B97" s="14">
        <v>62</v>
      </c>
      <c r="C97" s="14">
        <v>90.5</v>
      </c>
      <c r="D97" s="14">
        <v>24.5</v>
      </c>
      <c r="E97" s="14">
        <v>14.6</v>
      </c>
      <c r="F97" s="14">
        <v>1</v>
      </c>
      <c r="G97" s="14">
        <v>4.75</v>
      </c>
      <c r="H97" s="14">
        <v>1.18</v>
      </c>
      <c r="I97" s="14">
        <v>0.38</v>
      </c>
      <c r="J97" s="14">
        <v>0.28000000000000003</v>
      </c>
      <c r="K97" s="14">
        <v>0.36</v>
      </c>
      <c r="L97" s="14">
        <v>0.22</v>
      </c>
      <c r="M97" s="14">
        <v>4.4000000000000004</v>
      </c>
      <c r="N97" s="14">
        <v>0.19</v>
      </c>
      <c r="O97" s="14">
        <v>2.58</v>
      </c>
      <c r="P97" s="14">
        <v>1</v>
      </c>
      <c r="Q97" s="14">
        <v>0.28999999999999998</v>
      </c>
      <c r="R97" s="14">
        <v>0</v>
      </c>
      <c r="S97" s="14">
        <v>0.2</v>
      </c>
      <c r="T97" s="14">
        <v>0.77</v>
      </c>
      <c r="U97" s="14">
        <v>0.1</v>
      </c>
      <c r="V97" s="14">
        <v>2.08</v>
      </c>
      <c r="W97" s="14">
        <v>0.15</v>
      </c>
      <c r="X97" s="14">
        <v>46.19</v>
      </c>
      <c r="Y97" s="14">
        <v>195.5</v>
      </c>
      <c r="Z97" s="14">
        <v>18.3</v>
      </c>
      <c r="AA97" s="14">
        <v>213.8</v>
      </c>
      <c r="AB97" s="14">
        <v>62</v>
      </c>
    </row>
    <row r="98" spans="2:28">
      <c r="B98" s="14">
        <v>63</v>
      </c>
      <c r="C98" s="14">
        <v>94.2</v>
      </c>
      <c r="D98" s="14">
        <v>27.1</v>
      </c>
      <c r="E98" s="14">
        <v>16.2</v>
      </c>
      <c r="F98" s="14">
        <v>0.9</v>
      </c>
      <c r="G98" s="14">
        <v>5.94</v>
      </c>
      <c r="H98" s="14">
        <v>1.29</v>
      </c>
      <c r="I98" s="14">
        <v>0.45</v>
      </c>
      <c r="J98" s="14">
        <v>0.28999999999999998</v>
      </c>
      <c r="K98" s="14">
        <v>0.39</v>
      </c>
      <c r="L98" s="14">
        <v>0.24</v>
      </c>
      <c r="M98" s="14">
        <v>4.9000000000000004</v>
      </c>
      <c r="N98" s="14">
        <v>0.2</v>
      </c>
      <c r="O98" s="14">
        <v>2.87</v>
      </c>
      <c r="P98" s="14">
        <v>1</v>
      </c>
      <c r="Q98" s="14">
        <v>0.32</v>
      </c>
      <c r="R98" s="14">
        <v>0</v>
      </c>
      <c r="S98" s="14">
        <v>0.2</v>
      </c>
      <c r="T98" s="14">
        <v>0.84</v>
      </c>
      <c r="U98" s="14">
        <v>0.11</v>
      </c>
      <c r="V98" s="14">
        <v>2.35</v>
      </c>
      <c r="W98" s="14">
        <v>0.15</v>
      </c>
      <c r="X98" s="14">
        <v>48</v>
      </c>
      <c r="Y98" s="14">
        <v>207.7</v>
      </c>
      <c r="Z98" s="14">
        <v>21</v>
      </c>
      <c r="AA98" s="14">
        <v>228.7</v>
      </c>
      <c r="AB98" s="14">
        <v>63</v>
      </c>
    </row>
    <row r="99" spans="2:28">
      <c r="B99" s="14">
        <v>64</v>
      </c>
      <c r="C99" s="14">
        <v>97.9</v>
      </c>
      <c r="D99" s="14">
        <v>29.8</v>
      </c>
      <c r="E99" s="14">
        <v>17.899999999999999</v>
      </c>
      <c r="F99" s="14">
        <v>0.8</v>
      </c>
      <c r="G99" s="14">
        <v>7.41</v>
      </c>
      <c r="H99" s="14">
        <v>1.38</v>
      </c>
      <c r="I99" s="14">
        <v>0.53</v>
      </c>
      <c r="J99" s="14">
        <v>0.28999999999999998</v>
      </c>
      <c r="K99" s="14">
        <v>0.43</v>
      </c>
      <c r="L99" s="14">
        <v>0.26</v>
      </c>
      <c r="M99" s="14">
        <v>5.5</v>
      </c>
      <c r="N99" s="14">
        <v>0.22</v>
      </c>
      <c r="O99" s="14">
        <v>3.17</v>
      </c>
      <c r="P99" s="14">
        <v>1</v>
      </c>
      <c r="Q99" s="14">
        <v>0.36</v>
      </c>
      <c r="R99" s="14">
        <v>0</v>
      </c>
      <c r="S99" s="14">
        <v>0.2</v>
      </c>
      <c r="T99" s="14">
        <v>0.91</v>
      </c>
      <c r="U99" s="14">
        <v>0.11</v>
      </c>
      <c r="V99" s="14">
        <v>2.66</v>
      </c>
      <c r="W99" s="14">
        <v>0.15</v>
      </c>
      <c r="X99" s="14">
        <v>49.76</v>
      </c>
      <c r="Y99" s="14">
        <v>220.5</v>
      </c>
      <c r="Z99" s="14">
        <v>24.1</v>
      </c>
      <c r="AA99" s="14">
        <v>244.6</v>
      </c>
      <c r="AB99" s="14">
        <v>64</v>
      </c>
    </row>
    <row r="100" spans="2:28">
      <c r="B100" s="14">
        <v>65</v>
      </c>
      <c r="C100" s="14">
        <v>101.8</v>
      </c>
      <c r="D100" s="14">
        <v>32.700000000000003</v>
      </c>
      <c r="E100" s="14">
        <v>19.899999999999999</v>
      </c>
      <c r="F100" s="14">
        <v>0.7</v>
      </c>
      <c r="G100" s="14">
        <v>9.1999999999999993</v>
      </c>
      <c r="H100" s="14">
        <v>1.48</v>
      </c>
      <c r="I100" s="14">
        <v>0.62</v>
      </c>
      <c r="J100" s="14">
        <v>0.3</v>
      </c>
      <c r="K100" s="14">
        <v>0.48</v>
      </c>
      <c r="L100" s="14">
        <v>0.28000000000000003</v>
      </c>
      <c r="M100" s="14">
        <v>6</v>
      </c>
      <c r="N100" s="14">
        <v>0.25</v>
      </c>
      <c r="O100" s="14">
        <v>3.48</v>
      </c>
      <c r="P100" s="14">
        <v>1.1000000000000001</v>
      </c>
      <c r="Q100" s="14">
        <v>0.39</v>
      </c>
      <c r="R100" s="14">
        <v>0</v>
      </c>
      <c r="S100" s="14">
        <v>0.2</v>
      </c>
      <c r="T100" s="14">
        <v>0.98</v>
      </c>
      <c r="U100" s="14">
        <v>0.12</v>
      </c>
      <c r="V100" s="14">
        <v>3.02</v>
      </c>
      <c r="W100" s="14">
        <v>0.15</v>
      </c>
      <c r="X100" s="14">
        <v>51.32</v>
      </c>
      <c r="Y100" s="14">
        <v>234.2</v>
      </c>
      <c r="Z100" s="14">
        <v>27.5</v>
      </c>
      <c r="AA100" s="14">
        <v>261.7</v>
      </c>
      <c r="AB100" s="14">
        <v>65</v>
      </c>
    </row>
    <row r="101" spans="2:28">
      <c r="B101" s="14">
        <v>66</v>
      </c>
      <c r="C101" s="14">
        <v>105.9</v>
      </c>
      <c r="D101" s="14">
        <v>35.700000000000003</v>
      </c>
      <c r="E101" s="14">
        <v>22.2</v>
      </c>
      <c r="F101" s="14">
        <v>0.7</v>
      </c>
      <c r="G101" s="14">
        <v>11.38</v>
      </c>
      <c r="H101" s="14">
        <v>1.57</v>
      </c>
      <c r="I101" s="14">
        <v>0.74</v>
      </c>
      <c r="J101" s="14">
        <v>0.31</v>
      </c>
      <c r="K101" s="14">
        <v>0.54</v>
      </c>
      <c r="L101" s="14">
        <v>0.3</v>
      </c>
      <c r="M101" s="14">
        <v>6.6</v>
      </c>
      <c r="N101" s="14">
        <v>0.27</v>
      </c>
      <c r="O101" s="14">
        <v>3.8</v>
      </c>
      <c r="P101" s="14">
        <v>1.1000000000000001</v>
      </c>
      <c r="Q101" s="14">
        <v>0.43</v>
      </c>
      <c r="R101" s="14">
        <v>0</v>
      </c>
      <c r="S101" s="14">
        <v>0.1</v>
      </c>
      <c r="T101" s="14">
        <v>1.04</v>
      </c>
      <c r="U101" s="14">
        <v>0.13</v>
      </c>
      <c r="V101" s="14">
        <v>3.42</v>
      </c>
      <c r="W101" s="14">
        <v>0.16</v>
      </c>
      <c r="X101" s="14">
        <v>0</v>
      </c>
      <c r="Y101" s="14">
        <v>196.1</v>
      </c>
      <c r="Z101" s="14">
        <v>54.4</v>
      </c>
      <c r="AA101" s="14">
        <v>250.5</v>
      </c>
      <c r="AB101" s="14">
        <v>66</v>
      </c>
    </row>
    <row r="102" spans="2:28">
      <c r="B102" s="14">
        <v>67</v>
      </c>
      <c r="C102" s="14">
        <v>110.3</v>
      </c>
      <c r="D102" s="14">
        <v>39</v>
      </c>
      <c r="E102" s="14">
        <v>24.8</v>
      </c>
      <c r="F102" s="14">
        <v>0.6</v>
      </c>
      <c r="G102" s="14">
        <v>14.02</v>
      </c>
      <c r="H102" s="14">
        <v>1.64</v>
      </c>
      <c r="I102" s="14">
        <v>0.86</v>
      </c>
      <c r="J102" s="14">
        <v>0.32</v>
      </c>
      <c r="K102" s="14">
        <v>0.61</v>
      </c>
      <c r="L102" s="14">
        <v>0.32</v>
      </c>
      <c r="M102" s="14">
        <v>7.2</v>
      </c>
      <c r="N102" s="14">
        <v>0.3</v>
      </c>
      <c r="O102" s="14">
        <v>4.1100000000000003</v>
      </c>
      <c r="P102" s="14">
        <v>1.2</v>
      </c>
      <c r="Q102" s="14">
        <v>0.47</v>
      </c>
      <c r="R102" s="14">
        <v>0</v>
      </c>
      <c r="S102" s="14">
        <v>0.1</v>
      </c>
      <c r="T102" s="14">
        <v>1.1000000000000001</v>
      </c>
      <c r="U102" s="14">
        <v>0.13</v>
      </c>
      <c r="V102" s="14">
        <v>3.88</v>
      </c>
      <c r="W102" s="14">
        <v>0.16</v>
      </c>
      <c r="X102" s="14">
        <v>0</v>
      </c>
      <c r="Y102" s="14">
        <v>210.8</v>
      </c>
      <c r="Z102" s="14">
        <v>60.8</v>
      </c>
      <c r="AA102" s="14">
        <v>271.60000000000002</v>
      </c>
      <c r="AB102" s="14">
        <v>67</v>
      </c>
    </row>
    <row r="103" spans="2:28">
      <c r="B103" s="14">
        <v>68</v>
      </c>
      <c r="C103" s="14">
        <v>115</v>
      </c>
      <c r="D103" s="14">
        <v>42.4</v>
      </c>
      <c r="E103" s="14">
        <v>27.6</v>
      </c>
      <c r="F103" s="14">
        <v>0.5</v>
      </c>
      <c r="G103" s="14">
        <v>17.22</v>
      </c>
      <c r="H103" s="14">
        <v>1.7</v>
      </c>
      <c r="I103" s="14">
        <v>1</v>
      </c>
      <c r="J103" s="14">
        <v>0.33</v>
      </c>
      <c r="K103" s="14">
        <v>0.69</v>
      </c>
      <c r="L103" s="14">
        <v>0.35</v>
      </c>
      <c r="M103" s="14">
        <v>7.7</v>
      </c>
      <c r="N103" s="14">
        <v>0.33</v>
      </c>
      <c r="O103" s="14">
        <v>4.42</v>
      </c>
      <c r="P103" s="14">
        <v>1.3</v>
      </c>
      <c r="Q103" s="14">
        <v>0.52</v>
      </c>
      <c r="R103" s="14">
        <v>0</v>
      </c>
      <c r="S103" s="14">
        <v>0.1</v>
      </c>
      <c r="T103" s="14">
        <v>1.1499999999999999</v>
      </c>
      <c r="U103" s="14">
        <v>0.14000000000000001</v>
      </c>
      <c r="V103" s="14">
        <v>4.3899999999999997</v>
      </c>
      <c r="W103" s="14">
        <v>0.17</v>
      </c>
      <c r="X103" s="14">
        <v>0</v>
      </c>
      <c r="Y103" s="14">
        <v>226.7</v>
      </c>
      <c r="Z103" s="14">
        <v>68.3</v>
      </c>
      <c r="AA103" s="14">
        <v>295</v>
      </c>
      <c r="AB103" s="14">
        <v>68</v>
      </c>
    </row>
    <row r="104" spans="2:28">
      <c r="B104" s="14">
        <v>69</v>
      </c>
      <c r="C104" s="14">
        <v>120.2</v>
      </c>
      <c r="D104" s="14">
        <v>46</v>
      </c>
      <c r="E104" s="14">
        <v>30.8</v>
      </c>
      <c r="F104" s="14">
        <v>0.5</v>
      </c>
      <c r="G104" s="14">
        <v>21.06</v>
      </c>
      <c r="H104" s="14">
        <v>1.75</v>
      </c>
      <c r="I104" s="14">
        <v>1.1599999999999999</v>
      </c>
      <c r="J104" s="14">
        <v>0.34</v>
      </c>
      <c r="K104" s="14">
        <v>0.8</v>
      </c>
      <c r="L104" s="14">
        <v>0.38</v>
      </c>
      <c r="M104" s="14">
        <v>8.1999999999999993</v>
      </c>
      <c r="N104" s="14">
        <v>0.37</v>
      </c>
      <c r="O104" s="14">
        <v>4.7300000000000004</v>
      </c>
      <c r="P104" s="14">
        <v>1.4</v>
      </c>
      <c r="Q104" s="14">
        <v>0.56999999999999995</v>
      </c>
      <c r="R104" s="14">
        <v>0</v>
      </c>
      <c r="S104" s="14">
        <v>0.1</v>
      </c>
      <c r="T104" s="14">
        <v>1.2</v>
      </c>
      <c r="U104" s="14">
        <v>0.15</v>
      </c>
      <c r="V104" s="14">
        <v>4.95</v>
      </c>
      <c r="W104" s="14">
        <v>0.18</v>
      </c>
      <c r="X104" s="14">
        <v>0</v>
      </c>
      <c r="Y104" s="14">
        <v>244.5</v>
      </c>
      <c r="Z104" s="14">
        <v>77.2</v>
      </c>
      <c r="AA104" s="14">
        <v>321.7</v>
      </c>
      <c r="AB104" s="14">
        <v>69</v>
      </c>
    </row>
    <row r="105" spans="2:28">
      <c r="B105" s="14">
        <v>70</v>
      </c>
      <c r="C105" s="14">
        <v>126</v>
      </c>
      <c r="D105" s="14">
        <v>49.9</v>
      </c>
      <c r="E105" s="14">
        <v>34.299999999999997</v>
      </c>
      <c r="F105" s="14">
        <v>0.4</v>
      </c>
      <c r="G105" s="14">
        <v>25.64</v>
      </c>
      <c r="H105" s="14">
        <v>1.78</v>
      </c>
      <c r="I105" s="14">
        <v>1.34</v>
      </c>
      <c r="J105" s="14">
        <v>0.35</v>
      </c>
      <c r="K105" s="14">
        <v>0.93</v>
      </c>
      <c r="L105" s="14">
        <v>0.42</v>
      </c>
      <c r="M105" s="14">
        <v>8.5</v>
      </c>
      <c r="N105" s="14">
        <v>0.42</v>
      </c>
      <c r="O105" s="14">
        <v>5.0199999999999996</v>
      </c>
      <c r="P105" s="14">
        <v>1.5</v>
      </c>
      <c r="Q105" s="14">
        <v>0.62</v>
      </c>
      <c r="R105" s="14">
        <v>0</v>
      </c>
      <c r="S105" s="14">
        <v>0.1</v>
      </c>
      <c r="T105" s="14">
        <v>1.23</v>
      </c>
      <c r="U105" s="14">
        <v>0.15</v>
      </c>
      <c r="V105" s="14">
        <v>5.58</v>
      </c>
      <c r="W105" s="14">
        <v>0.19</v>
      </c>
      <c r="X105" s="14">
        <v>0</v>
      </c>
      <c r="Y105" s="14">
        <v>263.89999999999998</v>
      </c>
      <c r="Z105" s="14">
        <v>88</v>
      </c>
      <c r="AA105" s="14">
        <v>351.9</v>
      </c>
      <c r="AB105" s="14">
        <v>70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3"/>
  <sheetViews>
    <sheetView workbookViewId="0">
      <selection activeCell="H3" sqref="H3"/>
    </sheetView>
  </sheetViews>
  <sheetFormatPr defaultColWidth="11.44140625" defaultRowHeight="13.2"/>
  <cols>
    <col min="1" max="5" width="11.44140625" customWidth="1"/>
    <col min="6" max="6" width="8.109375" customWidth="1"/>
    <col min="8" max="8" width="4.33203125" customWidth="1"/>
  </cols>
  <sheetData>
    <row r="1" spans="1:15">
      <c r="A1" t="s">
        <v>72</v>
      </c>
      <c r="F1" t="s">
        <v>73</v>
      </c>
      <c r="I1" t="s">
        <v>95</v>
      </c>
      <c r="N1" t="s">
        <v>73</v>
      </c>
    </row>
    <row r="2" spans="1:15" ht="15">
      <c r="A2" s="1" t="s">
        <v>7</v>
      </c>
      <c r="B2" s="71" t="s">
        <v>63</v>
      </c>
      <c r="C2" s="1" t="s">
        <v>64</v>
      </c>
      <c r="D2" s="1" t="s">
        <v>65</v>
      </c>
      <c r="E2" s="85" t="s">
        <v>71</v>
      </c>
      <c r="F2" s="1" t="s">
        <v>74</v>
      </c>
      <c r="G2" s="1" t="s">
        <v>49</v>
      </c>
      <c r="I2" s="1" t="s">
        <v>7</v>
      </c>
      <c r="J2" s="71" t="s">
        <v>63</v>
      </c>
      <c r="K2" s="1" t="s">
        <v>64</v>
      </c>
      <c r="L2" s="1" t="s">
        <v>65</v>
      </c>
      <c r="M2" s="85" t="s">
        <v>71</v>
      </c>
      <c r="N2" s="1" t="s">
        <v>74</v>
      </c>
      <c r="O2" s="1" t="s">
        <v>49</v>
      </c>
    </row>
    <row r="3" spans="1:15" ht="15">
      <c r="A3" s="72">
        <v>20</v>
      </c>
      <c r="B3" s="133">
        <f>'Full CIBT Tables'!C3/10000</f>
        <v>2.3999999999999998E-4</v>
      </c>
      <c r="C3" s="133">
        <f>'Full CIBT Tables'!D3/10000</f>
        <v>2.0000000000000002E-5</v>
      </c>
      <c r="D3" s="133">
        <f>'Full CIBT Tables'!E3/10000</f>
        <v>5.9999999999999995E-5</v>
      </c>
      <c r="E3" s="170">
        <f>'Full CIBT Tables'!P3/10000</f>
        <v>2.9999999999999997E-5</v>
      </c>
      <c r="F3" s="171">
        <f>(1-B3)*(1-C3)*(1-D3)*(1-E3)</f>
        <v>0.99965002999910002</v>
      </c>
      <c r="G3" s="133">
        <f>'Full CIBT Tables'!Z3/10000</f>
        <v>6.9000000000000008E-4</v>
      </c>
      <c r="I3" s="72">
        <v>20</v>
      </c>
      <c r="J3" s="133">
        <f>'Full CIBT Tables'!C55/10000</f>
        <v>2.1000000000000001E-4</v>
      </c>
      <c r="K3" s="133">
        <f>'Full CIBT Tables'!D55/10000</f>
        <v>0</v>
      </c>
      <c r="L3" s="133">
        <f>'Full CIBT Tables'!E55/10000</f>
        <v>5.0000000000000002E-5</v>
      </c>
      <c r="M3" s="170">
        <f>'Full CIBT Tables'!P55/10000</f>
        <v>1.0000000000000001E-5</v>
      </c>
      <c r="N3" s="171">
        <f>(1-J3)*(1-K3)*(1-L3)*(1-M3)</f>
        <v>0.99973001309989495</v>
      </c>
      <c r="O3" s="133">
        <f>'Full CIBT Tables'!Z55/10000</f>
        <v>2.2999999999999998E-4</v>
      </c>
    </row>
    <row r="4" spans="1:15" ht="15">
      <c r="A4" s="72">
        <v>21</v>
      </c>
      <c r="B4" s="133">
        <f>'Full CIBT Tables'!C4/10000</f>
        <v>2.6000000000000003E-4</v>
      </c>
      <c r="C4" s="133">
        <f>'Full CIBT Tables'!D4/10000</f>
        <v>2.0000000000000002E-5</v>
      </c>
      <c r="D4" s="133">
        <f>'Full CIBT Tables'!E4/10000</f>
        <v>6.9999999999999994E-5</v>
      </c>
      <c r="E4" s="170">
        <f>'Full CIBT Tables'!P4/10000</f>
        <v>2.9999999999999997E-5</v>
      </c>
      <c r="F4" s="171">
        <f t="shared" ref="F4:F53" si="0">(1-B4)*(1-C4)*(1-D4)*(1-E4)</f>
        <v>0.99962003529889198</v>
      </c>
      <c r="G4" s="133">
        <f>'Full CIBT Tables'!Z4/10000</f>
        <v>7.0999999999999991E-4</v>
      </c>
      <c r="I4" s="72">
        <v>21</v>
      </c>
      <c r="J4" s="133">
        <f>'Full CIBT Tables'!C56/10000</f>
        <v>2.2999999999999998E-4</v>
      </c>
      <c r="K4" s="133">
        <f>'Full CIBT Tables'!D56/10000</f>
        <v>1.0000000000000001E-5</v>
      </c>
      <c r="L4" s="133">
        <f>'Full CIBT Tables'!E56/10000</f>
        <v>5.0000000000000002E-5</v>
      </c>
      <c r="M4" s="170">
        <f>'Full CIBT Tables'!P56/10000</f>
        <v>2.0000000000000002E-5</v>
      </c>
      <c r="N4" s="171">
        <f t="shared" ref="N4:N53" si="1">(1-J4)*(1-K4)*(1-L4)*(1-M4)</f>
        <v>0.99969002009959906</v>
      </c>
      <c r="O4" s="133">
        <f>'Full CIBT Tables'!Z56/10000</f>
        <v>2.2999999999999998E-4</v>
      </c>
    </row>
    <row r="5" spans="1:15" ht="15">
      <c r="A5" s="72">
        <v>22</v>
      </c>
      <c r="B5" s="133">
        <f>'Full CIBT Tables'!C5/10000</f>
        <v>2.7E-4</v>
      </c>
      <c r="C5" s="133">
        <f>'Full CIBT Tables'!D5/10000</f>
        <v>2.0000000000000002E-5</v>
      </c>
      <c r="D5" s="133">
        <f>'Full CIBT Tables'!E5/10000</f>
        <v>6.9999999999999994E-5</v>
      </c>
      <c r="E5" s="170">
        <f>'Full CIBT Tables'!P5/10000</f>
        <v>2.9999999999999997E-5</v>
      </c>
      <c r="F5" s="171">
        <f t="shared" si="0"/>
        <v>0.99961003649885105</v>
      </c>
      <c r="G5" s="133">
        <f>'Full CIBT Tables'!Z5/10000</f>
        <v>7.0999999999999991E-4</v>
      </c>
      <c r="I5" s="72">
        <v>22</v>
      </c>
      <c r="J5" s="133">
        <f>'Full CIBT Tables'!C57/10000</f>
        <v>2.6000000000000003E-4</v>
      </c>
      <c r="K5" s="133">
        <f>'Full CIBT Tables'!D57/10000</f>
        <v>1.0000000000000001E-5</v>
      </c>
      <c r="L5" s="133">
        <f>'Full CIBT Tables'!E57/10000</f>
        <v>5.9999999999999995E-5</v>
      </c>
      <c r="M5" s="170">
        <f>'Full CIBT Tables'!P57/10000</f>
        <v>2.0000000000000002E-5</v>
      </c>
      <c r="N5" s="171">
        <f t="shared" si="1"/>
        <v>0.99965002539946801</v>
      </c>
      <c r="O5" s="133">
        <f>'Full CIBT Tables'!Z57/10000</f>
        <v>2.2999999999999998E-4</v>
      </c>
    </row>
    <row r="6" spans="1:15" ht="15">
      <c r="A6" s="72">
        <v>23</v>
      </c>
      <c r="B6" s="133">
        <f>'Full CIBT Tables'!C6/10000</f>
        <v>2.9E-4</v>
      </c>
      <c r="C6" s="133">
        <f>'Full CIBT Tables'!D6/10000</f>
        <v>2.9999999999999997E-5</v>
      </c>
      <c r="D6" s="133">
        <f>'Full CIBT Tables'!E6/10000</f>
        <v>6.9999999999999994E-5</v>
      </c>
      <c r="E6" s="170">
        <f>'Full CIBT Tables'!P6/10000</f>
        <v>4.0000000000000003E-5</v>
      </c>
      <c r="F6" s="171">
        <f t="shared" si="0"/>
        <v>0.99957004669814709</v>
      </c>
      <c r="G6" s="133">
        <f>'Full CIBT Tables'!Z6/10000</f>
        <v>7.0999999999999991E-4</v>
      </c>
      <c r="I6" s="72">
        <v>23</v>
      </c>
      <c r="J6" s="133">
        <f>'Full CIBT Tables'!C58/10000</f>
        <v>2.9999999999999997E-4</v>
      </c>
      <c r="K6" s="133">
        <f>'Full CIBT Tables'!D58/10000</f>
        <v>1.0000000000000001E-5</v>
      </c>
      <c r="L6" s="133">
        <f>'Full CIBT Tables'!E58/10000</f>
        <v>5.9999999999999995E-5</v>
      </c>
      <c r="M6" s="170">
        <f>'Full CIBT Tables'!P58/10000</f>
        <v>2.0000000000000002E-5</v>
      </c>
      <c r="N6" s="171">
        <f t="shared" si="1"/>
        <v>0.99961002899938811</v>
      </c>
      <c r="O6" s="133">
        <f>'Full CIBT Tables'!Z58/10000</f>
        <v>2.2999999999999998E-4</v>
      </c>
    </row>
    <row r="7" spans="1:15" ht="15">
      <c r="A7" s="72">
        <v>24</v>
      </c>
      <c r="B7" s="133">
        <f>'Full CIBT Tables'!C7/10000</f>
        <v>2.9999999999999997E-4</v>
      </c>
      <c r="C7" s="133">
        <f>'Full CIBT Tables'!D7/10000</f>
        <v>4.0000000000000003E-5</v>
      </c>
      <c r="D7" s="133">
        <f>'Full CIBT Tables'!E7/10000</f>
        <v>8.0000000000000007E-5</v>
      </c>
      <c r="E7" s="170">
        <f>'Full CIBT Tables'!P7/10000</f>
        <v>4.0000000000000003E-5</v>
      </c>
      <c r="F7" s="171">
        <f t="shared" si="0"/>
        <v>0.99954005599747209</v>
      </c>
      <c r="G7" s="133">
        <f>'Full CIBT Tables'!Z7/10000</f>
        <v>6.9999999999999999E-4</v>
      </c>
      <c r="I7" s="72">
        <v>24</v>
      </c>
      <c r="J7" s="133">
        <f>'Full CIBT Tables'!C59/10000</f>
        <v>3.3E-4</v>
      </c>
      <c r="K7" s="133">
        <f>'Full CIBT Tables'!D59/10000</f>
        <v>1.0000000000000001E-5</v>
      </c>
      <c r="L7" s="133">
        <f>'Full CIBT Tables'!E59/10000</f>
        <v>6.9999999999999994E-5</v>
      </c>
      <c r="M7" s="170">
        <f>'Full CIBT Tables'!P59/10000</f>
        <v>2.0000000000000002E-5</v>
      </c>
      <c r="N7" s="171">
        <f t="shared" si="1"/>
        <v>0.99957003529922706</v>
      </c>
      <c r="O7" s="133">
        <f>'Full CIBT Tables'!Z59/10000</f>
        <v>2.2999999999999998E-4</v>
      </c>
    </row>
    <row r="8" spans="1:15" ht="15">
      <c r="A8" s="72">
        <v>25</v>
      </c>
      <c r="B8" s="133">
        <f>'Full CIBT Tables'!C8/10000</f>
        <v>3.2000000000000003E-4</v>
      </c>
      <c r="C8" s="133">
        <f>'Full CIBT Tables'!D8/10000</f>
        <v>4.0000000000000003E-5</v>
      </c>
      <c r="D8" s="133">
        <f>'Full CIBT Tables'!E8/10000</f>
        <v>8.0000000000000007E-5</v>
      </c>
      <c r="E8" s="170">
        <f>'Full CIBT Tables'!P8/10000</f>
        <v>4.0000000000000003E-5</v>
      </c>
      <c r="F8" s="171">
        <f t="shared" si="0"/>
        <v>0.99952005919731191</v>
      </c>
      <c r="G8" s="133">
        <f>'Full CIBT Tables'!Z8/10000</f>
        <v>6.9000000000000008E-4</v>
      </c>
      <c r="I8" s="72">
        <v>25</v>
      </c>
      <c r="J8" s="133">
        <f>'Full CIBT Tables'!C60/10000</f>
        <v>3.7999999999999997E-4</v>
      </c>
      <c r="K8" s="133">
        <f>'Full CIBT Tables'!D60/10000</f>
        <v>1.0000000000000001E-5</v>
      </c>
      <c r="L8" s="133">
        <f>'Full CIBT Tables'!E60/10000</f>
        <v>6.9999999999999994E-5</v>
      </c>
      <c r="M8" s="170">
        <f>'Full CIBT Tables'!P60/10000</f>
        <v>2.0000000000000002E-5</v>
      </c>
      <c r="N8" s="171">
        <f t="shared" si="1"/>
        <v>0.99952004029911201</v>
      </c>
      <c r="O8" s="133">
        <f>'Full CIBT Tables'!Z60/10000</f>
        <v>2.3999999999999998E-4</v>
      </c>
    </row>
    <row r="9" spans="1:15" ht="15">
      <c r="A9" s="72">
        <v>26</v>
      </c>
      <c r="B9" s="133">
        <f>'Full CIBT Tables'!C9/10000</f>
        <v>3.3999999999999997E-4</v>
      </c>
      <c r="C9" s="133">
        <f>'Full CIBT Tables'!D9/10000</f>
        <v>5.0000000000000002E-5</v>
      </c>
      <c r="D9" s="133">
        <f>'Full CIBT Tables'!E9/10000</f>
        <v>9.0000000000000006E-5</v>
      </c>
      <c r="E9" s="170">
        <f>'Full CIBT Tables'!P9/10000</f>
        <v>4.0000000000000003E-5</v>
      </c>
      <c r="F9" s="171">
        <f t="shared" si="0"/>
        <v>0.99948007129638594</v>
      </c>
      <c r="G9" s="133">
        <f>'Full CIBT Tables'!Z9/10000</f>
        <v>6.9999999999999999E-4</v>
      </c>
      <c r="I9" s="72">
        <v>26</v>
      </c>
      <c r="J9" s="133">
        <f>'Full CIBT Tables'!C61/10000</f>
        <v>4.2000000000000002E-4</v>
      </c>
      <c r="K9" s="133">
        <f>'Full CIBT Tables'!D61/10000</f>
        <v>1.0000000000000001E-5</v>
      </c>
      <c r="L9" s="133">
        <f>'Full CIBT Tables'!E61/10000</f>
        <v>8.0000000000000007E-5</v>
      </c>
      <c r="M9" s="170">
        <f>'Full CIBT Tables'!P61/10000</f>
        <v>2.0000000000000002E-5</v>
      </c>
      <c r="N9" s="171">
        <f t="shared" si="1"/>
        <v>0.99947004879889212</v>
      </c>
      <c r="O9" s="133">
        <f>'Full CIBT Tables'!Z61/10000</f>
        <v>2.3999999999999998E-4</v>
      </c>
    </row>
    <row r="10" spans="1:15" ht="15">
      <c r="A10" s="72">
        <v>27</v>
      </c>
      <c r="B10" s="133">
        <f>'Full CIBT Tables'!C10/10000</f>
        <v>3.6000000000000002E-4</v>
      </c>
      <c r="C10" s="133">
        <f>'Full CIBT Tables'!D10/10000</f>
        <v>6.9999999999999994E-5</v>
      </c>
      <c r="D10" s="133">
        <f>'Full CIBT Tables'!E10/10000</f>
        <v>9.0000000000000006E-5</v>
      </c>
      <c r="E10" s="170">
        <f>'Full CIBT Tables'!P10/10000</f>
        <v>5.0000000000000002E-5</v>
      </c>
      <c r="F10" s="171">
        <f t="shared" si="0"/>
        <v>0.99943008989453708</v>
      </c>
      <c r="G10" s="133">
        <f>'Full CIBT Tables'!Z10/10000</f>
        <v>7.2999999999999996E-4</v>
      </c>
      <c r="I10" s="72">
        <v>27</v>
      </c>
      <c r="J10" s="133">
        <f>'Full CIBT Tables'!C62/10000</f>
        <v>4.7999999999999996E-4</v>
      </c>
      <c r="K10" s="133">
        <f>'Full CIBT Tables'!D62/10000</f>
        <v>2.0000000000000002E-5</v>
      </c>
      <c r="L10" s="133">
        <f>'Full CIBT Tables'!E62/10000</f>
        <v>8.0000000000000007E-5</v>
      </c>
      <c r="M10" s="170">
        <f>'Full CIBT Tables'!P62/10000</f>
        <v>2.9999999999999997E-5</v>
      </c>
      <c r="N10" s="171">
        <f t="shared" si="1"/>
        <v>0.99939006699774413</v>
      </c>
      <c r="O10" s="133">
        <f>'Full CIBT Tables'!Z62/10000</f>
        <v>2.5000000000000001E-4</v>
      </c>
    </row>
    <row r="11" spans="1:15" ht="15">
      <c r="A11" s="72">
        <v>28</v>
      </c>
      <c r="B11" s="133">
        <f>'Full CIBT Tables'!C11/10000</f>
        <v>3.7999999999999997E-4</v>
      </c>
      <c r="C11" s="133">
        <f>'Full CIBT Tables'!D11/10000</f>
        <v>8.0000000000000007E-5</v>
      </c>
      <c r="D11" s="133">
        <f>'Full CIBT Tables'!E11/10000</f>
        <v>1E-4</v>
      </c>
      <c r="E11" s="170">
        <f>'Full CIBT Tables'!P11/10000</f>
        <v>5.0000000000000002E-5</v>
      </c>
      <c r="F11" s="171">
        <f t="shared" si="0"/>
        <v>0.99939010439314013</v>
      </c>
      <c r="G11" s="133">
        <f>'Full CIBT Tables'!Z11/10000</f>
        <v>7.5999999999999993E-4</v>
      </c>
      <c r="I11" s="72">
        <v>28</v>
      </c>
      <c r="J11" s="133">
        <f>'Full CIBT Tables'!C63/10000</f>
        <v>5.2999999999999998E-4</v>
      </c>
      <c r="K11" s="133">
        <f>'Full CIBT Tables'!D63/10000</f>
        <v>2.0000000000000002E-5</v>
      </c>
      <c r="L11" s="133">
        <f>'Full CIBT Tables'!E63/10000</f>
        <v>9.0000000000000006E-5</v>
      </c>
      <c r="M11" s="170">
        <f>'Full CIBT Tables'!P63/10000</f>
        <v>2.9999999999999997E-5</v>
      </c>
      <c r="N11" s="171">
        <f t="shared" si="1"/>
        <v>0.99933007929724293</v>
      </c>
      <c r="O11" s="133">
        <f>'Full CIBT Tables'!Z63/10000</f>
        <v>2.6000000000000003E-4</v>
      </c>
    </row>
    <row r="12" spans="1:15" ht="15">
      <c r="A12" s="72">
        <v>29</v>
      </c>
      <c r="B12" s="133">
        <f>'Full CIBT Tables'!C12/10000</f>
        <v>4.0000000000000002E-4</v>
      </c>
      <c r="C12" s="133">
        <f>'Full CIBT Tables'!D12/10000</f>
        <v>1E-4</v>
      </c>
      <c r="D12" s="133">
        <f>'Full CIBT Tables'!E12/10000</f>
        <v>1.1E-4</v>
      </c>
      <c r="E12" s="170">
        <f>'Full CIBT Tables'!P12/10000</f>
        <v>5.0000000000000002E-5</v>
      </c>
      <c r="F12" s="171">
        <f t="shared" si="0"/>
        <v>0.99934012549085016</v>
      </c>
      <c r="G12" s="133">
        <f>'Full CIBT Tables'!Z12/10000</f>
        <v>7.9000000000000001E-4</v>
      </c>
      <c r="I12" s="72">
        <v>29</v>
      </c>
      <c r="J12" s="133">
        <f>'Full CIBT Tables'!C64/10000</f>
        <v>5.9999999999999995E-4</v>
      </c>
      <c r="K12" s="133">
        <f>'Full CIBT Tables'!D64/10000</f>
        <v>2.0000000000000002E-5</v>
      </c>
      <c r="L12" s="133">
        <f>'Full CIBT Tables'!E64/10000</f>
        <v>9.0000000000000006E-5</v>
      </c>
      <c r="M12" s="170">
        <f>'Full CIBT Tables'!P64/10000</f>
        <v>2.9999999999999997E-5</v>
      </c>
      <c r="N12" s="171">
        <f t="shared" si="1"/>
        <v>0.99926008909688602</v>
      </c>
      <c r="O12" s="133">
        <f>'Full CIBT Tables'!Z64/10000</f>
        <v>2.7E-4</v>
      </c>
    </row>
    <row r="13" spans="1:15" ht="15">
      <c r="A13" s="72">
        <v>30</v>
      </c>
      <c r="B13" s="133">
        <f>'Full CIBT Tables'!C13/10000</f>
        <v>4.2000000000000002E-4</v>
      </c>
      <c r="C13" s="133">
        <f>'Full CIBT Tables'!D13/10000</f>
        <v>1.1999999999999999E-4</v>
      </c>
      <c r="D13" s="133">
        <f>'Full CIBT Tables'!E13/10000</f>
        <v>1.1E-4</v>
      </c>
      <c r="E13" s="170">
        <f>'Full CIBT Tables'!P13/10000</f>
        <v>5.0000000000000002E-5</v>
      </c>
      <c r="F13" s="171">
        <f t="shared" si="0"/>
        <v>0.99930014228896624</v>
      </c>
      <c r="G13" s="133">
        <f>'Full CIBT Tables'!Z13/10000</f>
        <v>8.1999999999999998E-4</v>
      </c>
      <c r="I13" s="72">
        <v>30</v>
      </c>
      <c r="J13" s="133">
        <f>'Full CIBT Tables'!C65/10000</f>
        <v>6.7000000000000002E-4</v>
      </c>
      <c r="K13" s="133">
        <f>'Full CIBT Tables'!D65/10000</f>
        <v>2.9999999999999997E-5</v>
      </c>
      <c r="L13" s="133">
        <f>'Full CIBT Tables'!E65/10000</f>
        <v>1E-4</v>
      </c>
      <c r="M13" s="170">
        <f>'Full CIBT Tables'!P65/10000</f>
        <v>2.9999999999999997E-5</v>
      </c>
      <c r="N13" s="171">
        <f t="shared" si="1"/>
        <v>0.99917011409528711</v>
      </c>
      <c r="O13" s="133">
        <f>'Full CIBT Tables'!Z65/10000</f>
        <v>2.7999999999999998E-4</v>
      </c>
    </row>
    <row r="14" spans="1:15" ht="15">
      <c r="A14" s="72">
        <v>31</v>
      </c>
      <c r="B14" s="133">
        <f>'Full CIBT Tables'!C14/10000</f>
        <v>4.4000000000000002E-4</v>
      </c>
      <c r="C14" s="133">
        <f>'Full CIBT Tables'!D14/10000</f>
        <v>1.4999999999999999E-4</v>
      </c>
      <c r="D14" s="133">
        <f>'Full CIBT Tables'!E14/10000</f>
        <v>1.1999999999999999E-4</v>
      </c>
      <c r="E14" s="170">
        <f>'Full CIBT Tables'!P14/10000</f>
        <v>5.0000000000000002E-5</v>
      </c>
      <c r="F14" s="171">
        <f t="shared" si="0"/>
        <v>0.99924017228524042</v>
      </c>
      <c r="G14" s="133">
        <f>'Full CIBT Tables'!Z14/10000</f>
        <v>8.4999999999999995E-4</v>
      </c>
      <c r="I14" s="72">
        <v>31</v>
      </c>
      <c r="J14" s="133">
        <f>'Full CIBT Tables'!C66/10000</f>
        <v>7.3999999999999999E-4</v>
      </c>
      <c r="K14" s="133">
        <f>'Full CIBT Tables'!D66/10000</f>
        <v>4.0000000000000003E-5</v>
      </c>
      <c r="L14" s="133">
        <f>'Full CIBT Tables'!E66/10000</f>
        <v>1.1E-4</v>
      </c>
      <c r="M14" s="170">
        <f>'Full CIBT Tables'!P66/10000</f>
        <v>2.9999999999999997E-5</v>
      </c>
      <c r="N14" s="171">
        <f t="shared" si="1"/>
        <v>0.99908014209328211</v>
      </c>
      <c r="O14" s="133">
        <f>'Full CIBT Tables'!Z66/10000</f>
        <v>2.9999999999999997E-4</v>
      </c>
    </row>
    <row r="15" spans="1:15" ht="15">
      <c r="A15" s="72">
        <v>32</v>
      </c>
      <c r="B15" s="133">
        <f>'Full CIBT Tables'!C15/10000</f>
        <v>4.7000000000000004E-4</v>
      </c>
      <c r="C15" s="133">
        <f>'Full CIBT Tables'!D15/10000</f>
        <v>1.8000000000000001E-4</v>
      </c>
      <c r="D15" s="133">
        <f>'Full CIBT Tables'!E15/10000</f>
        <v>1.3000000000000002E-4</v>
      </c>
      <c r="E15" s="170">
        <f>'Full CIBT Tables'!P15/10000</f>
        <v>5.9999999999999995E-5</v>
      </c>
      <c r="F15" s="171">
        <f t="shared" si="0"/>
        <v>0.99916021587885684</v>
      </c>
      <c r="G15" s="133">
        <f>'Full CIBT Tables'!Z15/10000</f>
        <v>8.699999999999999E-4</v>
      </c>
      <c r="I15" s="72">
        <v>32</v>
      </c>
      <c r="J15" s="133">
        <f>'Full CIBT Tables'!C67/10000</f>
        <v>8.3000000000000012E-4</v>
      </c>
      <c r="K15" s="133">
        <f>'Full CIBT Tables'!D67/10000</f>
        <v>4.0000000000000003E-5</v>
      </c>
      <c r="L15" s="133">
        <f>'Full CIBT Tables'!E67/10000</f>
        <v>1.1999999999999999E-4</v>
      </c>
      <c r="M15" s="170">
        <f>'Full CIBT Tables'!P67/10000</f>
        <v>2.9999999999999997E-5</v>
      </c>
      <c r="N15" s="171">
        <f t="shared" si="1"/>
        <v>0.9989801672918881</v>
      </c>
      <c r="O15" s="133">
        <f>'Full CIBT Tables'!Z67/10000</f>
        <v>3.1E-4</v>
      </c>
    </row>
    <row r="16" spans="1:15" ht="15">
      <c r="A16" s="72">
        <v>33</v>
      </c>
      <c r="B16" s="133">
        <f>'Full CIBT Tables'!C16/10000</f>
        <v>5.0000000000000001E-4</v>
      </c>
      <c r="C16" s="133">
        <f>'Full CIBT Tables'!D16/10000</f>
        <v>2.2999999999999998E-4</v>
      </c>
      <c r="D16" s="133">
        <f>'Full CIBT Tables'!E16/10000</f>
        <v>1.3999999999999999E-4</v>
      </c>
      <c r="E16" s="170">
        <f>'Full CIBT Tables'!P16/10000</f>
        <v>5.9999999999999995E-5</v>
      </c>
      <c r="F16" s="171">
        <f t="shared" si="0"/>
        <v>0.99907026937086907</v>
      </c>
      <c r="G16" s="133">
        <f>'Full CIBT Tables'!Z16/10000</f>
        <v>8.9000000000000006E-4</v>
      </c>
      <c r="I16" s="72">
        <v>33</v>
      </c>
      <c r="J16" s="133">
        <f>'Full CIBT Tables'!C68/10000</f>
        <v>9.1E-4</v>
      </c>
      <c r="K16" s="133">
        <f>'Full CIBT Tables'!D68/10000</f>
        <v>5.0000000000000002E-5</v>
      </c>
      <c r="L16" s="133">
        <f>'Full CIBT Tables'!E68/10000</f>
        <v>1.3000000000000002E-4</v>
      </c>
      <c r="M16" s="170">
        <f>'Full CIBT Tables'!P68/10000</f>
        <v>4.0000000000000003E-5</v>
      </c>
      <c r="N16" s="171">
        <f t="shared" si="1"/>
        <v>0.99887021388727326</v>
      </c>
      <c r="O16" s="133">
        <f>'Full CIBT Tables'!Z68/10000</f>
        <v>3.2000000000000003E-4</v>
      </c>
    </row>
    <row r="17" spans="1:15" ht="15">
      <c r="A17" s="72">
        <v>34</v>
      </c>
      <c r="B17" s="133">
        <f>'Full CIBT Tables'!C17/10000</f>
        <v>5.2999999999999998E-4</v>
      </c>
      <c r="C17" s="133">
        <f>'Full CIBT Tables'!D17/10000</f>
        <v>2.7999999999999998E-4</v>
      </c>
      <c r="D17" s="133">
        <f>'Full CIBT Tables'!E17/10000</f>
        <v>1.4999999999999999E-4</v>
      </c>
      <c r="E17" s="170">
        <f>'Full CIBT Tables'!P17/10000</f>
        <v>5.9999999999999995E-5</v>
      </c>
      <c r="F17" s="171">
        <f t="shared" si="0"/>
        <v>0.99898032746154741</v>
      </c>
      <c r="G17" s="133">
        <f>'Full CIBT Tables'!Z17/10000</f>
        <v>9.1999999999999992E-4</v>
      </c>
      <c r="I17" s="72">
        <v>34</v>
      </c>
      <c r="J17" s="133">
        <f>'Full CIBT Tables'!C69/10000</f>
        <v>1.01E-3</v>
      </c>
      <c r="K17" s="133">
        <f>'Full CIBT Tables'!D69/10000</f>
        <v>5.9999999999999995E-5</v>
      </c>
      <c r="L17" s="133">
        <f>'Full CIBT Tables'!E69/10000</f>
        <v>1.3999999999999999E-4</v>
      </c>
      <c r="M17" s="170">
        <f>'Full CIBT Tables'!P69/10000</f>
        <v>4.0000000000000003E-5</v>
      </c>
      <c r="N17" s="171">
        <f t="shared" si="1"/>
        <v>0.99875025878310031</v>
      </c>
      <c r="O17" s="133">
        <f>'Full CIBT Tables'!Z69/10000</f>
        <v>3.3E-4</v>
      </c>
    </row>
    <row r="18" spans="1:15" ht="15">
      <c r="A18" s="72">
        <v>35</v>
      </c>
      <c r="B18" s="133">
        <f>'Full CIBT Tables'!C18/10000</f>
        <v>5.6999999999999998E-4</v>
      </c>
      <c r="C18" s="133">
        <f>'Full CIBT Tables'!D18/10000</f>
        <v>3.3999999999999997E-4</v>
      </c>
      <c r="D18" s="133">
        <f>'Full CIBT Tables'!E18/10000</f>
        <v>1.6999999999999999E-4</v>
      </c>
      <c r="E18" s="170">
        <f>'Full CIBT Tables'!P18/10000</f>
        <v>5.9999999999999995E-5</v>
      </c>
      <c r="F18" s="171">
        <f t="shared" si="0"/>
        <v>0.99886041324614616</v>
      </c>
      <c r="G18" s="133">
        <f>'Full CIBT Tables'!Z18/10000</f>
        <v>9.4000000000000008E-4</v>
      </c>
      <c r="I18" s="72">
        <v>35</v>
      </c>
      <c r="J18" s="133">
        <f>'Full CIBT Tables'!C70/10000</f>
        <v>1.1000000000000001E-3</v>
      </c>
      <c r="K18" s="133">
        <f>'Full CIBT Tables'!D70/10000</f>
        <v>8.0000000000000007E-5</v>
      </c>
      <c r="L18" s="133">
        <f>'Full CIBT Tables'!E70/10000</f>
        <v>1.4999999999999999E-4</v>
      </c>
      <c r="M18" s="170">
        <f>'Full CIBT Tables'!P70/10000</f>
        <v>4.0000000000000003E-5</v>
      </c>
      <c r="N18" s="171">
        <f t="shared" si="1"/>
        <v>0.99863031817620052</v>
      </c>
      <c r="O18" s="133">
        <f>'Full CIBT Tables'!Z70/10000</f>
        <v>3.5E-4</v>
      </c>
    </row>
    <row r="19" spans="1:15" ht="15">
      <c r="A19" s="72">
        <v>36</v>
      </c>
      <c r="B19" s="133">
        <f>'Full CIBT Tables'!C19/10000</f>
        <v>6.0999999999999997E-4</v>
      </c>
      <c r="C19" s="133">
        <f>'Full CIBT Tables'!D19/10000</f>
        <v>4.2000000000000002E-4</v>
      </c>
      <c r="D19" s="133">
        <f>'Full CIBT Tables'!E19/10000</f>
        <v>1.8000000000000001E-4</v>
      </c>
      <c r="E19" s="170">
        <f>'Full CIBT Tables'!P19/10000</f>
        <v>5.9999999999999995E-5</v>
      </c>
      <c r="F19" s="171">
        <f t="shared" si="0"/>
        <v>0.99873051412739089</v>
      </c>
      <c r="G19" s="133">
        <f>'Full CIBT Tables'!Z19/10000</f>
        <v>9.8999999999999999E-4</v>
      </c>
      <c r="I19" s="72">
        <v>36</v>
      </c>
      <c r="J19" s="133">
        <f>'Full CIBT Tables'!C71/10000</f>
        <v>1.2099999999999999E-3</v>
      </c>
      <c r="K19" s="133">
        <f>'Full CIBT Tables'!D71/10000</f>
        <v>9.0000000000000006E-5</v>
      </c>
      <c r="L19" s="133">
        <f>'Full CIBT Tables'!E71/10000</f>
        <v>1.6000000000000001E-4</v>
      </c>
      <c r="M19" s="170">
        <f>'Full CIBT Tables'!P71/10000</f>
        <v>4.0000000000000003E-5</v>
      </c>
      <c r="N19" s="171">
        <f t="shared" si="1"/>
        <v>0.99850037526990054</v>
      </c>
      <c r="O19" s="133">
        <f>'Full CIBT Tables'!Z71/10000</f>
        <v>3.6000000000000002E-4</v>
      </c>
    </row>
    <row r="20" spans="1:15" ht="15">
      <c r="A20" s="72">
        <v>37</v>
      </c>
      <c r="B20" s="133">
        <f>'Full CIBT Tables'!C20/10000</f>
        <v>6.6E-4</v>
      </c>
      <c r="C20" s="133">
        <f>'Full CIBT Tables'!D20/10000</f>
        <v>5.0999999999999993E-4</v>
      </c>
      <c r="D20" s="133">
        <f>'Full CIBT Tables'!E20/10000</f>
        <v>2.0000000000000001E-4</v>
      </c>
      <c r="E20" s="170">
        <f>'Full CIBT Tables'!P20/10000</f>
        <v>6.9999999999999994E-5</v>
      </c>
      <c r="F20" s="171">
        <f t="shared" si="0"/>
        <v>0.99856066639274266</v>
      </c>
      <c r="G20" s="133">
        <f>'Full CIBT Tables'!Z20/10000</f>
        <v>1.0400000000000001E-3</v>
      </c>
      <c r="I20" s="72">
        <v>37</v>
      </c>
      <c r="J20" s="133">
        <f>'Full CIBT Tables'!C72/10000</f>
        <v>1.32E-3</v>
      </c>
      <c r="K20" s="133">
        <f>'Full CIBT Tables'!D72/10000</f>
        <v>1.1E-4</v>
      </c>
      <c r="L20" s="133">
        <f>'Full CIBT Tables'!E72/10000</f>
        <v>1.8000000000000001E-4</v>
      </c>
      <c r="M20" s="170">
        <f>'Full CIBT Tables'!P72/10000</f>
        <v>4.0000000000000003E-5</v>
      </c>
      <c r="N20" s="171">
        <f t="shared" si="1"/>
        <v>0.99835046695776097</v>
      </c>
      <c r="O20" s="133">
        <f>'Full CIBT Tables'!Z72/10000</f>
        <v>3.6999999999999999E-4</v>
      </c>
    </row>
    <row r="21" spans="1:15" ht="15">
      <c r="A21" s="72">
        <v>38</v>
      </c>
      <c r="B21" s="133">
        <f>'Full CIBT Tables'!C21/10000</f>
        <v>7.0999999999999991E-4</v>
      </c>
      <c r="C21" s="133">
        <f>'Full CIBT Tables'!D21/10000</f>
        <v>6.2E-4</v>
      </c>
      <c r="D21" s="133">
        <f>'Full CIBT Tables'!E21/10000</f>
        <v>2.2000000000000001E-4</v>
      </c>
      <c r="E21" s="170">
        <f>'Full CIBT Tables'!P21/10000</f>
        <v>6.9999999999999994E-5</v>
      </c>
      <c r="F21" s="171">
        <f t="shared" si="0"/>
        <v>0.99838084115186687</v>
      </c>
      <c r="G21" s="133">
        <f>'Full CIBT Tables'!Z21/10000</f>
        <v>1.09E-3</v>
      </c>
      <c r="I21" s="72">
        <v>38</v>
      </c>
      <c r="J21" s="133">
        <f>'Full CIBT Tables'!C73/10000</f>
        <v>1.4400000000000001E-3</v>
      </c>
      <c r="K21" s="133">
        <f>'Full CIBT Tables'!D73/10000</f>
        <v>1.3999999999999999E-4</v>
      </c>
      <c r="L21" s="133">
        <f>'Full CIBT Tables'!E73/10000</f>
        <v>1.8999999999999998E-4</v>
      </c>
      <c r="M21" s="170">
        <f>'Full CIBT Tables'!P73/10000</f>
        <v>4.0000000000000003E-5</v>
      </c>
      <c r="N21" s="171">
        <f t="shared" si="1"/>
        <v>0.99819057254162558</v>
      </c>
      <c r="O21" s="133">
        <f>'Full CIBT Tables'!Z73/10000</f>
        <v>3.8999999999999999E-4</v>
      </c>
    </row>
    <row r="22" spans="1:15" ht="15">
      <c r="A22" s="72">
        <v>39</v>
      </c>
      <c r="B22" s="133">
        <f>'Full CIBT Tables'!C22/10000</f>
        <v>7.7000000000000007E-4</v>
      </c>
      <c r="C22" s="133">
        <f>'Full CIBT Tables'!D22/10000</f>
        <v>7.5000000000000002E-4</v>
      </c>
      <c r="D22" s="133">
        <f>'Full CIBT Tables'!E22/10000</f>
        <v>2.3999999999999998E-4</v>
      </c>
      <c r="E22" s="170">
        <f>'Full CIBT Tables'!P22/10000</f>
        <v>6.9999999999999994E-5</v>
      </c>
      <c r="F22" s="171">
        <f t="shared" si="0"/>
        <v>0.99817106529544863</v>
      </c>
      <c r="G22" s="133">
        <f>'Full CIBT Tables'!Z22/10000</f>
        <v>1.15E-3</v>
      </c>
      <c r="I22" s="72">
        <v>39</v>
      </c>
      <c r="J22" s="133">
        <f>'Full CIBT Tables'!C74/10000</f>
        <v>1.57E-3</v>
      </c>
      <c r="K22" s="133">
        <f>'Full CIBT Tables'!D74/10000</f>
        <v>1.6000000000000001E-4</v>
      </c>
      <c r="L22" s="133">
        <f>'Full CIBT Tables'!E74/10000</f>
        <v>2.1000000000000001E-4</v>
      </c>
      <c r="M22" s="170">
        <f>'Full CIBT Tables'!P74/10000</f>
        <v>5.0000000000000002E-5</v>
      </c>
      <c r="N22" s="171">
        <f t="shared" si="1"/>
        <v>0.99801071141652553</v>
      </c>
      <c r="O22" s="133">
        <f>'Full CIBT Tables'!Z74/10000</f>
        <v>4.0000000000000002E-4</v>
      </c>
    </row>
    <row r="23" spans="1:15" ht="15">
      <c r="A23" s="72">
        <v>40</v>
      </c>
      <c r="B23" s="133">
        <f>'Full CIBT Tables'!C23/10000</f>
        <v>8.4000000000000003E-4</v>
      </c>
      <c r="C23" s="133">
        <f>'Full CIBT Tables'!D23/10000</f>
        <v>9.1E-4</v>
      </c>
      <c r="D23" s="133">
        <f>'Full CIBT Tables'!E23/10000</f>
        <v>2.7E-4</v>
      </c>
      <c r="E23" s="170">
        <f>'Full CIBT Tables'!P23/10000</f>
        <v>6.9999999999999994E-5</v>
      </c>
      <c r="F23" s="171">
        <f t="shared" si="0"/>
        <v>0.99791137800704344</v>
      </c>
      <c r="G23" s="133">
        <f>'Full CIBT Tables'!Z23/10000</f>
        <v>1.2099999999999999E-3</v>
      </c>
      <c r="I23" s="72">
        <v>40</v>
      </c>
      <c r="J23" s="133">
        <f>'Full CIBT Tables'!C75/10000</f>
        <v>1.72E-3</v>
      </c>
      <c r="K23" s="133">
        <f>'Full CIBT Tables'!D75/10000</f>
        <v>1.8999999999999998E-4</v>
      </c>
      <c r="L23" s="133">
        <f>'Full CIBT Tables'!E75/10000</f>
        <v>2.2999999999999998E-4</v>
      </c>
      <c r="M23" s="170">
        <f>'Full CIBT Tables'!P75/10000</f>
        <v>5.0000000000000002E-5</v>
      </c>
      <c r="N23" s="171">
        <f t="shared" si="1"/>
        <v>0.99781087298653459</v>
      </c>
      <c r="O23" s="133">
        <f>'Full CIBT Tables'!Z75/10000</f>
        <v>4.2000000000000002E-4</v>
      </c>
    </row>
    <row r="24" spans="1:15" ht="15">
      <c r="A24" s="72">
        <v>41</v>
      </c>
      <c r="B24" s="133">
        <f>'Full CIBT Tables'!C24/10000</f>
        <v>9.1999999999999992E-4</v>
      </c>
      <c r="C24" s="133">
        <f>'Full CIBT Tables'!D24/10000</f>
        <v>1.09E-3</v>
      </c>
      <c r="D24" s="133">
        <f>'Full CIBT Tables'!E24/10000</f>
        <v>2.9999999999999997E-4</v>
      </c>
      <c r="E24" s="170">
        <f>'Full CIBT Tables'!P24/10000</f>
        <v>6.9999999999999994E-5</v>
      </c>
      <c r="F24" s="171">
        <f t="shared" si="0"/>
        <v>0.99762176708677508</v>
      </c>
      <c r="G24" s="133">
        <f>'Full CIBT Tables'!Z24/10000</f>
        <v>1.2800000000000001E-3</v>
      </c>
      <c r="I24" s="72">
        <v>41</v>
      </c>
      <c r="J24" s="133">
        <f>'Full CIBT Tables'!C76/10000</f>
        <v>1.8800000000000002E-3</v>
      </c>
      <c r="K24" s="133">
        <f>'Full CIBT Tables'!D76/10000</f>
        <v>2.2999999999999998E-4</v>
      </c>
      <c r="L24" s="133">
        <f>'Full CIBT Tables'!E76/10000</f>
        <v>2.6000000000000003E-4</v>
      </c>
      <c r="M24" s="170">
        <f>'Full CIBT Tables'!P76/10000</f>
        <v>5.0000000000000002E-5</v>
      </c>
      <c r="N24" s="171">
        <f t="shared" si="1"/>
        <v>0.99758109933853167</v>
      </c>
      <c r="O24" s="133">
        <f>'Full CIBT Tables'!Z76/10000</f>
        <v>4.4999999999999999E-4</v>
      </c>
    </row>
    <row r="25" spans="1:15" ht="15">
      <c r="A25" s="72">
        <v>42</v>
      </c>
      <c r="B25" s="133">
        <f>'Full CIBT Tables'!C25/10000</f>
        <v>1.0199999999999999E-3</v>
      </c>
      <c r="C25" s="133">
        <f>'Full CIBT Tables'!D25/10000</f>
        <v>1.2900000000000001E-3</v>
      </c>
      <c r="D25" s="133">
        <f>'Full CIBT Tables'!E25/10000</f>
        <v>3.3E-4</v>
      </c>
      <c r="E25" s="170">
        <f>'Full CIBT Tables'!P25/10000</f>
        <v>8.0000000000000007E-5</v>
      </c>
      <c r="F25" s="171">
        <f t="shared" si="0"/>
        <v>0.99728228869957269</v>
      </c>
      <c r="G25" s="133">
        <f>'Full CIBT Tables'!Z25/10000</f>
        <v>1.3500000000000001E-3</v>
      </c>
      <c r="I25" s="72">
        <v>42</v>
      </c>
      <c r="J25" s="133">
        <f>'Full CIBT Tables'!C77/10000</f>
        <v>2.0699999999999998E-3</v>
      </c>
      <c r="K25" s="133">
        <f>'Full CIBT Tables'!D77/10000</f>
        <v>2.7E-4</v>
      </c>
      <c r="L25" s="133">
        <f>'Full CIBT Tables'!E77/10000</f>
        <v>2.7999999999999998E-4</v>
      </c>
      <c r="M25" s="170">
        <f>'Full CIBT Tables'!P77/10000</f>
        <v>5.0000000000000002E-5</v>
      </c>
      <c r="N25" s="171">
        <f t="shared" si="1"/>
        <v>0.99733134488281083</v>
      </c>
      <c r="O25" s="133">
        <f>'Full CIBT Tables'!Z77/10000</f>
        <v>4.8999999999999998E-4</v>
      </c>
    </row>
    <row r="26" spans="1:15" ht="15">
      <c r="A26" s="72">
        <v>43</v>
      </c>
      <c r="B26" s="133">
        <f>'Full CIBT Tables'!C26/10000</f>
        <v>1.1300000000000001E-3</v>
      </c>
      <c r="C26" s="133">
        <f>'Full CIBT Tables'!D26/10000</f>
        <v>1.5100000000000001E-3</v>
      </c>
      <c r="D26" s="133">
        <f>'Full CIBT Tables'!E26/10000</f>
        <v>3.6999999999999999E-4</v>
      </c>
      <c r="E26" s="170">
        <f>'Full CIBT Tables'!P26/10000</f>
        <v>8.0000000000000007E-5</v>
      </c>
      <c r="F26" s="171">
        <f t="shared" si="0"/>
        <v>0.99691292305407153</v>
      </c>
      <c r="G26" s="133">
        <f>'Full CIBT Tables'!Z26/10000</f>
        <v>1.4400000000000001E-3</v>
      </c>
      <c r="I26" s="72">
        <v>43</v>
      </c>
      <c r="J26" s="133">
        <f>'Full CIBT Tables'!C78/10000</f>
        <v>2.2699999999999999E-3</v>
      </c>
      <c r="K26" s="133">
        <f>'Full CIBT Tables'!D78/10000</f>
        <v>3.1E-4</v>
      </c>
      <c r="L26" s="133">
        <f>'Full CIBT Tables'!E78/10000</f>
        <v>3.1E-4</v>
      </c>
      <c r="M26" s="170">
        <f>'Full CIBT Tables'!P78/10000</f>
        <v>5.0000000000000002E-5</v>
      </c>
      <c r="N26" s="171">
        <f t="shared" si="1"/>
        <v>0.99706164770668881</v>
      </c>
      <c r="O26" s="133">
        <f>'Full CIBT Tables'!Z78/10000</f>
        <v>5.2000000000000006E-4</v>
      </c>
    </row>
    <row r="27" spans="1:15" ht="15">
      <c r="A27" s="72">
        <v>44</v>
      </c>
      <c r="B27" s="133">
        <f>'Full CIBT Tables'!C27/10000</f>
        <v>1.25E-3</v>
      </c>
      <c r="C27" s="133">
        <f>'Full CIBT Tables'!D27/10000</f>
        <v>1.75E-3</v>
      </c>
      <c r="D27" s="133">
        <f>'Full CIBT Tables'!E27/10000</f>
        <v>4.0999999999999999E-4</v>
      </c>
      <c r="E27" s="170">
        <f>'Full CIBT Tables'!P27/10000</f>
        <v>8.0000000000000007E-5</v>
      </c>
      <c r="F27" s="171">
        <f t="shared" si="0"/>
        <v>0.99651368912979688</v>
      </c>
      <c r="G27" s="133">
        <f>'Full CIBT Tables'!Z27/10000</f>
        <v>1.5199999999999999E-3</v>
      </c>
      <c r="I27" s="72">
        <v>44</v>
      </c>
      <c r="J27" s="133">
        <f>'Full CIBT Tables'!C79/10000</f>
        <v>2.5000000000000001E-3</v>
      </c>
      <c r="K27" s="133">
        <f>'Full CIBT Tables'!D79/10000</f>
        <v>3.5E-4</v>
      </c>
      <c r="L27" s="133">
        <f>'Full CIBT Tables'!E79/10000</f>
        <v>3.3999999999999997E-4</v>
      </c>
      <c r="M27" s="170">
        <f>'Full CIBT Tables'!P79/10000</f>
        <v>5.0000000000000002E-5</v>
      </c>
      <c r="N27" s="171">
        <f t="shared" si="1"/>
        <v>0.99676200311031493</v>
      </c>
      <c r="O27" s="133">
        <f>'Full CIBT Tables'!Z79/10000</f>
        <v>5.5000000000000003E-4</v>
      </c>
    </row>
    <row r="28" spans="1:15" ht="15">
      <c r="A28" s="72">
        <v>45</v>
      </c>
      <c r="B28" s="133">
        <f>'Full CIBT Tables'!C28/10000</f>
        <v>1.39E-3</v>
      </c>
      <c r="C28" s="133">
        <f>'Full CIBT Tables'!D28/10000</f>
        <v>2E-3</v>
      </c>
      <c r="D28" s="133">
        <f>'Full CIBT Tables'!E28/10000</f>
        <v>4.4999999999999999E-4</v>
      </c>
      <c r="E28" s="170">
        <f>'Full CIBT Tables'!P28/10000</f>
        <v>9.0000000000000006E-5</v>
      </c>
      <c r="F28" s="171">
        <f t="shared" si="0"/>
        <v>0.99607464946161761</v>
      </c>
      <c r="G28" s="133">
        <f>'Full CIBT Tables'!Z28/10000</f>
        <v>1.6300000000000002E-3</v>
      </c>
      <c r="I28" s="72">
        <v>45</v>
      </c>
      <c r="J28" s="133">
        <f>'Full CIBT Tables'!C80/10000</f>
        <v>2.7600000000000003E-3</v>
      </c>
      <c r="K28" s="133">
        <f>'Full CIBT Tables'!D80/10000</f>
        <v>4.0000000000000002E-4</v>
      </c>
      <c r="L28" s="133">
        <f>'Full CIBT Tables'!E80/10000</f>
        <v>3.6999999999999999E-4</v>
      </c>
      <c r="M28" s="170">
        <f>'Full CIBT Tables'!P80/10000</f>
        <v>5.9999999999999995E-5</v>
      </c>
      <c r="N28" s="171">
        <f t="shared" si="1"/>
        <v>0.99641248445515262</v>
      </c>
      <c r="O28" s="133">
        <f>'Full CIBT Tables'!Z80/10000</f>
        <v>5.8E-4</v>
      </c>
    </row>
    <row r="29" spans="1:15" ht="15">
      <c r="A29" s="72">
        <v>46</v>
      </c>
      <c r="B29" s="133">
        <f>'Full CIBT Tables'!C29/10000</f>
        <v>1.56E-3</v>
      </c>
      <c r="C29" s="133">
        <f>'Full CIBT Tables'!D29/10000</f>
        <v>2.2499999999999998E-3</v>
      </c>
      <c r="D29" s="133">
        <f>'Full CIBT Tables'!E29/10000</f>
        <v>5.0999999999999993E-4</v>
      </c>
      <c r="E29" s="170">
        <f>'Full CIBT Tables'!P29/10000</f>
        <v>9.0000000000000006E-5</v>
      </c>
      <c r="F29" s="171">
        <f t="shared" si="0"/>
        <v>0.99559583961928211</v>
      </c>
      <c r="G29" s="133">
        <f>'Full CIBT Tables'!Z29/10000</f>
        <v>1.7699999999999999E-3</v>
      </c>
      <c r="I29" s="72">
        <v>46</v>
      </c>
      <c r="J29" s="133">
        <f>'Full CIBT Tables'!C81/10000</f>
        <v>3.0600000000000002E-3</v>
      </c>
      <c r="K29" s="133">
        <f>'Full CIBT Tables'!D81/10000</f>
        <v>4.4999999999999999E-4</v>
      </c>
      <c r="L29" s="133">
        <f>'Full CIBT Tables'!E81/10000</f>
        <v>4.0000000000000002E-4</v>
      </c>
      <c r="M29" s="170">
        <f>'Full CIBT Tables'!P81/10000</f>
        <v>5.9999999999999995E-5</v>
      </c>
      <c r="N29" s="171">
        <f t="shared" si="1"/>
        <v>0.99603301488237328</v>
      </c>
      <c r="O29" s="133">
        <f>'Full CIBT Tables'!Z81/10000</f>
        <v>6.0999999999999997E-4</v>
      </c>
    </row>
    <row r="30" spans="1:15" ht="15">
      <c r="A30" s="72">
        <v>47</v>
      </c>
      <c r="B30" s="133">
        <f>'Full CIBT Tables'!C30/10000</f>
        <v>1.7399999999999998E-3</v>
      </c>
      <c r="C30" s="133">
        <f>'Full CIBT Tables'!D30/10000</f>
        <v>2.5100000000000001E-3</v>
      </c>
      <c r="D30" s="133">
        <f>'Full CIBT Tables'!E30/10000</f>
        <v>5.5999999999999995E-4</v>
      </c>
      <c r="E30" s="170">
        <f>'Full CIBT Tables'!P30/10000</f>
        <v>9.0000000000000006E-5</v>
      </c>
      <c r="F30" s="171">
        <f t="shared" si="0"/>
        <v>0.9951071772472101</v>
      </c>
      <c r="G30" s="133">
        <f>'Full CIBT Tables'!Z30/10000</f>
        <v>1.9100000000000002E-3</v>
      </c>
      <c r="I30" s="72">
        <v>47</v>
      </c>
      <c r="J30" s="133">
        <f>'Full CIBT Tables'!C82/10000</f>
        <v>3.3799999999999998E-3</v>
      </c>
      <c r="K30" s="133">
        <f>'Full CIBT Tables'!D82/10000</f>
        <v>5.0999999999999993E-4</v>
      </c>
      <c r="L30" s="133">
        <f>'Full CIBT Tables'!E82/10000</f>
        <v>4.2999999999999999E-4</v>
      </c>
      <c r="M30" s="170">
        <f>'Full CIBT Tables'!P82/10000</f>
        <v>5.9999999999999995E-5</v>
      </c>
      <c r="N30" s="171">
        <f t="shared" si="1"/>
        <v>0.99562365475502035</v>
      </c>
      <c r="O30" s="133">
        <f>'Full CIBT Tables'!Z82/10000</f>
        <v>6.4000000000000005E-4</v>
      </c>
    </row>
    <row r="31" spans="1:15" ht="15">
      <c r="A31" s="72">
        <v>48</v>
      </c>
      <c r="B31" s="133">
        <f>'Full CIBT Tables'!C31/10000</f>
        <v>1.9599999999999999E-3</v>
      </c>
      <c r="C31" s="133">
        <f>'Full CIBT Tables'!D31/10000</f>
        <v>2.7699999999999999E-3</v>
      </c>
      <c r="D31" s="133">
        <f>'Full CIBT Tables'!E31/10000</f>
        <v>6.2E-4</v>
      </c>
      <c r="E31" s="170">
        <f>'Full CIBT Tables'!P31/10000</f>
        <v>1E-4</v>
      </c>
      <c r="F31" s="171">
        <f t="shared" si="0"/>
        <v>0.99455889259805264</v>
      </c>
      <c r="G31" s="133">
        <f>'Full CIBT Tables'!Z31/10000</f>
        <v>2.0500000000000002E-3</v>
      </c>
      <c r="I31" s="72">
        <v>48</v>
      </c>
      <c r="J31" s="133">
        <f>'Full CIBT Tables'!C83/10000</f>
        <v>3.7200000000000002E-3</v>
      </c>
      <c r="K31" s="133">
        <f>'Full CIBT Tables'!D83/10000</f>
        <v>5.5999999999999995E-4</v>
      </c>
      <c r="L31" s="133">
        <f>'Full CIBT Tables'!E83/10000</f>
        <v>4.7000000000000004E-4</v>
      </c>
      <c r="M31" s="170">
        <f>'Full CIBT Tables'!P83/10000</f>
        <v>5.9999999999999995E-5</v>
      </c>
      <c r="N31" s="171">
        <f t="shared" si="1"/>
        <v>0.99519437857526682</v>
      </c>
      <c r="O31" s="133">
        <f>'Full CIBT Tables'!Z83/10000</f>
        <v>6.7000000000000002E-4</v>
      </c>
    </row>
    <row r="32" spans="1:15" ht="15">
      <c r="A32" s="72">
        <v>49</v>
      </c>
      <c r="B32" s="133">
        <f>'Full CIBT Tables'!C32/10000</f>
        <v>2.2100000000000002E-3</v>
      </c>
      <c r="C32" s="133">
        <f>'Full CIBT Tables'!D32/10000</f>
        <v>3.0300000000000001E-3</v>
      </c>
      <c r="D32" s="133">
        <f>'Full CIBT Tables'!E32/10000</f>
        <v>6.9000000000000008E-4</v>
      </c>
      <c r="E32" s="170">
        <f>'Full CIBT Tables'!P32/10000</f>
        <v>1E-4</v>
      </c>
      <c r="F32" s="171">
        <f t="shared" si="0"/>
        <v>0.99398089924882516</v>
      </c>
      <c r="G32" s="133">
        <f>'Full CIBT Tables'!Z32/10000</f>
        <v>2.16E-3</v>
      </c>
      <c r="I32" s="72">
        <v>49</v>
      </c>
      <c r="J32" s="133">
        <f>'Full CIBT Tables'!C84/10000</f>
        <v>4.0799999999999994E-3</v>
      </c>
      <c r="K32" s="133">
        <f>'Full CIBT Tables'!D84/10000</f>
        <v>6.2E-4</v>
      </c>
      <c r="L32" s="133">
        <f>'Full CIBT Tables'!E84/10000</f>
        <v>5.0000000000000001E-4</v>
      </c>
      <c r="M32" s="170">
        <f>'Full CIBT Tables'!P84/10000</f>
        <v>5.9999999999999995E-5</v>
      </c>
      <c r="N32" s="171">
        <f t="shared" si="1"/>
        <v>0.99474519004250006</v>
      </c>
      <c r="O32" s="133">
        <f>'Full CIBT Tables'!Z84/10000</f>
        <v>6.7999999999999994E-4</v>
      </c>
    </row>
    <row r="33" spans="1:15" ht="15">
      <c r="A33" s="72">
        <v>50</v>
      </c>
      <c r="B33" s="133">
        <f>'Full CIBT Tables'!C33/10000</f>
        <v>2.49E-3</v>
      </c>
      <c r="C33" s="133">
        <f>'Full CIBT Tables'!D33/10000</f>
        <v>3.3E-3</v>
      </c>
      <c r="D33" s="133">
        <f>'Full CIBT Tables'!E33/10000</f>
        <v>7.7000000000000007E-4</v>
      </c>
      <c r="E33" s="170">
        <f>'Full CIBT Tables'!P33/10000</f>
        <v>1E-4</v>
      </c>
      <c r="F33" s="171">
        <f t="shared" si="0"/>
        <v>0.9933533237060127</v>
      </c>
      <c r="G33" s="133">
        <f>'Full CIBT Tables'!Z33/10000</f>
        <v>2.2799999999999999E-3</v>
      </c>
      <c r="I33" s="72">
        <v>50</v>
      </c>
      <c r="J33" s="133">
        <f>'Full CIBT Tables'!C85/10000</f>
        <v>4.4399999999999995E-3</v>
      </c>
      <c r="K33" s="133">
        <f>'Full CIBT Tables'!D85/10000</f>
        <v>6.9000000000000008E-4</v>
      </c>
      <c r="L33" s="133">
        <f>'Full CIBT Tables'!E85/10000</f>
        <v>5.4000000000000001E-4</v>
      </c>
      <c r="M33" s="170">
        <f>'Full CIBT Tables'!P85/10000</f>
        <v>5.9999999999999995E-5</v>
      </c>
      <c r="N33" s="171">
        <f t="shared" si="1"/>
        <v>0.99427617199572738</v>
      </c>
      <c r="O33" s="133">
        <f>'Full CIBT Tables'!Z85/10000</f>
        <v>6.9999999999999999E-4</v>
      </c>
    </row>
    <row r="34" spans="1:15" ht="15">
      <c r="A34" s="72">
        <v>51</v>
      </c>
      <c r="B34" s="133">
        <f>'Full CIBT Tables'!C34/10000</f>
        <v>2.82E-3</v>
      </c>
      <c r="C34" s="133">
        <f>'Full CIBT Tables'!D34/10000</f>
        <v>3.5600000000000002E-3</v>
      </c>
      <c r="D34" s="133">
        <f>'Full CIBT Tables'!E34/10000</f>
        <v>8.4999999999999995E-4</v>
      </c>
      <c r="E34" s="170">
        <f>'Full CIBT Tables'!P34/10000</f>
        <v>1.1E-4</v>
      </c>
      <c r="F34" s="171">
        <f t="shared" si="0"/>
        <v>0.9926762472667765</v>
      </c>
      <c r="G34" s="133">
        <f>'Full CIBT Tables'!Z34/10000</f>
        <v>2.3800000000000002E-3</v>
      </c>
      <c r="I34" s="72">
        <v>51</v>
      </c>
      <c r="J34" s="133">
        <f>'Full CIBT Tables'!C86/10000</f>
        <v>4.8200000000000005E-3</v>
      </c>
      <c r="K34" s="133">
        <f>'Full CIBT Tables'!D86/10000</f>
        <v>7.5999999999999993E-4</v>
      </c>
      <c r="L34" s="133">
        <f>'Full CIBT Tables'!E86/10000</f>
        <v>5.8E-4</v>
      </c>
      <c r="M34" s="170">
        <f>'Full CIBT Tables'!P86/10000</f>
        <v>6.9999999999999994E-5</v>
      </c>
      <c r="N34" s="171">
        <f t="shared" si="1"/>
        <v>0.99377732819252063</v>
      </c>
      <c r="O34" s="133">
        <f>'Full CIBT Tables'!Z86/10000</f>
        <v>7.2999999999999996E-4</v>
      </c>
    </row>
    <row r="35" spans="1:15" ht="15">
      <c r="A35" s="72">
        <v>52</v>
      </c>
      <c r="B35" s="133">
        <f>'Full CIBT Tables'!C35/10000</f>
        <v>3.1899999999999997E-3</v>
      </c>
      <c r="C35" s="133">
        <f>'Full CIBT Tables'!D35/10000</f>
        <v>3.8299999999999996E-3</v>
      </c>
      <c r="D35" s="133">
        <f>'Full CIBT Tables'!E35/10000</f>
        <v>9.4000000000000008E-4</v>
      </c>
      <c r="E35" s="170">
        <f>'Full CIBT Tables'!P35/10000</f>
        <v>1.1E-4</v>
      </c>
      <c r="F35" s="171">
        <f t="shared" si="0"/>
        <v>0.99194967854681015</v>
      </c>
      <c r="G35" s="133">
        <f>'Full CIBT Tables'!Z35/10000</f>
        <v>2.47E-3</v>
      </c>
      <c r="I35" s="72">
        <v>52</v>
      </c>
      <c r="J35" s="133">
        <f>'Full CIBT Tables'!C87/10000</f>
        <v>5.1999999999999998E-3</v>
      </c>
      <c r="K35" s="133">
        <f>'Full CIBT Tables'!D87/10000</f>
        <v>8.4000000000000003E-4</v>
      </c>
      <c r="L35" s="133">
        <f>'Full CIBT Tables'!E87/10000</f>
        <v>6.3000000000000003E-4</v>
      </c>
      <c r="M35" s="170">
        <f>'Full CIBT Tables'!P87/10000</f>
        <v>6.9999999999999994E-5</v>
      </c>
      <c r="N35" s="171">
        <f t="shared" si="1"/>
        <v>0.99326863677622867</v>
      </c>
      <c r="O35" s="133">
        <f>'Full CIBT Tables'!Z87/10000</f>
        <v>7.3999999999999999E-4</v>
      </c>
    </row>
    <row r="36" spans="1:15" ht="15">
      <c r="A36" s="72">
        <v>53</v>
      </c>
      <c r="B36" s="133">
        <f>'Full CIBT Tables'!C36/10000</f>
        <v>3.6200000000000004E-3</v>
      </c>
      <c r="C36" s="133">
        <f>'Full CIBT Tables'!D36/10000</f>
        <v>4.1099999999999999E-3</v>
      </c>
      <c r="D36" s="133">
        <f>'Full CIBT Tables'!E36/10000</f>
        <v>1.0300000000000001E-3</v>
      </c>
      <c r="E36" s="170">
        <f>'Full CIBT Tables'!P36/10000</f>
        <v>1.1999999999999999E-4</v>
      </c>
      <c r="F36" s="171">
        <f t="shared" si="0"/>
        <v>0.99114387323648112</v>
      </c>
      <c r="G36" s="133">
        <f>'Full CIBT Tables'!Z36/10000</f>
        <v>2.5999999999999999E-3</v>
      </c>
      <c r="I36" s="72">
        <v>53</v>
      </c>
      <c r="J36" s="133">
        <f>'Full CIBT Tables'!C88/10000</f>
        <v>5.5799999999999999E-3</v>
      </c>
      <c r="K36" s="133">
        <f>'Full CIBT Tables'!D88/10000</f>
        <v>9.3000000000000005E-4</v>
      </c>
      <c r="L36" s="133">
        <f>'Full CIBT Tables'!E88/10000</f>
        <v>6.7999999999999994E-4</v>
      </c>
      <c r="M36" s="170">
        <f>'Full CIBT Tables'!P88/10000</f>
        <v>6.9999999999999994E-5</v>
      </c>
      <c r="N36" s="171">
        <f t="shared" si="1"/>
        <v>0.99275011529832102</v>
      </c>
      <c r="O36" s="133">
        <f>'Full CIBT Tables'!Z88/10000</f>
        <v>7.7999999999999999E-4</v>
      </c>
    </row>
    <row r="37" spans="1:15" ht="15">
      <c r="A37" s="72">
        <v>54</v>
      </c>
      <c r="B37" s="133">
        <f>'Full CIBT Tables'!C37/10000</f>
        <v>4.1000000000000003E-3</v>
      </c>
      <c r="C37" s="133">
        <f>'Full CIBT Tables'!D37/10000</f>
        <v>4.4000000000000003E-3</v>
      </c>
      <c r="D37" s="133">
        <f>'Full CIBT Tables'!E37/10000</f>
        <v>1.14E-3</v>
      </c>
      <c r="E37" s="170">
        <f>'Full CIBT Tables'!P37/10000</f>
        <v>1.1999999999999999E-4</v>
      </c>
      <c r="F37" s="171">
        <f t="shared" si="0"/>
        <v>0.99026886290926786</v>
      </c>
      <c r="G37" s="133">
        <f>'Full CIBT Tables'!Z37/10000</f>
        <v>2.7300000000000002E-3</v>
      </c>
      <c r="I37" s="72">
        <v>54</v>
      </c>
      <c r="J37" s="133">
        <f>'Full CIBT Tables'!C89/10000</f>
        <v>5.9700000000000005E-3</v>
      </c>
      <c r="K37" s="133">
        <f>'Full CIBT Tables'!D89/10000</f>
        <v>1.0400000000000001E-3</v>
      </c>
      <c r="L37" s="133">
        <f>'Full CIBT Tables'!E89/10000</f>
        <v>7.2999999999999996E-4</v>
      </c>
      <c r="M37" s="170">
        <f>'Full CIBT Tables'!P89/10000</f>
        <v>6.9999999999999994E-5</v>
      </c>
      <c r="N37" s="171">
        <f t="shared" si="1"/>
        <v>0.99220186257506615</v>
      </c>
      <c r="O37" s="133">
        <f>'Full CIBT Tables'!Z89/10000</f>
        <v>8.1999999999999998E-4</v>
      </c>
    </row>
    <row r="38" spans="1:15" ht="15">
      <c r="A38" s="72">
        <v>55</v>
      </c>
      <c r="B38" s="133">
        <f>'Full CIBT Tables'!C38/10000</f>
        <v>4.6499999999999996E-3</v>
      </c>
      <c r="C38" s="133">
        <f>'Full CIBT Tables'!D38/10000</f>
        <v>4.7099999999999998E-3</v>
      </c>
      <c r="D38" s="133">
        <f>'Full CIBT Tables'!E38/10000</f>
        <v>1.2600000000000001E-3</v>
      </c>
      <c r="E38" s="170">
        <f>'Full CIBT Tables'!P38/10000</f>
        <v>1.1999999999999999E-4</v>
      </c>
      <c r="F38" s="171">
        <f t="shared" si="0"/>
        <v>0.98929493786400946</v>
      </c>
      <c r="G38" s="133">
        <f>'Full CIBT Tables'!Z38/10000</f>
        <v>2.9199999999999999E-3</v>
      </c>
      <c r="I38" s="72">
        <v>55</v>
      </c>
      <c r="J38" s="133">
        <f>'Full CIBT Tables'!C90/10000</f>
        <v>6.3600000000000002E-3</v>
      </c>
      <c r="K38" s="133">
        <f>'Full CIBT Tables'!D90/10000</f>
        <v>1.15E-3</v>
      </c>
      <c r="L38" s="133">
        <f>'Full CIBT Tables'!E90/10000</f>
        <v>7.9000000000000001E-4</v>
      </c>
      <c r="M38" s="170">
        <f>'Full CIBT Tables'!P90/10000</f>
        <v>8.0000000000000007E-5</v>
      </c>
      <c r="N38" s="171">
        <f t="shared" si="1"/>
        <v>0.99163390406265028</v>
      </c>
      <c r="O38" s="133">
        <f>'Full CIBT Tables'!Z90/10000</f>
        <v>8.8000000000000003E-4</v>
      </c>
    </row>
    <row r="39" spans="1:15" ht="15">
      <c r="A39" s="72">
        <v>56</v>
      </c>
      <c r="B39" s="133">
        <f>'Full CIBT Tables'!C39/10000</f>
        <v>5.2599999999999999E-3</v>
      </c>
      <c r="C39" s="133">
        <f>'Full CIBT Tables'!D39/10000</f>
        <v>5.0400000000000002E-3</v>
      </c>
      <c r="D39" s="133">
        <f>'Full CIBT Tables'!E39/10000</f>
        <v>1.3800000000000002E-3</v>
      </c>
      <c r="E39" s="170">
        <f>'Full CIBT Tables'!P39/10000</f>
        <v>1.3000000000000002E-4</v>
      </c>
      <c r="F39" s="171">
        <f t="shared" si="0"/>
        <v>0.98823220092623187</v>
      </c>
      <c r="G39" s="133">
        <f>'Full CIBT Tables'!Z39/10000</f>
        <v>3.16E-3</v>
      </c>
      <c r="I39" s="72">
        <v>56</v>
      </c>
      <c r="J39" s="133">
        <f>'Full CIBT Tables'!C91/10000</f>
        <v>6.7599999999999995E-3</v>
      </c>
      <c r="K39" s="133">
        <f>'Full CIBT Tables'!D91/10000</f>
        <v>1.2800000000000001E-3</v>
      </c>
      <c r="L39" s="133">
        <f>'Full CIBT Tables'!E91/10000</f>
        <v>8.4999999999999995E-4</v>
      </c>
      <c r="M39" s="170">
        <f>'Full CIBT Tables'!P91/10000</f>
        <v>8.0000000000000007E-5</v>
      </c>
      <c r="N39" s="171">
        <f t="shared" si="1"/>
        <v>0.99104618940676437</v>
      </c>
      <c r="O39" s="133">
        <f>'Full CIBT Tables'!Z91/10000</f>
        <v>9.4000000000000008E-4</v>
      </c>
    </row>
    <row r="40" spans="1:15" ht="15">
      <c r="A40" s="72">
        <v>57</v>
      </c>
      <c r="B40" s="133">
        <f>'Full CIBT Tables'!C40/10000</f>
        <v>5.94E-3</v>
      </c>
      <c r="C40" s="133">
        <f>'Full CIBT Tables'!D40/10000</f>
        <v>5.4000000000000003E-3</v>
      </c>
      <c r="D40" s="133">
        <f>'Full CIBT Tables'!E40/10000</f>
        <v>1.5199999999999999E-3</v>
      </c>
      <c r="E40" s="170">
        <f>'Full CIBT Tables'!P40/10000</f>
        <v>1.3000000000000002E-4</v>
      </c>
      <c r="F40" s="171">
        <f t="shared" si="0"/>
        <v>0.98706092944015444</v>
      </c>
      <c r="G40" s="133">
        <f>'Full CIBT Tables'!Z40/10000</f>
        <v>3.4399999999999999E-3</v>
      </c>
      <c r="I40" s="72">
        <v>57</v>
      </c>
      <c r="J40" s="133">
        <f>'Full CIBT Tables'!C92/10000</f>
        <v>7.1500000000000001E-3</v>
      </c>
      <c r="K40" s="133">
        <f>'Full CIBT Tables'!D92/10000</f>
        <v>1.4300000000000001E-3</v>
      </c>
      <c r="L40" s="133">
        <f>'Full CIBT Tables'!E92/10000</f>
        <v>9.1999999999999992E-4</v>
      </c>
      <c r="M40" s="170">
        <f>'Full CIBT Tables'!P92/10000</f>
        <v>8.0000000000000007E-5</v>
      </c>
      <c r="N40" s="171">
        <f t="shared" si="1"/>
        <v>0.99043886724476449</v>
      </c>
      <c r="O40" s="133">
        <f>'Full CIBT Tables'!Z92/10000</f>
        <v>1.0199999999999999E-3</v>
      </c>
    </row>
    <row r="41" spans="1:15" ht="15">
      <c r="A41" s="72">
        <v>58</v>
      </c>
      <c r="B41" s="133">
        <f>'Full CIBT Tables'!C41/10000</f>
        <v>6.6799999999999993E-3</v>
      </c>
      <c r="C41" s="133">
        <f>'Full CIBT Tables'!D41/10000</f>
        <v>5.77E-3</v>
      </c>
      <c r="D41" s="133">
        <f>'Full CIBT Tables'!E41/10000</f>
        <v>1.6699999999999998E-3</v>
      </c>
      <c r="E41" s="170">
        <f>'Full CIBT Tables'!P41/10000</f>
        <v>1.3999999999999999E-4</v>
      </c>
      <c r="F41" s="171">
        <f t="shared" si="0"/>
        <v>0.98580123923428553</v>
      </c>
      <c r="G41" s="133">
        <f>'Full CIBT Tables'!Z41/10000</f>
        <v>3.7600000000000003E-3</v>
      </c>
      <c r="I41" s="72">
        <v>58</v>
      </c>
      <c r="J41" s="133">
        <f>'Full CIBT Tables'!C93/10000</f>
        <v>7.5400000000000007E-3</v>
      </c>
      <c r="K41" s="133">
        <f>'Full CIBT Tables'!D93/10000</f>
        <v>1.6000000000000001E-3</v>
      </c>
      <c r="L41" s="133">
        <f>'Full CIBT Tables'!E93/10000</f>
        <v>1.01E-3</v>
      </c>
      <c r="M41" s="170">
        <f>'Full CIBT Tables'!P93/10000</f>
        <v>8.0000000000000007E-5</v>
      </c>
      <c r="N41" s="171">
        <f t="shared" si="1"/>
        <v>0.98979209351270281</v>
      </c>
      <c r="O41" s="133">
        <f>'Full CIBT Tables'!Z93/10000</f>
        <v>1.1199999999999999E-3</v>
      </c>
    </row>
    <row r="42" spans="1:15" ht="15">
      <c r="A42" s="72">
        <v>59</v>
      </c>
      <c r="B42" s="133">
        <f>'Full CIBT Tables'!C42/10000</f>
        <v>7.4799999999999997E-3</v>
      </c>
      <c r="C42" s="133">
        <f>'Full CIBT Tables'!D42/10000</f>
        <v>6.1700000000000001E-3</v>
      </c>
      <c r="D42" s="133">
        <f>'Full CIBT Tables'!E42/10000</f>
        <v>1.8399999999999998E-3</v>
      </c>
      <c r="E42" s="170">
        <f>'Full CIBT Tables'!P42/10000</f>
        <v>1.3999999999999999E-4</v>
      </c>
      <c r="F42" s="171">
        <f t="shared" si="0"/>
        <v>0.98444334131548061</v>
      </c>
      <c r="G42" s="133">
        <f>'Full CIBT Tables'!Z42/10000</f>
        <v>4.13E-3</v>
      </c>
      <c r="I42" s="72">
        <v>59</v>
      </c>
      <c r="J42" s="133">
        <f>'Full CIBT Tables'!C94/10000</f>
        <v>7.9299999999999995E-3</v>
      </c>
      <c r="K42" s="133">
        <f>'Full CIBT Tables'!D94/10000</f>
        <v>1.7800000000000001E-3</v>
      </c>
      <c r="L42" s="133">
        <f>'Full CIBT Tables'!E94/10000</f>
        <v>1.1000000000000001E-3</v>
      </c>
      <c r="M42" s="170">
        <f>'Full CIBT Tables'!P94/10000</f>
        <v>9.0000000000000006E-5</v>
      </c>
      <c r="N42" s="171">
        <f t="shared" si="1"/>
        <v>0.98912575154278126</v>
      </c>
      <c r="O42" s="133">
        <f>'Full CIBT Tables'!Z94/10000</f>
        <v>1.25E-3</v>
      </c>
    </row>
    <row r="43" spans="1:15" ht="15">
      <c r="A43" s="72">
        <v>60</v>
      </c>
      <c r="B43" s="133">
        <f>'Full CIBT Tables'!C43/10000</f>
        <v>8.3499999999999998E-3</v>
      </c>
      <c r="C43" s="133">
        <f>'Full CIBT Tables'!D43/10000</f>
        <v>6.5799999999999999E-3</v>
      </c>
      <c r="D43" s="133">
        <f>'Full CIBT Tables'!E43/10000</f>
        <v>2.0200000000000001E-3</v>
      </c>
      <c r="E43" s="170">
        <f>'Full CIBT Tables'!P43/10000</f>
        <v>1.4999999999999999E-4</v>
      </c>
      <c r="F43" s="171">
        <f t="shared" si="0"/>
        <v>0.98298752036654768</v>
      </c>
      <c r="G43" s="133">
        <f>'Full CIBT Tables'!Z43/10000</f>
        <v>4.5100000000000001E-3</v>
      </c>
      <c r="I43" s="72">
        <v>60</v>
      </c>
      <c r="J43" s="133">
        <f>'Full CIBT Tables'!C95/10000</f>
        <v>8.3099999999999997E-3</v>
      </c>
      <c r="K43" s="133">
        <f>'Full CIBT Tables'!D95/10000</f>
        <v>1.99E-3</v>
      </c>
      <c r="L43" s="133">
        <f>'Full CIBT Tables'!E95/10000</f>
        <v>1.1999999999999999E-3</v>
      </c>
      <c r="M43" s="170">
        <f>'Full CIBT Tables'!P95/10000</f>
        <v>9.0000000000000006E-5</v>
      </c>
      <c r="N43" s="171">
        <f t="shared" si="1"/>
        <v>0.98843990945678495</v>
      </c>
      <c r="O43" s="133">
        <f>'Full CIBT Tables'!Z95/10000</f>
        <v>1.4E-3</v>
      </c>
    </row>
    <row r="44" spans="1:15" ht="15">
      <c r="A44" s="72">
        <v>61</v>
      </c>
      <c r="B44" s="133">
        <f>'Full CIBT Tables'!C44/10000</f>
        <v>9.2800000000000001E-3</v>
      </c>
      <c r="C44" s="133">
        <f>'Full CIBT Tables'!D44/10000</f>
        <v>7.0099999999999997E-3</v>
      </c>
      <c r="D44" s="133">
        <f>'Full CIBT Tables'!E44/10000</f>
        <v>2.2100000000000002E-3</v>
      </c>
      <c r="E44" s="170">
        <f>'Full CIBT Tables'!P44/10000</f>
        <v>1.6000000000000001E-4</v>
      </c>
      <c r="F44" s="171">
        <f t="shared" si="0"/>
        <v>0.9814438537877227</v>
      </c>
      <c r="G44" s="133">
        <f>'Full CIBT Tables'!Z44/10000</f>
        <v>4.9299999999999995E-3</v>
      </c>
      <c r="I44" s="72">
        <v>61</v>
      </c>
      <c r="J44" s="133">
        <f>'Full CIBT Tables'!C96/10000</f>
        <v>8.6800000000000002E-3</v>
      </c>
      <c r="K44" s="133">
        <f>'Full CIBT Tables'!D96/10000</f>
        <v>2.2100000000000002E-3</v>
      </c>
      <c r="L44" s="133">
        <f>'Full CIBT Tables'!E96/10000</f>
        <v>1.32E-3</v>
      </c>
      <c r="M44" s="170">
        <f>'Full CIBT Tables'!P96/10000</f>
        <v>9.0000000000000006E-5</v>
      </c>
      <c r="N44" s="171">
        <f t="shared" si="1"/>
        <v>0.98773462816079893</v>
      </c>
      <c r="O44" s="133">
        <f>'Full CIBT Tables'!Z96/10000</f>
        <v>1.6000000000000001E-3</v>
      </c>
    </row>
    <row r="45" spans="1:15" ht="15">
      <c r="A45" s="72">
        <v>62</v>
      </c>
      <c r="B45" s="133">
        <f>'Full CIBT Tables'!C45/10000</f>
        <v>1.026E-2</v>
      </c>
      <c r="C45" s="133">
        <f>'Full CIBT Tables'!D45/10000</f>
        <v>7.4599999999999996E-3</v>
      </c>
      <c r="D45" s="133">
        <f>'Full CIBT Tables'!E45/10000</f>
        <v>2.4100000000000002E-3</v>
      </c>
      <c r="E45" s="170">
        <f>'Full CIBT Tables'!P45/10000</f>
        <v>1.6000000000000001E-4</v>
      </c>
      <c r="F45" s="171">
        <f t="shared" si="0"/>
        <v>0.97983226208990948</v>
      </c>
      <c r="G45" s="133">
        <f>'Full CIBT Tables'!Z45/10000</f>
        <v>5.4000000000000003E-3</v>
      </c>
      <c r="I45" s="72">
        <v>62</v>
      </c>
      <c r="J45" s="133">
        <f>'Full CIBT Tables'!C97/10000</f>
        <v>9.0500000000000008E-3</v>
      </c>
      <c r="K45" s="133">
        <f>'Full CIBT Tables'!D97/10000</f>
        <v>2.4499999999999999E-3</v>
      </c>
      <c r="L45" s="133">
        <f>'Full CIBT Tables'!E97/10000</f>
        <v>1.4599999999999999E-3</v>
      </c>
      <c r="M45" s="170">
        <f>'Full CIBT Tables'!P97/10000</f>
        <v>1E-4</v>
      </c>
      <c r="N45" s="171">
        <f t="shared" si="1"/>
        <v>0.98698022223513726</v>
      </c>
      <c r="O45" s="133">
        <f>'Full CIBT Tables'!Z97/10000</f>
        <v>1.83E-3</v>
      </c>
    </row>
    <row r="46" spans="1:15" ht="15">
      <c r="A46" s="72">
        <v>63</v>
      </c>
      <c r="B46" s="133">
        <f>'Full CIBT Tables'!C46/10000</f>
        <v>1.1290000000000001E-2</v>
      </c>
      <c r="C46" s="133">
        <f>'Full CIBT Tables'!D46/10000</f>
        <v>7.92E-3</v>
      </c>
      <c r="D46" s="133">
        <f>'Full CIBT Tables'!E46/10000</f>
        <v>2.64E-3</v>
      </c>
      <c r="E46" s="170">
        <f>'Full CIBT Tables'!P46/10000</f>
        <v>1.6999999999999999E-4</v>
      </c>
      <c r="F46" s="171">
        <f t="shared" si="0"/>
        <v>0.97812358585747416</v>
      </c>
      <c r="G46" s="133">
        <f>'Full CIBT Tables'!Z46/10000</f>
        <v>5.9299999999999995E-3</v>
      </c>
      <c r="I46" s="72">
        <v>63</v>
      </c>
      <c r="J46" s="133">
        <f>'Full CIBT Tables'!C98/10000</f>
        <v>9.4199999999999996E-3</v>
      </c>
      <c r="K46" s="133">
        <f>'Full CIBT Tables'!D98/10000</f>
        <v>2.7100000000000002E-3</v>
      </c>
      <c r="L46" s="133">
        <f>'Full CIBT Tables'!E98/10000</f>
        <v>1.6199999999999999E-3</v>
      </c>
      <c r="M46" s="170">
        <f>'Full CIBT Tables'!P98/10000</f>
        <v>1E-4</v>
      </c>
      <c r="N46" s="171">
        <f t="shared" si="1"/>
        <v>0.98619650793057168</v>
      </c>
      <c r="O46" s="133">
        <f>'Full CIBT Tables'!Z98/10000</f>
        <v>2.0999999999999999E-3</v>
      </c>
    </row>
    <row r="47" spans="1:15" ht="15">
      <c r="A47" s="72">
        <v>64</v>
      </c>
      <c r="B47" s="133">
        <f>'Full CIBT Tables'!C47/10000</f>
        <v>1.238E-2</v>
      </c>
      <c r="C47" s="133">
        <f>'Full CIBT Tables'!D47/10000</f>
        <v>8.3899999999999999E-3</v>
      </c>
      <c r="D47" s="133">
        <f>'Full CIBT Tables'!E47/10000</f>
        <v>2.8800000000000002E-3</v>
      </c>
      <c r="E47" s="170">
        <f>'Full CIBT Tables'!P47/10000</f>
        <v>1.8000000000000001E-4</v>
      </c>
      <c r="F47" s="171">
        <f t="shared" si="0"/>
        <v>0.97633761424998533</v>
      </c>
      <c r="G47" s="133">
        <f>'Full CIBT Tables'!Z47/10000</f>
        <v>6.5200000000000006E-3</v>
      </c>
      <c r="I47" s="72">
        <v>64</v>
      </c>
      <c r="J47" s="133">
        <f>'Full CIBT Tables'!C99/10000</f>
        <v>9.7900000000000001E-3</v>
      </c>
      <c r="K47" s="133">
        <f>'Full CIBT Tables'!D99/10000</f>
        <v>2.98E-3</v>
      </c>
      <c r="L47" s="133">
        <f>'Full CIBT Tables'!E99/10000</f>
        <v>1.7899999999999999E-3</v>
      </c>
      <c r="M47" s="170">
        <f>'Full CIBT Tables'!P99/10000</f>
        <v>1E-4</v>
      </c>
      <c r="N47" s="171">
        <f t="shared" si="1"/>
        <v>0.98539343108015431</v>
      </c>
      <c r="O47" s="133">
        <f>'Full CIBT Tables'!Z99/10000</f>
        <v>2.4100000000000002E-3</v>
      </c>
    </row>
    <row r="48" spans="1:15" ht="15">
      <c r="A48" s="72">
        <v>65</v>
      </c>
      <c r="B48" s="133">
        <f>'Full CIBT Tables'!C48/10000</f>
        <v>1.3509999999999999E-2</v>
      </c>
      <c r="C48" s="133">
        <f>'Full CIBT Tables'!D48/10000</f>
        <v>8.8599999999999998E-3</v>
      </c>
      <c r="D48" s="133">
        <f>'Full CIBT Tables'!E48/10000</f>
        <v>3.15E-3</v>
      </c>
      <c r="E48" s="170">
        <f>'Full CIBT Tables'!P48/10000</f>
        <v>1.8999999999999998E-4</v>
      </c>
      <c r="F48" s="171">
        <f t="shared" si="0"/>
        <v>0.97448459978987068</v>
      </c>
      <c r="G48" s="133">
        <f>'Full CIBT Tables'!Z48/10000</f>
        <v>7.2199999999999999E-3</v>
      </c>
      <c r="I48" s="72">
        <v>65</v>
      </c>
      <c r="J48" s="133">
        <f>'Full CIBT Tables'!C100/10000</f>
        <v>1.018E-2</v>
      </c>
      <c r="K48" s="133">
        <f>'Full CIBT Tables'!D100/10000</f>
        <v>3.2700000000000003E-3</v>
      </c>
      <c r="L48" s="133">
        <f>'Full CIBT Tables'!E100/10000</f>
        <v>1.99E-3</v>
      </c>
      <c r="M48" s="170">
        <f>'Full CIBT Tables'!P100/10000</f>
        <v>1.1E-4</v>
      </c>
      <c r="N48" s="171">
        <f t="shared" si="1"/>
        <v>0.9845116796570218</v>
      </c>
      <c r="O48" s="133">
        <f>'Full CIBT Tables'!Z100/10000</f>
        <v>2.7499999999999998E-3</v>
      </c>
    </row>
    <row r="49" spans="1:15" ht="15">
      <c r="A49" s="72">
        <v>66</v>
      </c>
      <c r="B49" s="133">
        <f>'Full CIBT Tables'!C49/10000</f>
        <v>1.468E-2</v>
      </c>
      <c r="C49" s="133">
        <f>'Full CIBT Tables'!D49/10000</f>
        <v>9.3500000000000007E-3</v>
      </c>
      <c r="D49" s="133">
        <f>'Full CIBT Tables'!E49/10000</f>
        <v>3.4499999999999999E-3</v>
      </c>
      <c r="E49" s="170">
        <f>'Full CIBT Tables'!P49/10000</f>
        <v>2.1000000000000001E-4</v>
      </c>
      <c r="F49" s="171">
        <f t="shared" si="0"/>
        <v>0.97253541262542842</v>
      </c>
      <c r="G49" s="133">
        <f>'Full CIBT Tables'!Z49/10000</f>
        <v>9.7299999999999991E-3</v>
      </c>
      <c r="I49" s="72">
        <v>66</v>
      </c>
      <c r="J49" s="133">
        <f>'Full CIBT Tables'!C101/10000</f>
        <v>1.059E-2</v>
      </c>
      <c r="K49" s="133">
        <f>'Full CIBT Tables'!D101/10000</f>
        <v>3.5700000000000003E-3</v>
      </c>
      <c r="L49" s="133">
        <f>'Full CIBT Tables'!E101/10000</f>
        <v>2.2199999999999998E-3</v>
      </c>
      <c r="M49" s="170">
        <f>'Full CIBT Tables'!P101/10000</f>
        <v>1.1E-4</v>
      </c>
      <c r="N49" s="171">
        <f t="shared" si="1"/>
        <v>0.98358095176268134</v>
      </c>
      <c r="O49" s="133">
        <f>'Full CIBT Tables'!Z101/10000</f>
        <v>5.4399999999999995E-3</v>
      </c>
    </row>
    <row r="50" spans="1:15" ht="15">
      <c r="A50" s="72">
        <v>67</v>
      </c>
      <c r="B50" s="133">
        <f>'Full CIBT Tables'!C50/10000</f>
        <v>1.5900000000000001E-2</v>
      </c>
      <c r="C50" s="133">
        <f>'Full CIBT Tables'!D50/10000</f>
        <v>9.8399999999999998E-3</v>
      </c>
      <c r="D50" s="133">
        <f>'Full CIBT Tables'!E50/10000</f>
        <v>3.7700000000000003E-3</v>
      </c>
      <c r="E50" s="170">
        <f>'Full CIBT Tables'!P50/10000</f>
        <v>2.2000000000000001E-4</v>
      </c>
      <c r="F50" s="171">
        <f t="shared" si="0"/>
        <v>0.97052934252156864</v>
      </c>
      <c r="G50" s="133">
        <f>'Full CIBT Tables'!Z50/10000</f>
        <v>1.081E-2</v>
      </c>
      <c r="I50" s="72">
        <v>67</v>
      </c>
      <c r="J50" s="133">
        <f>'Full CIBT Tables'!C102/10000</f>
        <v>1.103E-2</v>
      </c>
      <c r="K50" s="133">
        <f>'Full CIBT Tables'!D102/10000</f>
        <v>3.8999999999999998E-3</v>
      </c>
      <c r="L50" s="133">
        <f>'Full CIBT Tables'!E102/10000</f>
        <v>2.48E-3</v>
      </c>
      <c r="M50" s="170">
        <f>'Full CIBT Tables'!P102/10000</f>
        <v>1.1999999999999999E-4</v>
      </c>
      <c r="N50" s="171">
        <f t="shared" si="1"/>
        <v>0.98255201632543387</v>
      </c>
      <c r="O50" s="133">
        <f>'Full CIBT Tables'!Z102/10000</f>
        <v>6.0799999999999995E-3</v>
      </c>
    </row>
    <row r="51" spans="1:15" ht="15">
      <c r="A51" s="72">
        <v>68</v>
      </c>
      <c r="B51" s="133">
        <f>'Full CIBT Tables'!C51/10000</f>
        <v>1.7169999999999998E-2</v>
      </c>
      <c r="C51" s="133">
        <f>'Full CIBT Tables'!D51/10000</f>
        <v>1.035E-2</v>
      </c>
      <c r="D51" s="133">
        <f>'Full CIBT Tables'!E51/10000</f>
        <v>4.13E-3</v>
      </c>
      <c r="E51" s="170">
        <f>'Full CIBT Tables'!P51/10000</f>
        <v>2.3999999999999998E-4</v>
      </c>
      <c r="F51" s="171">
        <f t="shared" si="0"/>
        <v>0.96840815940780667</v>
      </c>
      <c r="G51" s="133">
        <f>'Full CIBT Tables'!Z51/10000</f>
        <v>1.206E-2</v>
      </c>
      <c r="I51" s="72">
        <v>68</v>
      </c>
      <c r="J51" s="133">
        <f>'Full CIBT Tables'!C103/10000</f>
        <v>1.15E-2</v>
      </c>
      <c r="K51" s="133">
        <f>'Full CIBT Tables'!D103/10000</f>
        <v>4.2399999999999998E-3</v>
      </c>
      <c r="L51" s="133">
        <f>'Full CIBT Tables'!E103/10000</f>
        <v>2.7600000000000003E-3</v>
      </c>
      <c r="M51" s="170">
        <f>'Full CIBT Tables'!P103/10000</f>
        <v>1.3000000000000002E-4</v>
      </c>
      <c r="N51" s="171">
        <f t="shared" si="1"/>
        <v>0.98146446085358319</v>
      </c>
      <c r="O51" s="133">
        <f>'Full CIBT Tables'!Z103/10000</f>
        <v>6.8300000000000001E-3</v>
      </c>
    </row>
    <row r="52" spans="1:15" ht="15">
      <c r="A52" s="72">
        <v>69</v>
      </c>
      <c r="B52" s="133">
        <f>'Full CIBT Tables'!C52/10000</f>
        <v>1.8489999999999999E-2</v>
      </c>
      <c r="C52" s="133">
        <f>'Full CIBT Tables'!D52/10000</f>
        <v>1.0869999999999999E-2</v>
      </c>
      <c r="D52" s="133">
        <f>'Full CIBT Tables'!E52/10000</f>
        <v>4.5200000000000006E-3</v>
      </c>
      <c r="E52" s="170">
        <f>'Full CIBT Tables'!P52/10000</f>
        <v>2.6000000000000003E-4</v>
      </c>
      <c r="F52" s="171">
        <f t="shared" si="0"/>
        <v>0.96620150731781307</v>
      </c>
      <c r="G52" s="133">
        <f>'Full CIBT Tables'!Z52/10000</f>
        <v>1.349E-2</v>
      </c>
      <c r="I52" s="72">
        <v>69</v>
      </c>
      <c r="J52" s="133">
        <f>'Full CIBT Tables'!C104/10000</f>
        <v>1.2019999999999999E-2</v>
      </c>
      <c r="K52" s="133">
        <f>'Full CIBT Tables'!D104/10000</f>
        <v>4.5999999999999999E-3</v>
      </c>
      <c r="L52" s="133">
        <f>'Full CIBT Tables'!E104/10000</f>
        <v>3.0800000000000003E-3</v>
      </c>
      <c r="M52" s="170">
        <f>'Full CIBT Tables'!P104/10000</f>
        <v>1.3999999999999999E-4</v>
      </c>
      <c r="N52" s="171">
        <f t="shared" si="1"/>
        <v>0.98026905441705781</v>
      </c>
      <c r="O52" s="133">
        <f>'Full CIBT Tables'!Z104/10000</f>
        <v>7.7200000000000003E-3</v>
      </c>
    </row>
    <row r="53" spans="1:15" ht="15.6">
      <c r="A53" s="73">
        <v>70</v>
      </c>
      <c r="B53" s="133">
        <f>'Full CIBT Tables'!C53/10000</f>
        <v>1.9859999999999999E-2</v>
      </c>
      <c r="C53" s="133">
        <f>'Full CIBT Tables'!D53/10000</f>
        <v>1.141E-2</v>
      </c>
      <c r="D53" s="133">
        <f>'Full CIBT Tables'!E53/10000</f>
        <v>4.9700000000000005E-3</v>
      </c>
      <c r="E53" s="170">
        <f>'Full CIBT Tables'!P53/10000</f>
        <v>2.9E-4</v>
      </c>
      <c r="F53" s="171">
        <f t="shared" si="0"/>
        <v>0.96386128742747523</v>
      </c>
      <c r="G53" s="133">
        <f>'Full CIBT Tables'!Z53/10000</f>
        <v>1.5140000000000001E-2</v>
      </c>
      <c r="I53" s="73">
        <v>70</v>
      </c>
      <c r="J53" s="133">
        <f>'Full CIBT Tables'!C105/10000</f>
        <v>1.26E-2</v>
      </c>
      <c r="K53" s="133">
        <f>'Full CIBT Tables'!D105/10000</f>
        <v>4.9899999999999996E-3</v>
      </c>
      <c r="L53" s="133">
        <f>'Full CIBT Tables'!E105/10000</f>
        <v>3.4299999999999999E-3</v>
      </c>
      <c r="M53" s="170">
        <f>'Full CIBT Tables'!P105/10000</f>
        <v>1.4999999999999999E-4</v>
      </c>
      <c r="N53" s="171">
        <f t="shared" si="1"/>
        <v>0.97895612659337372</v>
      </c>
      <c r="O53" s="133">
        <f>'Full CIBT Tables'!Z105/10000</f>
        <v>8.8000000000000005E-3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5"/>
  <sheetViews>
    <sheetView workbookViewId="0">
      <selection activeCell="B2" sqref="B2"/>
    </sheetView>
  </sheetViews>
  <sheetFormatPr defaultColWidth="8.77734375" defaultRowHeight="13.2"/>
  <cols>
    <col min="7" max="7" width="9.109375" bestFit="1" customWidth="1"/>
    <col min="9" max="9" width="4.109375" customWidth="1"/>
    <col min="11" max="11" width="9.109375" bestFit="1" customWidth="1"/>
    <col min="13" max="13" width="9.109375" bestFit="1" customWidth="1"/>
  </cols>
  <sheetData>
    <row r="1" spans="1:14">
      <c r="A1" t="s">
        <v>7</v>
      </c>
      <c r="B1" s="2">
        <v>45</v>
      </c>
      <c r="C1" t="s">
        <v>16</v>
      </c>
      <c r="D1" s="2">
        <v>20</v>
      </c>
    </row>
    <row r="2" spans="1:14">
      <c r="A2" t="s">
        <v>67</v>
      </c>
      <c r="B2" s="79" t="s">
        <v>125</v>
      </c>
      <c r="D2" s="2"/>
    </row>
    <row r="3" spans="1:14">
      <c r="B3" s="2"/>
      <c r="D3" s="2"/>
      <c r="F3" t="s">
        <v>66</v>
      </c>
      <c r="I3" s="5"/>
      <c r="J3" t="s">
        <v>17</v>
      </c>
    </row>
    <row r="4" spans="1:14">
      <c r="A4" t="s">
        <v>18</v>
      </c>
      <c r="B4" s="26">
        <v>5.5E-2</v>
      </c>
      <c r="F4" s="1" t="s">
        <v>1</v>
      </c>
      <c r="G4" s="1" t="s">
        <v>13</v>
      </c>
      <c r="H4" s="1" t="s">
        <v>14</v>
      </c>
      <c r="I4" s="21"/>
      <c r="J4" s="1" t="s">
        <v>1</v>
      </c>
      <c r="K4" s="1" t="s">
        <v>13</v>
      </c>
      <c r="L4" s="1" t="s">
        <v>14</v>
      </c>
      <c r="M4" s="21"/>
      <c r="N4" s="21"/>
    </row>
    <row r="5" spans="1:14" ht="15">
      <c r="A5" t="s">
        <v>10</v>
      </c>
      <c r="B5" s="39">
        <v>30000</v>
      </c>
      <c r="F5" s="17">
        <f>20</f>
        <v>20</v>
      </c>
      <c r="G5" s="74">
        <f>1-'Critical Illnesses'!F3</f>
        <v>3.4997000089997954E-4</v>
      </c>
      <c r="H5" s="74">
        <f>1-'Critical Illnesses'!N3</f>
        <v>2.6998690010504589E-4</v>
      </c>
      <c r="I5" s="50"/>
      <c r="J5" s="17">
        <f>20</f>
        <v>20</v>
      </c>
      <c r="K5" s="74">
        <f>'Critical Illnesses'!G3</f>
        <v>6.9000000000000008E-4</v>
      </c>
      <c r="L5" s="212">
        <f>'Critical Illnesses'!O3</f>
        <v>2.2999999999999998E-4</v>
      </c>
      <c r="M5" s="50"/>
      <c r="N5" s="50"/>
    </row>
    <row r="6" spans="1:14" ht="15">
      <c r="B6" s="3"/>
      <c r="F6" s="17">
        <f t="shared" ref="F6:F17" si="0">F5+1</f>
        <v>21</v>
      </c>
      <c r="G6" s="74">
        <f>1-'Critical Illnesses'!F4</f>
        <v>3.7996470110801539E-4</v>
      </c>
      <c r="H6" s="74">
        <f>1-'Critical Illnesses'!N4</f>
        <v>3.0997990040093626E-4</v>
      </c>
      <c r="I6" s="50"/>
      <c r="J6" s="17">
        <f t="shared" ref="J6:J17" si="1">J5+1</f>
        <v>21</v>
      </c>
      <c r="K6" s="74">
        <f>'Critical Illnesses'!G4</f>
        <v>7.0999999999999991E-4</v>
      </c>
      <c r="L6" s="212">
        <f>'Critical Illnesses'!O4</f>
        <v>2.2999999999999998E-4</v>
      </c>
      <c r="M6" s="50"/>
      <c r="N6" s="50"/>
    </row>
    <row r="7" spans="1:14" ht="15">
      <c r="A7" t="s">
        <v>33</v>
      </c>
      <c r="C7" s="3"/>
      <c r="F7" s="17">
        <f t="shared" si="0"/>
        <v>22</v>
      </c>
      <c r="G7" s="74">
        <f>1-'Critical Illnesses'!F5</f>
        <v>3.8996350114894884E-4</v>
      </c>
      <c r="H7" s="74">
        <f>1-'Critical Illnesses'!N5</f>
        <v>3.4997460053198814E-4</v>
      </c>
      <c r="I7" s="135"/>
      <c r="J7" s="17">
        <f t="shared" si="1"/>
        <v>22</v>
      </c>
      <c r="K7" s="74">
        <f>'Critical Illnesses'!G5</f>
        <v>7.0999999999999991E-4</v>
      </c>
      <c r="L7" s="212">
        <f>'Critical Illnesses'!O5</f>
        <v>2.2999999999999998E-4</v>
      </c>
      <c r="M7" s="135"/>
      <c r="N7" s="135"/>
    </row>
    <row r="8" spans="1:14" ht="15">
      <c r="B8" t="s">
        <v>20</v>
      </c>
      <c r="C8" s="9">
        <v>0.1</v>
      </c>
      <c r="F8" s="17">
        <f t="shared" si="0"/>
        <v>23</v>
      </c>
      <c r="G8" s="74">
        <f>1-'Critical Illnesses'!F6</f>
        <v>4.2995330185291447E-4</v>
      </c>
      <c r="H8" s="74">
        <f>1-'Critical Illnesses'!N6</f>
        <v>3.8997100061188839E-4</v>
      </c>
      <c r="I8" s="50"/>
      <c r="J8" s="17">
        <f t="shared" si="1"/>
        <v>23</v>
      </c>
      <c r="K8" s="74">
        <f>'Critical Illnesses'!G6</f>
        <v>7.0999999999999991E-4</v>
      </c>
      <c r="L8" s="212">
        <f>'Critical Illnesses'!O6</f>
        <v>2.2999999999999998E-4</v>
      </c>
      <c r="M8" s="50"/>
      <c r="N8" s="50"/>
    </row>
    <row r="9" spans="1:14" ht="15">
      <c r="B9" t="s">
        <v>21</v>
      </c>
      <c r="C9" s="9">
        <v>0.1</v>
      </c>
      <c r="F9" s="17">
        <f t="shared" si="0"/>
        <v>24</v>
      </c>
      <c r="G9" s="74">
        <f>1-'Critical Illnesses'!F7</f>
        <v>4.5994400252791223E-4</v>
      </c>
      <c r="H9" s="74">
        <f>1-'Critical Illnesses'!N7</f>
        <v>4.2996470077294457E-4</v>
      </c>
      <c r="I9" s="50"/>
      <c r="J9" s="17">
        <f t="shared" si="1"/>
        <v>24</v>
      </c>
      <c r="K9" s="74">
        <f>'Critical Illnesses'!G7</f>
        <v>6.9999999999999999E-4</v>
      </c>
      <c r="L9" s="212">
        <f>'Critical Illnesses'!O7</f>
        <v>2.2999999999999998E-4</v>
      </c>
      <c r="M9" s="50"/>
      <c r="N9" s="50"/>
    </row>
    <row r="10" spans="1:14" ht="15">
      <c r="B10" t="s">
        <v>22</v>
      </c>
      <c r="C10" s="9">
        <v>2.5000000000000001E-2</v>
      </c>
      <c r="F10" s="17">
        <f t="shared" si="0"/>
        <v>25</v>
      </c>
      <c r="G10" s="74">
        <f>1-'Critical Illnesses'!F8</f>
        <v>4.7994080268809469E-4</v>
      </c>
      <c r="H10" s="74">
        <f>1-'Critical Illnesses'!N8</f>
        <v>4.7995970088798856E-4</v>
      </c>
      <c r="I10" s="50"/>
      <c r="J10" s="17">
        <f t="shared" si="1"/>
        <v>25</v>
      </c>
      <c r="K10" s="74">
        <f>'Critical Illnesses'!G8</f>
        <v>6.9000000000000008E-4</v>
      </c>
      <c r="L10" s="212">
        <f>'Critical Illnesses'!O8</f>
        <v>2.3999999999999998E-4</v>
      </c>
      <c r="M10" s="50"/>
      <c r="N10" s="50"/>
    </row>
    <row r="11" spans="1:14" ht="15">
      <c r="B11" t="s">
        <v>23</v>
      </c>
      <c r="C11" s="9">
        <v>7.0000000000000007E-2</v>
      </c>
      <c r="F11" s="17">
        <f t="shared" si="0"/>
        <v>26</v>
      </c>
      <c r="G11" s="74">
        <f>1-'Critical Illnesses'!F9</f>
        <v>5.1992870361405874E-4</v>
      </c>
      <c r="H11" s="74">
        <f>1-'Critical Illnesses'!N9</f>
        <v>5.2995120110788108E-4</v>
      </c>
      <c r="I11" s="50"/>
      <c r="J11" s="17">
        <f t="shared" si="1"/>
        <v>26</v>
      </c>
      <c r="K11" s="74">
        <f>'Critical Illnesses'!G9</f>
        <v>6.9999999999999999E-4</v>
      </c>
      <c r="L11" s="212">
        <f>'Critical Illnesses'!O9</f>
        <v>2.3999999999999998E-4</v>
      </c>
      <c r="M11" s="50"/>
      <c r="N11" s="50"/>
    </row>
    <row r="12" spans="1:14" ht="15">
      <c r="A12" t="s">
        <v>32</v>
      </c>
      <c r="F12" s="17">
        <f t="shared" si="0"/>
        <v>27</v>
      </c>
      <c r="G12" s="74">
        <f>1-'Critical Illnesses'!F10</f>
        <v>5.6991010546292298E-4</v>
      </c>
      <c r="H12" s="74">
        <f>1-'Critical Illnesses'!N10</f>
        <v>6.0993300225586911E-4</v>
      </c>
      <c r="I12" s="135"/>
      <c r="J12" s="17">
        <f t="shared" si="1"/>
        <v>27</v>
      </c>
      <c r="K12" s="74">
        <f>'Critical Illnesses'!G10</f>
        <v>7.2999999999999996E-4</v>
      </c>
      <c r="L12" s="212">
        <f>'Critical Illnesses'!O10</f>
        <v>2.5000000000000001E-4</v>
      </c>
      <c r="M12" s="135"/>
      <c r="N12" s="135"/>
    </row>
    <row r="13" spans="1:14" ht="15">
      <c r="B13" t="s">
        <v>34</v>
      </c>
      <c r="C13" s="32">
        <v>0</v>
      </c>
      <c r="F13" s="17">
        <f t="shared" si="0"/>
        <v>28</v>
      </c>
      <c r="G13" s="74">
        <f>1-'Critical Illnesses'!F11</f>
        <v>6.098956068598671E-4</v>
      </c>
      <c r="H13" s="74">
        <f>1-'Critical Illnesses'!N11</f>
        <v>6.6992070275706528E-4</v>
      </c>
      <c r="I13" s="50"/>
      <c r="J13" s="17">
        <f t="shared" si="1"/>
        <v>28</v>
      </c>
      <c r="K13" s="74">
        <f>'Critical Illnesses'!G11</f>
        <v>7.5999999999999993E-4</v>
      </c>
      <c r="L13" s="212">
        <f>'Critical Illnesses'!O11</f>
        <v>2.6000000000000003E-4</v>
      </c>
      <c r="M13" s="50"/>
      <c r="N13" s="50"/>
    </row>
    <row r="14" spans="1:14" ht="15">
      <c r="B14" t="s">
        <v>30</v>
      </c>
      <c r="C14" s="32">
        <v>0</v>
      </c>
      <c r="F14" s="17">
        <f t="shared" si="0"/>
        <v>29</v>
      </c>
      <c r="G14" s="74">
        <f>1-'Critical Illnesses'!F12</f>
        <v>6.5987450914983814E-4</v>
      </c>
      <c r="H14" s="74">
        <f>1-'Critical Illnesses'!N12</f>
        <v>7.3991090311398278E-4</v>
      </c>
      <c r="I14" s="50"/>
      <c r="J14" s="17">
        <f t="shared" si="1"/>
        <v>29</v>
      </c>
      <c r="K14" s="74">
        <f>'Critical Illnesses'!G12</f>
        <v>7.9000000000000001E-4</v>
      </c>
      <c r="L14" s="212">
        <f>'Critical Illnesses'!O12</f>
        <v>2.7E-4</v>
      </c>
      <c r="M14" s="50"/>
      <c r="N14" s="50"/>
    </row>
    <row r="15" spans="1:14" ht="15">
      <c r="A15" t="s">
        <v>55</v>
      </c>
      <c r="F15" s="17">
        <f t="shared" si="0"/>
        <v>30</v>
      </c>
      <c r="G15" s="74">
        <f>1-'Critical Illnesses'!F13</f>
        <v>6.9985771103375782E-4</v>
      </c>
      <c r="H15" s="74">
        <f>1-'Critical Illnesses'!N13</f>
        <v>8.2988590471289037E-4</v>
      </c>
      <c r="I15" s="50"/>
      <c r="J15" s="17">
        <f t="shared" si="1"/>
        <v>30</v>
      </c>
      <c r="K15" s="74">
        <f>'Critical Illnesses'!G13</f>
        <v>8.1999999999999998E-4</v>
      </c>
      <c r="L15" s="212">
        <f>'Critical Illnesses'!O13</f>
        <v>2.7999999999999998E-4</v>
      </c>
      <c r="M15" s="50"/>
      <c r="N15" s="50"/>
    </row>
    <row r="16" spans="1:14" ht="15">
      <c r="B16" t="s">
        <v>30</v>
      </c>
      <c r="C16" s="10">
        <v>0.08</v>
      </c>
      <c r="F16" s="17">
        <f t="shared" si="0"/>
        <v>31</v>
      </c>
      <c r="G16" s="74">
        <f>1-'Critical Illnesses'!F14</f>
        <v>7.5982771475957556E-4</v>
      </c>
      <c r="H16" s="74">
        <f>1-'Critical Illnesses'!N14</f>
        <v>9.1985790671789136E-4</v>
      </c>
      <c r="I16" s="50"/>
      <c r="J16" s="17">
        <f t="shared" si="1"/>
        <v>31</v>
      </c>
      <c r="K16" s="74">
        <f>'Critical Illnesses'!G14</f>
        <v>8.4999999999999995E-4</v>
      </c>
      <c r="L16" s="212">
        <f>'Critical Illnesses'!O14</f>
        <v>2.9999999999999997E-4</v>
      </c>
      <c r="M16" s="50"/>
      <c r="N16" s="50"/>
    </row>
    <row r="17" spans="1:14" ht="15">
      <c r="A17" s="115" t="s">
        <v>106</v>
      </c>
      <c r="B17" s="115" t="s">
        <v>110</v>
      </c>
      <c r="C17" s="139">
        <v>50</v>
      </c>
      <c r="F17" s="17">
        <f t="shared" si="0"/>
        <v>32</v>
      </c>
      <c r="G17" s="74">
        <f>1-'Critical Illnesses'!F15</f>
        <v>8.3978412114316114E-4</v>
      </c>
      <c r="H17" s="74">
        <f>1-'Critical Illnesses'!N15</f>
        <v>1.0198327081119007E-3</v>
      </c>
      <c r="I17" s="135"/>
      <c r="J17" s="17">
        <f t="shared" si="1"/>
        <v>32</v>
      </c>
      <c r="K17" s="74">
        <f>'Critical Illnesses'!G15</f>
        <v>8.699999999999999E-4</v>
      </c>
      <c r="L17" s="212">
        <f>'Critical Illnesses'!O15</f>
        <v>3.1E-4</v>
      </c>
      <c r="M17" s="135"/>
      <c r="N17" s="135"/>
    </row>
    <row r="18" spans="1:14" ht="15">
      <c r="A18" t="s">
        <v>24</v>
      </c>
      <c r="C18" s="10">
        <v>0.05</v>
      </c>
      <c r="F18" s="17">
        <f t="shared" ref="F18:F49" si="2">F17+1</f>
        <v>33</v>
      </c>
      <c r="G18" s="74">
        <f>1-'Critical Illnesses'!F16</f>
        <v>9.2973062913093152E-4</v>
      </c>
      <c r="H18" s="74">
        <f>1-'Critical Illnesses'!N16</f>
        <v>1.1297861127267383E-3</v>
      </c>
      <c r="I18" s="50"/>
      <c r="J18" s="17">
        <f t="shared" ref="J18:J55" si="3">J17+1</f>
        <v>33</v>
      </c>
      <c r="K18" s="74">
        <f>'Critical Illnesses'!G16</f>
        <v>8.9000000000000006E-4</v>
      </c>
      <c r="L18" s="212">
        <f>'Critical Illnesses'!O16</f>
        <v>3.2000000000000003E-4</v>
      </c>
      <c r="M18" s="50"/>
      <c r="N18" s="50"/>
    </row>
    <row r="19" spans="1:14" ht="15">
      <c r="F19" s="17">
        <f t="shared" si="2"/>
        <v>34</v>
      </c>
      <c r="G19" s="74">
        <f>1-'Critical Illnesses'!F17</f>
        <v>1.0196725384525873E-3</v>
      </c>
      <c r="H19" s="74">
        <f>1-'Critical Illnesses'!N17</f>
        <v>1.2497412168996913E-3</v>
      </c>
      <c r="I19" s="50"/>
      <c r="J19" s="17">
        <f t="shared" si="3"/>
        <v>34</v>
      </c>
      <c r="K19" s="74">
        <f>'Critical Illnesses'!G17</f>
        <v>9.1999999999999992E-4</v>
      </c>
      <c r="L19" s="212">
        <f>'Critical Illnesses'!O17</f>
        <v>3.3E-4</v>
      </c>
      <c r="M19" s="50"/>
      <c r="N19" s="50"/>
    </row>
    <row r="20" spans="1:14" ht="15">
      <c r="A20" s="102" t="s">
        <v>44</v>
      </c>
      <c r="B20" s="103"/>
      <c r="C20" s="101" t="s">
        <v>0</v>
      </c>
      <c r="D20" s="100"/>
      <c r="F20" s="17">
        <f t="shared" si="2"/>
        <v>35</v>
      </c>
      <c r="G20" s="74">
        <f>1-'Critical Illnesses'!F18</f>
        <v>1.1395867538538385E-3</v>
      </c>
      <c r="H20" s="74">
        <f>1-'Critical Illnesses'!N18</f>
        <v>1.3696818237994846E-3</v>
      </c>
      <c r="I20" s="50"/>
      <c r="J20" s="17">
        <f t="shared" si="3"/>
        <v>35</v>
      </c>
      <c r="K20" s="74">
        <f>'Critical Illnesses'!G18</f>
        <v>9.4000000000000008E-4</v>
      </c>
      <c r="L20" s="212">
        <f>'Critical Illnesses'!O18</f>
        <v>3.5E-4</v>
      </c>
      <c r="M20" s="50"/>
      <c r="N20" s="50"/>
    </row>
    <row r="21" spans="1:14" ht="15">
      <c r="A21" s="15" t="s">
        <v>8</v>
      </c>
      <c r="B21" s="12" t="s">
        <v>9</v>
      </c>
      <c r="C21" s="15" t="s">
        <v>6</v>
      </c>
      <c r="D21" s="11" t="s">
        <v>19</v>
      </c>
      <c r="F21" s="17">
        <f t="shared" si="2"/>
        <v>36</v>
      </c>
      <c r="G21" s="74">
        <f>1-'Critical Illnesses'!F19</f>
        <v>1.2694858726091107E-3</v>
      </c>
      <c r="H21" s="74">
        <f>1-'Critical Illnesses'!N19</f>
        <v>1.4996247300994581E-3</v>
      </c>
      <c r="I21" s="50"/>
      <c r="J21" s="17">
        <f t="shared" si="3"/>
        <v>36</v>
      </c>
      <c r="K21" s="74">
        <f>'Critical Illnesses'!G19</f>
        <v>9.8999999999999999E-4</v>
      </c>
      <c r="L21" s="212">
        <f>'Critical Illnesses'!O19</f>
        <v>3.6000000000000002E-4</v>
      </c>
      <c r="M21" s="50"/>
      <c r="N21" s="50"/>
    </row>
    <row r="22" spans="1:14" ht="15">
      <c r="A22" s="16">
        <v>1</v>
      </c>
      <c r="B22" s="80">
        <v>0.13300000000000001</v>
      </c>
      <c r="C22" s="15">
        <v>1</v>
      </c>
      <c r="D22" s="81">
        <v>0.05</v>
      </c>
      <c r="F22" s="17">
        <f t="shared" si="2"/>
        <v>37</v>
      </c>
      <c r="G22" s="74">
        <f>1-'Critical Illnesses'!F20</f>
        <v>1.4393336072573426E-3</v>
      </c>
      <c r="H22" s="74">
        <f>1-'Critical Illnesses'!N20</f>
        <v>1.6495330422390264E-3</v>
      </c>
      <c r="I22" s="135"/>
      <c r="J22" s="17">
        <f t="shared" si="3"/>
        <v>37</v>
      </c>
      <c r="K22" s="74">
        <f>'Critical Illnesses'!G20</f>
        <v>1.0400000000000001E-3</v>
      </c>
      <c r="L22" s="212">
        <f>'Critical Illnesses'!O20</f>
        <v>3.6999999999999999E-4</v>
      </c>
      <c r="M22" s="135"/>
      <c r="N22" s="135"/>
    </row>
    <row r="23" spans="1:14" ht="15">
      <c r="A23" s="48">
        <v>2</v>
      </c>
      <c r="B23" s="80">
        <v>0.13300000000000001</v>
      </c>
      <c r="C23" s="16">
        <v>2</v>
      </c>
      <c r="D23" s="81">
        <v>0.05</v>
      </c>
      <c r="F23" s="17">
        <f t="shared" si="2"/>
        <v>38</v>
      </c>
      <c r="G23" s="74">
        <f>1-'Critical Illnesses'!F21</f>
        <v>1.6191588481331287E-3</v>
      </c>
      <c r="H23" s="74">
        <f>1-'Critical Illnesses'!N21</f>
        <v>1.8094274583744241E-3</v>
      </c>
      <c r="I23" s="50"/>
      <c r="J23" s="17">
        <f t="shared" si="3"/>
        <v>38</v>
      </c>
      <c r="K23" s="74">
        <f>'Critical Illnesses'!G21</f>
        <v>1.09E-3</v>
      </c>
      <c r="L23" s="212">
        <f>'Critical Illnesses'!O21</f>
        <v>3.8999999999999999E-4</v>
      </c>
      <c r="M23" s="50"/>
      <c r="N23" s="50"/>
    </row>
    <row r="24" spans="1:14" ht="15">
      <c r="A24" s="48">
        <v>3</v>
      </c>
      <c r="B24" s="80">
        <v>0.13300000000000001</v>
      </c>
      <c r="C24" s="16">
        <v>3</v>
      </c>
      <c r="D24" s="81">
        <v>0.05</v>
      </c>
      <c r="F24" s="17">
        <f t="shared" si="2"/>
        <v>39</v>
      </c>
      <c r="G24" s="74">
        <f>1-'Critical Illnesses'!F22</f>
        <v>1.828934704551366E-3</v>
      </c>
      <c r="H24" s="74">
        <f>1-'Critical Illnesses'!N22</f>
        <v>1.9892885834744689E-3</v>
      </c>
      <c r="I24" s="50"/>
      <c r="J24" s="17">
        <f t="shared" si="3"/>
        <v>39</v>
      </c>
      <c r="K24" s="74">
        <f>'Critical Illnesses'!G22</f>
        <v>1.15E-3</v>
      </c>
      <c r="L24" s="212">
        <f>'Critical Illnesses'!O22</f>
        <v>4.0000000000000002E-4</v>
      </c>
      <c r="M24" s="50"/>
      <c r="N24" s="50"/>
    </row>
    <row r="25" spans="1:14" ht="15">
      <c r="A25" s="48">
        <v>4</v>
      </c>
      <c r="B25" s="80">
        <v>6.7000000000000004E-2</v>
      </c>
      <c r="C25" s="16">
        <v>4</v>
      </c>
      <c r="D25" s="81">
        <v>0.05</v>
      </c>
      <c r="F25" s="17">
        <f t="shared" si="2"/>
        <v>40</v>
      </c>
      <c r="G25" s="74">
        <f>1-'Critical Illnesses'!F23</f>
        <v>2.088621992956563E-3</v>
      </c>
      <c r="H25" s="74">
        <f>1-'Critical Illnesses'!N23</f>
        <v>2.1891270134654084E-3</v>
      </c>
      <c r="I25" s="50"/>
      <c r="J25" s="17">
        <f t="shared" si="3"/>
        <v>40</v>
      </c>
      <c r="K25" s="74">
        <f>'Critical Illnesses'!G23</f>
        <v>1.2099999999999999E-3</v>
      </c>
      <c r="L25" s="212">
        <f>'Critical Illnesses'!O23</f>
        <v>4.2000000000000002E-4</v>
      </c>
      <c r="M25" s="50"/>
      <c r="N25" s="50"/>
    </row>
    <row r="26" spans="1:14" ht="15">
      <c r="A26" s="48">
        <v>5</v>
      </c>
      <c r="B26" s="80">
        <v>6.7000000000000004E-2</v>
      </c>
      <c r="C26" s="16">
        <v>5</v>
      </c>
      <c r="D26" s="81">
        <v>0.05</v>
      </c>
      <c r="F26" s="17">
        <f t="shared" si="2"/>
        <v>41</v>
      </c>
      <c r="G26" s="74">
        <f>1-'Critical Illnesses'!F24</f>
        <v>2.3782329132249203E-3</v>
      </c>
      <c r="H26" s="74">
        <f>1-'Critical Illnesses'!N24</f>
        <v>2.4189006614683262E-3</v>
      </c>
      <c r="I26" s="50"/>
      <c r="J26" s="17">
        <f t="shared" si="3"/>
        <v>41</v>
      </c>
      <c r="K26" s="74">
        <f>'Critical Illnesses'!G24</f>
        <v>1.2800000000000001E-3</v>
      </c>
      <c r="L26" s="212">
        <f>'Critical Illnesses'!O24</f>
        <v>4.4999999999999999E-4</v>
      </c>
      <c r="M26" s="50"/>
      <c r="N26" s="50"/>
    </row>
    <row r="27" spans="1:14" ht="15">
      <c r="A27" s="48">
        <v>6</v>
      </c>
      <c r="B27" s="80">
        <v>6.7000000000000004E-2</v>
      </c>
      <c r="C27" s="16">
        <v>6</v>
      </c>
      <c r="D27" s="81">
        <v>0.05</v>
      </c>
      <c r="F27" s="17">
        <f t="shared" si="2"/>
        <v>42</v>
      </c>
      <c r="G27" s="74">
        <f>1-'Critical Illnesses'!F25</f>
        <v>2.7177113004273057E-3</v>
      </c>
      <c r="H27" s="74">
        <f>1-'Critical Illnesses'!N25</f>
        <v>2.668655117189167E-3</v>
      </c>
      <c r="I27" s="135"/>
      <c r="J27" s="17">
        <f t="shared" si="3"/>
        <v>42</v>
      </c>
      <c r="K27" s="74">
        <f>'Critical Illnesses'!G25</f>
        <v>1.3500000000000001E-3</v>
      </c>
      <c r="L27" s="212">
        <f>'Critical Illnesses'!O25</f>
        <v>4.8999999999999998E-4</v>
      </c>
      <c r="M27" s="135"/>
      <c r="N27" s="135"/>
    </row>
    <row r="28" spans="1:14" ht="15">
      <c r="A28" s="48">
        <v>7</v>
      </c>
      <c r="B28" s="80">
        <v>6.7000000000000004E-2</v>
      </c>
      <c r="C28" s="16">
        <v>7</v>
      </c>
      <c r="D28" s="81">
        <v>0.05</v>
      </c>
      <c r="F28" s="17">
        <f t="shared" si="2"/>
        <v>43</v>
      </c>
      <c r="G28" s="74">
        <f>1-'Critical Illnesses'!F26</f>
        <v>3.0870769459284686E-3</v>
      </c>
      <c r="H28" s="74">
        <f>1-'Critical Illnesses'!N26</f>
        <v>2.9383522933111861E-3</v>
      </c>
      <c r="I28" s="50"/>
      <c r="J28" s="17">
        <f t="shared" si="3"/>
        <v>43</v>
      </c>
      <c r="K28" s="74">
        <f>'Critical Illnesses'!G26</f>
        <v>1.4400000000000001E-3</v>
      </c>
      <c r="L28" s="212">
        <f>'Critical Illnesses'!O26</f>
        <v>5.2000000000000006E-4</v>
      </c>
      <c r="M28" s="50"/>
      <c r="N28" s="50"/>
    </row>
    <row r="29" spans="1:14" ht="15">
      <c r="A29" s="48">
        <v>8</v>
      </c>
      <c r="B29" s="80">
        <v>6.7000000000000004E-2</v>
      </c>
      <c r="C29" s="16">
        <v>8</v>
      </c>
      <c r="D29" s="81">
        <v>0.05</v>
      </c>
      <c r="F29" s="17">
        <f t="shared" si="2"/>
        <v>44</v>
      </c>
      <c r="G29" s="74">
        <f>1-'Critical Illnesses'!F27</f>
        <v>3.4863108702031242E-3</v>
      </c>
      <c r="H29" s="74">
        <f>1-'Critical Illnesses'!N27</f>
        <v>3.2379968896850686E-3</v>
      </c>
      <c r="I29" s="50"/>
      <c r="J29" s="17">
        <f t="shared" si="3"/>
        <v>44</v>
      </c>
      <c r="K29" s="74">
        <f>'Critical Illnesses'!G27</f>
        <v>1.5199999999999999E-3</v>
      </c>
      <c r="L29" s="212">
        <f>'Critical Illnesses'!O27</f>
        <v>5.5000000000000003E-4</v>
      </c>
      <c r="M29" s="50"/>
      <c r="N29" s="50"/>
    </row>
    <row r="30" spans="1:14" ht="15">
      <c r="A30" s="48">
        <v>9</v>
      </c>
      <c r="B30" s="80">
        <v>6.7000000000000004E-2</v>
      </c>
      <c r="C30" s="16">
        <v>9</v>
      </c>
      <c r="D30" s="81">
        <v>0.05</v>
      </c>
      <c r="F30" s="17">
        <f t="shared" si="2"/>
        <v>45</v>
      </c>
      <c r="G30" s="74">
        <f>1-'Critical Illnesses'!F28</f>
        <v>3.9253505383823883E-3</v>
      </c>
      <c r="H30" s="74">
        <f>1-'Critical Illnesses'!N28</f>
        <v>3.587515544847375E-3</v>
      </c>
      <c r="I30" s="50"/>
      <c r="J30" s="17">
        <f t="shared" si="3"/>
        <v>45</v>
      </c>
      <c r="K30" s="74">
        <f>'Critical Illnesses'!G28</f>
        <v>1.6300000000000002E-3</v>
      </c>
      <c r="L30" s="212">
        <f>'Critical Illnesses'!O28</f>
        <v>5.8E-4</v>
      </c>
      <c r="M30" s="50"/>
      <c r="N30" s="50"/>
    </row>
    <row r="31" spans="1:14" ht="15">
      <c r="A31" s="48">
        <v>10</v>
      </c>
      <c r="B31" s="80">
        <v>6.7000000000000004E-2</v>
      </c>
      <c r="C31" s="16">
        <v>10</v>
      </c>
      <c r="D31" s="81">
        <v>0.05</v>
      </c>
      <c r="F31" s="17">
        <f t="shared" si="2"/>
        <v>46</v>
      </c>
      <c r="G31" s="74">
        <f>1-'Critical Illnesses'!F29</f>
        <v>4.404160380717892E-3</v>
      </c>
      <c r="H31" s="74">
        <f>1-'Critical Illnesses'!N29</f>
        <v>3.9669851176267201E-3</v>
      </c>
      <c r="I31" s="50"/>
      <c r="J31" s="17">
        <f t="shared" si="3"/>
        <v>46</v>
      </c>
      <c r="K31" s="74">
        <f>'Critical Illnesses'!G29</f>
        <v>1.7699999999999999E-3</v>
      </c>
      <c r="L31" s="212">
        <f>'Critical Illnesses'!O29</f>
        <v>6.0999999999999997E-4</v>
      </c>
      <c r="M31" s="50"/>
      <c r="N31" s="50"/>
    </row>
    <row r="32" spans="1:14" ht="15">
      <c r="A32" s="48">
        <v>11</v>
      </c>
      <c r="B32" s="80">
        <v>6.7000000000000004E-2</v>
      </c>
      <c r="C32" s="16">
        <v>11</v>
      </c>
      <c r="D32" s="81">
        <v>0.05</v>
      </c>
      <c r="F32" s="17">
        <f t="shared" si="2"/>
        <v>47</v>
      </c>
      <c r="G32" s="74">
        <f>1-'Critical Illnesses'!F30</f>
        <v>4.8928227527899049E-3</v>
      </c>
      <c r="H32" s="74">
        <f>1-'Critical Illnesses'!N30</f>
        <v>4.3763452449796514E-3</v>
      </c>
      <c r="I32" s="135"/>
      <c r="J32" s="17">
        <f t="shared" si="3"/>
        <v>47</v>
      </c>
      <c r="K32" s="74">
        <f>'Critical Illnesses'!G30</f>
        <v>1.9100000000000002E-3</v>
      </c>
      <c r="L32" s="212">
        <f>'Critical Illnesses'!O30</f>
        <v>6.4000000000000005E-4</v>
      </c>
      <c r="M32" s="135"/>
      <c r="N32" s="135"/>
    </row>
    <row r="33" spans="1:14" ht="15">
      <c r="A33" s="48">
        <v>12</v>
      </c>
      <c r="B33" s="80">
        <v>6.7000000000000004E-2</v>
      </c>
      <c r="C33" s="16">
        <v>12</v>
      </c>
      <c r="D33" s="81">
        <v>0.05</v>
      </c>
      <c r="F33" s="17">
        <f t="shared" si="2"/>
        <v>48</v>
      </c>
      <c r="G33" s="74">
        <f>1-'Critical Illnesses'!F31</f>
        <v>5.4411074019473649E-3</v>
      </c>
      <c r="H33" s="74">
        <f>1-'Critical Illnesses'!N31</f>
        <v>4.8056214247331752E-3</v>
      </c>
      <c r="I33" s="50"/>
      <c r="J33" s="17">
        <f t="shared" si="3"/>
        <v>48</v>
      </c>
      <c r="K33" s="74">
        <f>'Critical Illnesses'!G31</f>
        <v>2.0500000000000002E-3</v>
      </c>
      <c r="L33" s="212">
        <f>'Critical Illnesses'!O31</f>
        <v>6.7000000000000002E-4</v>
      </c>
      <c r="M33" s="50"/>
      <c r="N33" s="50"/>
    </row>
    <row r="34" spans="1:14" ht="15">
      <c r="A34" s="49">
        <v>13</v>
      </c>
      <c r="B34" s="82">
        <v>0</v>
      </c>
      <c r="C34" s="16">
        <v>13</v>
      </c>
      <c r="D34" s="81">
        <v>0.05</v>
      </c>
      <c r="F34" s="17">
        <f t="shared" si="2"/>
        <v>49</v>
      </c>
      <c r="G34" s="74">
        <f>1-'Critical Illnesses'!F32</f>
        <v>6.019100751174844E-3</v>
      </c>
      <c r="H34" s="74">
        <f>1-'Critical Illnesses'!N32</f>
        <v>5.2548099574999396E-3</v>
      </c>
      <c r="I34" s="50"/>
      <c r="J34" s="17">
        <f t="shared" si="3"/>
        <v>49</v>
      </c>
      <c r="K34" s="74">
        <f>'Critical Illnesses'!G32</f>
        <v>2.16E-3</v>
      </c>
      <c r="L34" s="212">
        <f>'Critical Illnesses'!O32</f>
        <v>6.7999999999999994E-4</v>
      </c>
      <c r="M34" s="50"/>
      <c r="N34" s="50"/>
    </row>
    <row r="35" spans="1:14" ht="15">
      <c r="C35" s="16">
        <v>14</v>
      </c>
      <c r="D35" s="81">
        <v>0.05</v>
      </c>
      <c r="F35" s="17">
        <f t="shared" si="2"/>
        <v>50</v>
      </c>
      <c r="G35" s="74">
        <f>1-'Critical Illnesses'!F33</f>
        <v>6.646676293987297E-3</v>
      </c>
      <c r="H35" s="74">
        <f>1-'Critical Illnesses'!N33</f>
        <v>5.7238280042726242E-3</v>
      </c>
      <c r="I35" s="50"/>
      <c r="J35" s="17">
        <f t="shared" si="3"/>
        <v>50</v>
      </c>
      <c r="K35" s="74">
        <f>'Critical Illnesses'!G33</f>
        <v>2.2799999999999999E-3</v>
      </c>
      <c r="L35" s="212">
        <f>'Critical Illnesses'!O33</f>
        <v>6.9999999999999999E-4</v>
      </c>
      <c r="M35" s="50"/>
      <c r="N35" s="50"/>
    </row>
    <row r="36" spans="1:14" ht="15">
      <c r="C36" s="16">
        <v>15</v>
      </c>
      <c r="D36" s="81">
        <v>0.05</v>
      </c>
      <c r="F36" s="17">
        <f t="shared" si="2"/>
        <v>51</v>
      </c>
      <c r="G36" s="74">
        <f>1-'Critical Illnesses'!F34</f>
        <v>7.3237527332234986E-3</v>
      </c>
      <c r="H36" s="74">
        <f>1-'Critical Illnesses'!N34</f>
        <v>6.2226718074793741E-3</v>
      </c>
      <c r="I36" s="50"/>
      <c r="J36" s="17">
        <f t="shared" si="3"/>
        <v>51</v>
      </c>
      <c r="K36" s="74">
        <f>'Critical Illnesses'!G34</f>
        <v>2.3800000000000002E-3</v>
      </c>
      <c r="L36" s="212">
        <f>'Critical Illnesses'!O34</f>
        <v>7.2999999999999996E-4</v>
      </c>
      <c r="M36" s="50"/>
      <c r="N36" s="50"/>
    </row>
    <row r="37" spans="1:14" ht="15">
      <c r="C37" s="16">
        <v>16</v>
      </c>
      <c r="D37" s="81">
        <v>0.05</v>
      </c>
      <c r="F37" s="17">
        <f t="shared" si="2"/>
        <v>52</v>
      </c>
      <c r="G37" s="74">
        <f>1-'Critical Illnesses'!F35</f>
        <v>8.0503214531898459E-3</v>
      </c>
      <c r="H37" s="74">
        <f>1-'Critical Illnesses'!N35</f>
        <v>6.731363223771325E-3</v>
      </c>
      <c r="I37" s="135"/>
      <c r="J37" s="17">
        <f t="shared" si="3"/>
        <v>52</v>
      </c>
      <c r="K37" s="74">
        <f>'Critical Illnesses'!G35</f>
        <v>2.47E-3</v>
      </c>
      <c r="L37" s="212">
        <f>'Critical Illnesses'!O35</f>
        <v>7.3999999999999999E-4</v>
      </c>
      <c r="M37" s="135"/>
      <c r="N37" s="135"/>
    </row>
    <row r="38" spans="1:14" ht="15">
      <c r="C38" s="16">
        <v>17</v>
      </c>
      <c r="D38" s="81">
        <v>0.05</v>
      </c>
      <c r="F38" s="17">
        <f t="shared" si="2"/>
        <v>53</v>
      </c>
      <c r="G38" s="74">
        <f>1-'Critical Illnesses'!F36</f>
        <v>8.856126763518879E-3</v>
      </c>
      <c r="H38" s="74">
        <f>1-'Critical Illnesses'!N36</f>
        <v>7.2498847016789769E-3</v>
      </c>
      <c r="I38" s="50"/>
      <c r="J38" s="17">
        <f t="shared" si="3"/>
        <v>53</v>
      </c>
      <c r="K38" s="74">
        <f>'Critical Illnesses'!G36</f>
        <v>2.5999999999999999E-3</v>
      </c>
      <c r="L38" s="212">
        <f>'Critical Illnesses'!O36</f>
        <v>7.7999999999999999E-4</v>
      </c>
      <c r="M38" s="50"/>
      <c r="N38" s="50"/>
    </row>
    <row r="39" spans="1:14" ht="15">
      <c r="C39" s="16">
        <v>18</v>
      </c>
      <c r="D39" s="81">
        <v>0.05</v>
      </c>
      <c r="F39" s="17">
        <f t="shared" si="2"/>
        <v>54</v>
      </c>
      <c r="G39" s="74">
        <f>1-'Critical Illnesses'!F37</f>
        <v>9.7311370907321448E-3</v>
      </c>
      <c r="H39" s="74">
        <f>1-'Critical Illnesses'!N37</f>
        <v>7.7981374249338486E-3</v>
      </c>
      <c r="I39" s="50"/>
      <c r="J39" s="17">
        <f t="shared" si="3"/>
        <v>54</v>
      </c>
      <c r="K39" s="74">
        <f>'Critical Illnesses'!G37</f>
        <v>2.7300000000000002E-3</v>
      </c>
      <c r="L39" s="212">
        <f>'Critical Illnesses'!O37</f>
        <v>8.1999999999999998E-4</v>
      </c>
      <c r="M39" s="50"/>
      <c r="N39" s="50"/>
    </row>
    <row r="40" spans="1:14" ht="15">
      <c r="C40" s="16">
        <v>19</v>
      </c>
      <c r="D40" s="81">
        <v>0.05</v>
      </c>
      <c r="F40" s="17">
        <f t="shared" si="2"/>
        <v>55</v>
      </c>
      <c r="G40" s="74">
        <f>1-'Critical Illnesses'!F38</f>
        <v>1.070506213599054E-2</v>
      </c>
      <c r="H40" s="74">
        <f>1-'Critical Illnesses'!N38</f>
        <v>8.3660959373497157E-3</v>
      </c>
      <c r="I40" s="50"/>
      <c r="J40" s="17">
        <f t="shared" si="3"/>
        <v>55</v>
      </c>
      <c r="K40" s="74">
        <f>'Critical Illnesses'!G38</f>
        <v>2.9199999999999999E-3</v>
      </c>
      <c r="L40" s="212">
        <f>'Critical Illnesses'!O38</f>
        <v>8.8000000000000003E-4</v>
      </c>
      <c r="M40" s="50"/>
      <c r="N40" s="50"/>
    </row>
    <row r="41" spans="1:14" ht="15">
      <c r="C41" s="47">
        <v>20</v>
      </c>
      <c r="D41" s="81">
        <v>0.05</v>
      </c>
      <c r="F41" s="17">
        <f t="shared" si="2"/>
        <v>56</v>
      </c>
      <c r="G41" s="74">
        <f>1-'Critical Illnesses'!F39</f>
        <v>1.1767799073768126E-2</v>
      </c>
      <c r="H41" s="74">
        <f>1-'Critical Illnesses'!N39</f>
        <v>8.9538105932356338E-3</v>
      </c>
      <c r="I41" s="50"/>
      <c r="J41" s="17">
        <f t="shared" si="3"/>
        <v>56</v>
      </c>
      <c r="K41" s="74">
        <f>'Critical Illnesses'!G39</f>
        <v>3.16E-3</v>
      </c>
      <c r="L41" s="212">
        <f>'Critical Illnesses'!O39</f>
        <v>9.4000000000000008E-4</v>
      </c>
      <c r="M41" s="50"/>
      <c r="N41" s="50"/>
    </row>
    <row r="42" spans="1:14" ht="15">
      <c r="F42" s="17">
        <f t="shared" si="2"/>
        <v>57</v>
      </c>
      <c r="G42" s="74">
        <f>1-'Critical Illnesses'!F40</f>
        <v>1.2939070559845556E-2</v>
      </c>
      <c r="H42" s="74">
        <f>1-'Critical Illnesses'!N40</f>
        <v>9.561132755235513E-3</v>
      </c>
      <c r="I42" s="135"/>
      <c r="J42" s="17">
        <f t="shared" si="3"/>
        <v>57</v>
      </c>
      <c r="K42" s="74">
        <f>'Critical Illnesses'!G40</f>
        <v>3.4399999999999999E-3</v>
      </c>
      <c r="L42" s="212">
        <f>'Critical Illnesses'!O40</f>
        <v>1.0199999999999999E-3</v>
      </c>
      <c r="M42" s="135"/>
      <c r="N42" s="135"/>
    </row>
    <row r="43" spans="1:14" ht="15">
      <c r="F43" s="17">
        <f t="shared" si="2"/>
        <v>58</v>
      </c>
      <c r="G43" s="74">
        <f>1-'Critical Illnesses'!F41</f>
        <v>1.4198760765714469E-2</v>
      </c>
      <c r="H43" s="74">
        <f>1-'Critical Illnesses'!N41</f>
        <v>1.0207906487297191E-2</v>
      </c>
      <c r="I43" s="50"/>
      <c r="J43" s="17">
        <f t="shared" si="3"/>
        <v>58</v>
      </c>
      <c r="K43" s="74">
        <f>'Critical Illnesses'!G41</f>
        <v>3.7600000000000003E-3</v>
      </c>
      <c r="L43" s="212">
        <f>'Critical Illnesses'!O41</f>
        <v>1.1199999999999999E-3</v>
      </c>
      <c r="M43" s="50"/>
      <c r="N43" s="50"/>
    </row>
    <row r="44" spans="1:14" ht="15">
      <c r="F44" s="17">
        <f t="shared" si="2"/>
        <v>59</v>
      </c>
      <c r="G44" s="74">
        <f>1-'Critical Illnesses'!F42</f>
        <v>1.5556658684519387E-2</v>
      </c>
      <c r="H44" s="74">
        <f>1-'Critical Illnesses'!N42</f>
        <v>1.0874248457218738E-2</v>
      </c>
      <c r="I44" s="50"/>
      <c r="J44" s="17">
        <f t="shared" si="3"/>
        <v>59</v>
      </c>
      <c r="K44" s="74">
        <f>'Critical Illnesses'!G42</f>
        <v>4.13E-3</v>
      </c>
      <c r="L44" s="212">
        <f>'Critical Illnesses'!O42</f>
        <v>1.25E-3</v>
      </c>
      <c r="M44" s="50"/>
      <c r="N44" s="50"/>
    </row>
    <row r="45" spans="1:14" ht="15">
      <c r="F45" s="17">
        <f t="shared" si="2"/>
        <v>60</v>
      </c>
      <c r="G45" s="74">
        <f>1-'Critical Illnesses'!F43</f>
        <v>1.7012479633452315E-2</v>
      </c>
      <c r="H45" s="74">
        <f>1-'Critical Illnesses'!N43</f>
        <v>1.1560090543215051E-2</v>
      </c>
      <c r="I45" s="50"/>
      <c r="J45" s="17">
        <f t="shared" si="3"/>
        <v>60</v>
      </c>
      <c r="K45" s="74">
        <f>'Critical Illnesses'!G43</f>
        <v>4.5100000000000001E-3</v>
      </c>
      <c r="L45" s="212">
        <f>'Critical Illnesses'!O43</f>
        <v>1.4E-3</v>
      </c>
      <c r="M45" s="50"/>
      <c r="N45" s="50"/>
    </row>
    <row r="46" spans="1:14" ht="15">
      <c r="F46" s="17">
        <f t="shared" si="2"/>
        <v>61</v>
      </c>
      <c r="G46" s="74">
        <f>1-'Critical Illnesses'!F44</f>
        <v>1.8556146212277302E-2</v>
      </c>
      <c r="H46" s="74">
        <f>1-'Critical Illnesses'!N44</f>
        <v>1.2265371839201067E-2</v>
      </c>
      <c r="I46" s="50"/>
      <c r="J46" s="17">
        <f t="shared" si="3"/>
        <v>61</v>
      </c>
      <c r="K46" s="74">
        <f>'Critical Illnesses'!G44</f>
        <v>4.9299999999999995E-3</v>
      </c>
      <c r="L46" s="212">
        <f>'Critical Illnesses'!O44</f>
        <v>1.6000000000000001E-3</v>
      </c>
      <c r="M46" s="50"/>
      <c r="N46" s="50"/>
    </row>
    <row r="47" spans="1:14" ht="15">
      <c r="F47" s="17">
        <f t="shared" si="2"/>
        <v>62</v>
      </c>
      <c r="G47" s="74">
        <f>1-'Critical Illnesses'!F45</f>
        <v>2.0167737910090522E-2</v>
      </c>
      <c r="H47" s="74">
        <f>1-'Critical Illnesses'!N45</f>
        <v>1.3019777764862739E-2</v>
      </c>
      <c r="I47" s="135"/>
      <c r="J47" s="17">
        <f t="shared" si="3"/>
        <v>62</v>
      </c>
      <c r="K47" s="74">
        <f>'Critical Illnesses'!G45</f>
        <v>5.4000000000000003E-3</v>
      </c>
      <c r="L47" s="212">
        <f>'Critical Illnesses'!O45</f>
        <v>1.83E-3</v>
      </c>
      <c r="M47" s="135"/>
      <c r="N47" s="135"/>
    </row>
    <row r="48" spans="1:14" ht="15">
      <c r="F48" s="17">
        <f t="shared" si="2"/>
        <v>63</v>
      </c>
      <c r="G48" s="74">
        <f>1-'Critical Illnesses'!F46</f>
        <v>2.1876414142525835E-2</v>
      </c>
      <c r="H48" s="74">
        <f>1-'Critical Illnesses'!N46</f>
        <v>1.3803492069428325E-2</v>
      </c>
      <c r="I48" s="50"/>
      <c r="J48" s="17">
        <f t="shared" si="3"/>
        <v>63</v>
      </c>
      <c r="K48" s="74">
        <f>'Critical Illnesses'!G46</f>
        <v>5.9299999999999995E-3</v>
      </c>
      <c r="L48" s="212">
        <f>'Critical Illnesses'!O46</f>
        <v>2.0999999999999999E-3</v>
      </c>
      <c r="M48" s="50"/>
      <c r="N48" s="50"/>
    </row>
    <row r="49" spans="6:14" ht="15">
      <c r="F49" s="17">
        <f t="shared" si="2"/>
        <v>64</v>
      </c>
      <c r="G49" s="74">
        <f>1-'Critical Illnesses'!F47</f>
        <v>2.3662385750014669E-2</v>
      </c>
      <c r="H49" s="74">
        <f>1-'Critical Illnesses'!N47</f>
        <v>1.4606568919845686E-2</v>
      </c>
      <c r="I49" s="50"/>
      <c r="J49" s="17">
        <f t="shared" si="3"/>
        <v>64</v>
      </c>
      <c r="K49" s="74">
        <f>'Critical Illnesses'!G47</f>
        <v>6.5200000000000006E-3</v>
      </c>
      <c r="L49" s="212">
        <f>'Critical Illnesses'!O47</f>
        <v>2.4100000000000002E-3</v>
      </c>
      <c r="M49" s="50"/>
      <c r="N49" s="50"/>
    </row>
    <row r="50" spans="6:14" ht="15">
      <c r="F50" s="17">
        <f t="shared" ref="F50:F55" si="4">F49+1</f>
        <v>65</v>
      </c>
      <c r="G50" s="74">
        <f>1-'Critical Illnesses'!F48</f>
        <v>2.5515400210129324E-2</v>
      </c>
      <c r="H50" s="74">
        <f>1-'Critical Illnesses'!N48</f>
        <v>1.5488320342978201E-2</v>
      </c>
      <c r="I50" s="50"/>
      <c r="J50" s="17">
        <f t="shared" si="3"/>
        <v>65</v>
      </c>
      <c r="K50" s="74">
        <f>'Critical Illnesses'!G48</f>
        <v>7.2199999999999999E-3</v>
      </c>
      <c r="L50" s="212">
        <f>'Critical Illnesses'!O48</f>
        <v>2.7499999999999998E-3</v>
      </c>
      <c r="M50" s="50"/>
      <c r="N50" s="50"/>
    </row>
    <row r="51" spans="6:14" ht="15">
      <c r="F51" s="17">
        <f t="shared" si="4"/>
        <v>66</v>
      </c>
      <c r="G51" s="74">
        <f>1-'Critical Illnesses'!F49</f>
        <v>2.7464587374571581E-2</v>
      </c>
      <c r="H51" s="74">
        <f>1-'Critical Illnesses'!N49</f>
        <v>1.6419048237318656E-2</v>
      </c>
      <c r="I51" s="50"/>
      <c r="J51" s="17">
        <f t="shared" si="3"/>
        <v>66</v>
      </c>
      <c r="K51" s="74">
        <f>'Critical Illnesses'!G49</f>
        <v>9.7299999999999991E-3</v>
      </c>
      <c r="L51" s="212">
        <f>'Critical Illnesses'!O49</f>
        <v>5.4399999999999995E-3</v>
      </c>
      <c r="M51" s="50"/>
      <c r="N51" s="50"/>
    </row>
    <row r="52" spans="6:14" ht="15">
      <c r="F52" s="17">
        <f t="shared" si="4"/>
        <v>67</v>
      </c>
      <c r="G52" s="74">
        <f>1-'Critical Illnesses'!F50</f>
        <v>2.9470657478431361E-2</v>
      </c>
      <c r="H52" s="74">
        <f>1-'Critical Illnesses'!N50</f>
        <v>1.7447983674566125E-2</v>
      </c>
      <c r="I52" s="135"/>
      <c r="J52" s="17">
        <f t="shared" si="3"/>
        <v>67</v>
      </c>
      <c r="K52" s="74">
        <f>'Critical Illnesses'!G50</f>
        <v>1.081E-2</v>
      </c>
      <c r="L52" s="212">
        <f>'Critical Illnesses'!O50</f>
        <v>6.0799999999999995E-3</v>
      </c>
      <c r="M52" s="135"/>
      <c r="N52" s="135"/>
    </row>
    <row r="53" spans="6:14" ht="15">
      <c r="F53" s="17">
        <f t="shared" si="4"/>
        <v>68</v>
      </c>
      <c r="G53" s="74">
        <f>1-'Critical Illnesses'!F51</f>
        <v>3.1591840592193332E-2</v>
      </c>
      <c r="H53" s="74">
        <f>1-'Critical Illnesses'!N51</f>
        <v>1.8535539146416813E-2</v>
      </c>
      <c r="I53" s="50"/>
      <c r="J53" s="17">
        <f t="shared" si="3"/>
        <v>68</v>
      </c>
      <c r="K53" s="74">
        <f>'Critical Illnesses'!G51</f>
        <v>1.206E-2</v>
      </c>
      <c r="L53" s="212">
        <f>'Critical Illnesses'!O51</f>
        <v>6.8300000000000001E-3</v>
      </c>
      <c r="M53" s="50"/>
      <c r="N53" s="50"/>
    </row>
    <row r="54" spans="6:14" ht="15">
      <c r="F54" s="17">
        <f t="shared" si="4"/>
        <v>69</v>
      </c>
      <c r="G54" s="74">
        <f>1-'Critical Illnesses'!F52</f>
        <v>3.3798492682186931E-2</v>
      </c>
      <c r="H54" s="74">
        <f>1-'Critical Illnesses'!N52</f>
        <v>1.9730945582942194E-2</v>
      </c>
      <c r="I54" s="50"/>
      <c r="J54" s="17">
        <f t="shared" si="3"/>
        <v>69</v>
      </c>
      <c r="K54" s="74">
        <f>'Critical Illnesses'!G52</f>
        <v>1.349E-2</v>
      </c>
      <c r="L54" s="212">
        <f>'Critical Illnesses'!O52</f>
        <v>7.7200000000000003E-3</v>
      </c>
      <c r="M54" s="50"/>
      <c r="N54" s="50"/>
    </row>
    <row r="55" spans="6:14" ht="15">
      <c r="F55" s="17">
        <f t="shared" si="4"/>
        <v>70</v>
      </c>
      <c r="G55" s="74">
        <f>1-'Critical Illnesses'!F53</f>
        <v>3.6138712572524767E-2</v>
      </c>
      <c r="H55" s="74">
        <f>1-'Critical Illnesses'!N53</f>
        <v>2.1043873406626279E-2</v>
      </c>
      <c r="I55" s="50"/>
      <c r="J55" s="17">
        <f t="shared" si="3"/>
        <v>70</v>
      </c>
      <c r="K55" s="74">
        <f>'Critical Illnesses'!G53</f>
        <v>1.5140000000000001E-2</v>
      </c>
      <c r="L55" s="212">
        <f>'Critical Illnesses'!O53</f>
        <v>8.8000000000000005E-3</v>
      </c>
      <c r="M55" s="50"/>
      <c r="N55" s="50"/>
    </row>
    <row r="56" spans="6:14" ht="15">
      <c r="F56" s="17"/>
      <c r="G56" s="74"/>
      <c r="H56" s="134"/>
      <c r="I56" s="50"/>
      <c r="J56" s="50"/>
    </row>
    <row r="57" spans="6:14" ht="15">
      <c r="F57" s="17"/>
      <c r="G57" s="74"/>
      <c r="H57" s="134"/>
      <c r="I57" s="135"/>
      <c r="J57" s="135"/>
    </row>
    <row r="58" spans="6:14" ht="15">
      <c r="F58" s="17"/>
      <c r="G58" s="74"/>
      <c r="H58" s="134"/>
      <c r="I58" s="50"/>
      <c r="J58" s="50"/>
    </row>
    <row r="59" spans="6:14" ht="15">
      <c r="F59" s="17"/>
      <c r="G59" s="74"/>
      <c r="H59" s="134"/>
      <c r="I59" s="50"/>
      <c r="J59" s="50"/>
    </row>
    <row r="60" spans="6:14" ht="15">
      <c r="F60" s="17"/>
      <c r="G60" s="74"/>
      <c r="H60" s="134"/>
      <c r="I60" s="50"/>
      <c r="J60" s="50"/>
    </row>
    <row r="61" spans="6:14" ht="15">
      <c r="F61" s="17"/>
      <c r="G61" s="74"/>
      <c r="H61" s="134"/>
      <c r="I61" s="50"/>
      <c r="J61" s="50"/>
    </row>
    <row r="62" spans="6:14" ht="15">
      <c r="F62" s="17"/>
      <c r="G62" s="74"/>
      <c r="H62" s="134"/>
      <c r="I62" s="135"/>
      <c r="J62" s="136"/>
    </row>
    <row r="63" spans="6:14" ht="15">
      <c r="F63" s="17"/>
      <c r="G63" s="74"/>
      <c r="H63" s="134"/>
      <c r="I63" s="50"/>
      <c r="J63" s="50"/>
    </row>
    <row r="64" spans="6:14" ht="15">
      <c r="F64" s="17"/>
      <c r="G64" s="74"/>
      <c r="H64" s="134"/>
      <c r="I64" s="50"/>
      <c r="J64" s="50"/>
    </row>
    <row r="65" spans="6:10" ht="15">
      <c r="F65" s="17"/>
      <c r="G65" s="74"/>
      <c r="H65" s="134"/>
      <c r="I65" s="50"/>
      <c r="J65" s="50"/>
    </row>
    <row r="66" spans="6:10" ht="15">
      <c r="F66" s="17"/>
      <c r="G66" s="74"/>
      <c r="H66" s="134"/>
      <c r="I66" s="50"/>
      <c r="J66" s="50"/>
    </row>
    <row r="67" spans="6:10" ht="15">
      <c r="F67" s="17"/>
      <c r="G67" s="74"/>
      <c r="H67" s="134"/>
      <c r="I67" s="137"/>
      <c r="J67" s="51"/>
    </row>
    <row r="68" spans="6:10" ht="15">
      <c r="F68" s="17"/>
      <c r="G68" s="74"/>
      <c r="H68" s="134"/>
      <c r="I68" s="50"/>
      <c r="J68" s="50"/>
    </row>
    <row r="69" spans="6:10" ht="15">
      <c r="F69" s="17"/>
      <c r="G69" s="74"/>
      <c r="H69" s="134"/>
      <c r="I69" s="50"/>
      <c r="J69" s="50"/>
    </row>
    <row r="70" spans="6:10" ht="15">
      <c r="F70" s="17"/>
      <c r="G70" s="74"/>
      <c r="H70" s="134"/>
      <c r="I70" s="50"/>
      <c r="J70" s="50"/>
    </row>
    <row r="71" spans="6:10" ht="15">
      <c r="F71" s="17"/>
      <c r="G71" s="74"/>
      <c r="H71" s="134"/>
      <c r="I71" s="50"/>
      <c r="J71" s="50"/>
    </row>
    <row r="72" spans="6:10" ht="15">
      <c r="F72" s="17"/>
      <c r="G72" s="74"/>
      <c r="H72" s="134"/>
      <c r="I72" s="137"/>
      <c r="J72" s="51"/>
    </row>
    <row r="73" spans="6:10" ht="15">
      <c r="F73" s="17"/>
      <c r="G73" s="74"/>
      <c r="H73" s="134"/>
      <c r="I73" s="50"/>
      <c r="J73" s="50"/>
    </row>
    <row r="74" spans="6:10" ht="15">
      <c r="F74" s="17"/>
      <c r="G74" s="74"/>
      <c r="H74" s="134"/>
      <c r="I74" s="50"/>
      <c r="J74" s="50"/>
    </row>
    <row r="75" spans="6:10" ht="15">
      <c r="F75" s="17"/>
      <c r="G75" s="74"/>
      <c r="H75" s="134"/>
      <c r="I75" s="50"/>
      <c r="J75" s="50"/>
    </row>
    <row r="76" spans="6:10" ht="15">
      <c r="F76" s="17"/>
      <c r="G76" s="74"/>
      <c r="H76" s="134"/>
      <c r="I76" s="50"/>
      <c r="J76" s="50"/>
    </row>
    <row r="77" spans="6:10" ht="15">
      <c r="F77" s="17"/>
      <c r="G77" s="74"/>
      <c r="H77" s="134"/>
      <c r="I77" s="138"/>
      <c r="J77" s="52"/>
    </row>
    <row r="78" spans="6:10" ht="15">
      <c r="F78" s="17"/>
      <c r="G78" s="74"/>
      <c r="H78" s="134"/>
      <c r="I78" s="50"/>
      <c r="J78" s="50"/>
    </row>
    <row r="79" spans="6:10" ht="15">
      <c r="F79" s="17"/>
      <c r="G79" s="74"/>
      <c r="H79" s="134"/>
      <c r="I79" s="50"/>
      <c r="J79" s="50"/>
    </row>
    <row r="80" spans="6:10" ht="15">
      <c r="F80" s="17"/>
      <c r="G80" s="74"/>
      <c r="H80" s="134"/>
      <c r="I80" s="50"/>
      <c r="J80" s="50"/>
    </row>
    <row r="81" spans="6:10" ht="15">
      <c r="F81" s="17"/>
      <c r="G81" s="74"/>
      <c r="H81" s="134"/>
      <c r="I81" s="50"/>
      <c r="J81" s="50"/>
    </row>
    <row r="82" spans="6:10" ht="15">
      <c r="F82" s="17"/>
      <c r="G82" s="74"/>
      <c r="H82" s="134"/>
      <c r="I82" s="138"/>
      <c r="J82" s="52"/>
    </row>
    <row r="83" spans="6:10" ht="15">
      <c r="F83" s="17"/>
      <c r="G83" s="74"/>
      <c r="H83" s="134"/>
      <c r="I83" s="50"/>
      <c r="J83" s="50"/>
    </row>
    <row r="84" spans="6:10" ht="15">
      <c r="F84" s="17"/>
      <c r="G84" s="74"/>
      <c r="H84" s="134"/>
      <c r="I84" s="50"/>
      <c r="J84" s="50"/>
    </row>
    <row r="85" spans="6:10" ht="15">
      <c r="F85" s="17"/>
      <c r="G85" s="74"/>
      <c r="H85" s="134"/>
      <c r="I85" s="50"/>
      <c r="J85" s="50"/>
    </row>
    <row r="86" spans="6:10" ht="15">
      <c r="F86" s="17"/>
      <c r="G86" s="74"/>
      <c r="H86" s="134"/>
      <c r="I86" s="50"/>
      <c r="J86" s="50"/>
    </row>
    <row r="87" spans="6:10" ht="15">
      <c r="F87" s="17"/>
      <c r="G87" s="74"/>
      <c r="H87" s="5"/>
      <c r="I87" s="53"/>
      <c r="J87" s="53"/>
    </row>
    <row r="88" spans="6:10" ht="15">
      <c r="F88" s="17"/>
      <c r="G88" s="74"/>
      <c r="H88" s="5"/>
      <c r="I88" s="53"/>
      <c r="J88" s="53"/>
    </row>
    <row r="89" spans="6:10" ht="15">
      <c r="F89" s="17"/>
      <c r="G89" s="74"/>
      <c r="H89" s="5"/>
      <c r="I89" s="53"/>
      <c r="J89" s="53"/>
    </row>
    <row r="90" spans="6:10" ht="15">
      <c r="F90" s="17"/>
      <c r="G90" s="74"/>
      <c r="H90" s="5"/>
      <c r="I90" s="53"/>
      <c r="J90" s="53"/>
    </row>
    <row r="91" spans="6:10" ht="15">
      <c r="F91" s="17"/>
      <c r="H91" s="5"/>
      <c r="I91" s="53"/>
      <c r="J91" s="53"/>
    </row>
    <row r="92" spans="6:10" ht="15">
      <c r="F92" s="17"/>
      <c r="H92" s="5"/>
      <c r="I92" s="53"/>
      <c r="J92" s="53"/>
    </row>
    <row r="93" spans="6:10" ht="15">
      <c r="F93" s="17"/>
      <c r="H93" s="5"/>
      <c r="I93" s="53"/>
      <c r="J93" s="53"/>
    </row>
    <row r="94" spans="6:10" ht="15">
      <c r="F94" s="17"/>
      <c r="I94" s="53"/>
      <c r="J94" s="53"/>
    </row>
    <row r="95" spans="6:10" ht="15">
      <c r="F95" s="17"/>
      <c r="I95" s="53"/>
      <c r="J95" s="53"/>
    </row>
    <row r="96" spans="6:10" ht="15">
      <c r="F96" s="17"/>
      <c r="I96" s="53"/>
      <c r="J96" s="53"/>
    </row>
    <row r="97" spans="6:10" ht="15">
      <c r="F97" s="17"/>
      <c r="I97" s="53"/>
      <c r="J97" s="53"/>
    </row>
    <row r="98" spans="6:10" ht="15">
      <c r="F98" s="17"/>
      <c r="I98" s="53"/>
      <c r="J98" s="53"/>
    </row>
    <row r="99" spans="6:10" ht="15">
      <c r="F99" s="17"/>
      <c r="I99" s="53"/>
      <c r="J99" s="53"/>
    </row>
    <row r="100" spans="6:10" ht="15">
      <c r="F100" s="17"/>
      <c r="I100" s="53"/>
      <c r="J100" s="53"/>
    </row>
    <row r="101" spans="6:10" ht="15">
      <c r="F101" s="17"/>
      <c r="I101" s="53"/>
      <c r="J101" s="53"/>
    </row>
    <row r="102" spans="6:10" ht="15">
      <c r="F102" s="17"/>
      <c r="I102" s="53"/>
      <c r="J102" s="53"/>
    </row>
    <row r="103" spans="6:10" ht="15">
      <c r="F103" s="17"/>
      <c r="I103" s="53"/>
      <c r="J103" s="53"/>
    </row>
    <row r="104" spans="6:10" ht="15">
      <c r="F104" s="17"/>
      <c r="I104" s="43"/>
      <c r="J104" s="43"/>
    </row>
    <row r="105" spans="6:10" ht="15">
      <c r="F105" s="17"/>
      <c r="I105" s="43"/>
      <c r="J105" s="43"/>
    </row>
  </sheetData>
  <phoneticPr fontId="6" type="noConversion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U651"/>
  <sheetViews>
    <sheetView topLeftCell="D1" workbookViewId="0">
      <selection activeCell="M6" sqref="M6"/>
    </sheetView>
  </sheetViews>
  <sheetFormatPr defaultColWidth="8.77734375" defaultRowHeight="13.2"/>
  <cols>
    <col min="1" max="1" width="9.77734375" customWidth="1"/>
    <col min="2" max="2" width="8.109375" customWidth="1"/>
    <col min="4" max="4" width="3.44140625" customWidth="1"/>
    <col min="6" max="6" width="15" bestFit="1" customWidth="1"/>
    <col min="11" max="11" width="3.44140625" customWidth="1"/>
    <col min="12" max="12" width="9.6640625" bestFit="1" customWidth="1"/>
    <col min="19" max="19" width="7.77734375" customWidth="1"/>
    <col min="20" max="20" width="10.109375" customWidth="1"/>
    <col min="22" max="22" width="12.109375" bestFit="1" customWidth="1"/>
    <col min="23" max="23" width="12.109375" customWidth="1"/>
    <col min="24" max="24" width="13" customWidth="1"/>
    <col min="25" max="25" width="6.109375" bestFit="1" customWidth="1"/>
    <col min="27" max="28" width="9.44140625" bestFit="1" customWidth="1"/>
    <col min="33" max="34" width="12.6640625" customWidth="1"/>
    <col min="35" max="35" width="12.44140625" customWidth="1"/>
  </cols>
  <sheetData>
    <row r="1" spans="1:229">
      <c r="A1" s="115" t="s">
        <v>7</v>
      </c>
      <c r="B1" s="1">
        <f>Inputs!B1</f>
        <v>45</v>
      </c>
      <c r="E1" s="27"/>
      <c r="F1" s="118"/>
      <c r="G1" s="28"/>
      <c r="P1" s="115" t="s">
        <v>99</v>
      </c>
      <c r="Q1">
        <f>(1+Inputs!B4)^(1/12)-1</f>
        <v>4.471698917043021E-3</v>
      </c>
      <c r="W1" s="6"/>
      <c r="X1" s="6"/>
      <c r="Y1" s="6"/>
      <c r="Z1" s="6"/>
      <c r="AA1" s="110"/>
      <c r="AB1" s="21"/>
      <c r="AC1" s="64"/>
      <c r="AD1" s="64"/>
      <c r="AE1" s="233" t="s">
        <v>61</v>
      </c>
      <c r="AF1" s="234"/>
      <c r="AG1" s="234"/>
      <c r="AH1" s="234"/>
      <c r="AI1" s="234"/>
      <c r="AJ1" s="234"/>
      <c r="AK1" s="234"/>
      <c r="AL1" s="234"/>
      <c r="AM1" s="234"/>
      <c r="AN1" s="235"/>
      <c r="AO1" s="59"/>
      <c r="AP1" s="61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</row>
    <row r="2" spans="1:229">
      <c r="A2" s="130" t="s">
        <v>67</v>
      </c>
      <c r="B2" s="131" t="str">
        <f>Inputs!B2</f>
        <v>M</v>
      </c>
      <c r="C2" s="33"/>
      <c r="D2" s="33"/>
      <c r="E2" s="33"/>
      <c r="F2" s="33"/>
      <c r="G2" s="33"/>
      <c r="O2" s="236"/>
      <c r="P2" s="237"/>
      <c r="Q2" s="236" t="s">
        <v>26</v>
      </c>
      <c r="R2" s="238"/>
      <c r="W2" s="6"/>
      <c r="X2" s="6"/>
      <c r="Y2" s="113"/>
      <c r="Z2" s="6"/>
      <c r="AA2" s="111"/>
      <c r="AB2" s="21"/>
      <c r="AC2" s="64"/>
      <c r="AD2" s="64"/>
      <c r="AE2" s="64"/>
      <c r="AF2" s="59"/>
      <c r="AG2" s="60"/>
      <c r="AH2" s="60"/>
      <c r="AI2" s="61"/>
      <c r="AJ2" s="239" t="s">
        <v>46</v>
      </c>
      <c r="AK2" s="234"/>
      <c r="AL2" s="235"/>
      <c r="AM2" s="65"/>
      <c r="AN2" s="65"/>
      <c r="AO2" s="63"/>
      <c r="AP2" s="65"/>
      <c r="BV2" s="6"/>
      <c r="BW2" s="6"/>
      <c r="BX2" s="6"/>
      <c r="BY2" s="6"/>
      <c r="BZ2" s="22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45"/>
      <c r="CW2" s="6"/>
      <c r="CX2" s="6"/>
      <c r="CY2" s="6"/>
      <c r="CZ2" s="6"/>
      <c r="DA2" s="19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19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</row>
    <row r="3" spans="1:229">
      <c r="A3" s="115" t="s">
        <v>109</v>
      </c>
      <c r="B3" s="132">
        <f>Inputs!B5</f>
        <v>30000</v>
      </c>
      <c r="C3" s="7"/>
      <c r="D3" s="33"/>
      <c r="E3" s="33"/>
      <c r="F3" s="33" t="s">
        <v>62</v>
      </c>
      <c r="G3" s="33"/>
      <c r="J3" s="1"/>
      <c r="L3" s="75" t="s">
        <v>31</v>
      </c>
      <c r="M3" s="30" t="s">
        <v>31</v>
      </c>
      <c r="N3" s="77" t="s">
        <v>69</v>
      </c>
      <c r="O3" s="244" t="s">
        <v>27</v>
      </c>
      <c r="P3" s="243"/>
      <c r="Q3" s="244" t="s">
        <v>28</v>
      </c>
      <c r="R3" s="243"/>
      <c r="W3" s="6"/>
      <c r="X3" s="6"/>
      <c r="Y3" s="113"/>
      <c r="Z3" s="6"/>
      <c r="AA3" s="112"/>
      <c r="AB3" s="21"/>
      <c r="AC3" s="240"/>
      <c r="AD3" s="241"/>
      <c r="AE3" s="64"/>
      <c r="AF3" s="242"/>
      <c r="AG3" s="243"/>
      <c r="AH3" s="62"/>
      <c r="AI3" s="65"/>
      <c r="AJ3" s="60" t="s">
        <v>47</v>
      </c>
      <c r="AK3" s="66" t="s">
        <v>45</v>
      </c>
      <c r="AL3" s="66"/>
      <c r="AM3" s="65"/>
      <c r="AN3" s="65" t="s">
        <v>12</v>
      </c>
      <c r="AO3" s="63"/>
      <c r="AP3" s="65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40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4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</row>
    <row r="4" spans="1:229">
      <c r="A4" s="115" t="s">
        <v>105</v>
      </c>
      <c r="B4" s="140">
        <v>500</v>
      </c>
      <c r="C4" s="54"/>
      <c r="D4" s="55"/>
      <c r="E4" s="55"/>
      <c r="F4" s="55"/>
      <c r="G4" s="55"/>
      <c r="J4" s="1"/>
      <c r="L4" s="76" t="s">
        <v>68</v>
      </c>
      <c r="M4" s="30" t="s">
        <v>15</v>
      </c>
      <c r="N4" s="77" t="s">
        <v>17</v>
      </c>
      <c r="O4" s="31"/>
      <c r="P4" s="31"/>
      <c r="Q4" s="31"/>
      <c r="R4" s="31"/>
      <c r="T4" s="118" t="s">
        <v>101</v>
      </c>
      <c r="U4" s="12"/>
      <c r="V4" t="s">
        <v>100</v>
      </c>
      <c r="W4" s="245" t="s">
        <v>102</v>
      </c>
      <c r="X4" s="246"/>
      <c r="Y4" s="247"/>
      <c r="Z4" s="248" t="s">
        <v>103</v>
      </c>
      <c r="AA4" s="249"/>
      <c r="AB4" s="111"/>
      <c r="AC4" s="64"/>
      <c r="AD4" s="64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40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40"/>
      <c r="CY4" s="22"/>
      <c r="CZ4" s="6"/>
      <c r="DA4" s="6"/>
      <c r="DB4" s="6"/>
      <c r="DC4" s="6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</row>
    <row r="5" spans="1:229">
      <c r="A5" s="4" t="s">
        <v>36</v>
      </c>
      <c r="B5" s="34" t="s">
        <v>37</v>
      </c>
      <c r="C5" s="7"/>
      <c r="D5" s="7"/>
      <c r="E5" s="7"/>
      <c r="F5" s="162">
        <f>B4*SUMPRODUCT(O6:O17,Q6:Q17)</f>
        <v>5684.7989863728017</v>
      </c>
      <c r="G5" s="7" t="s">
        <v>35</v>
      </c>
      <c r="H5" s="29" t="s">
        <v>4</v>
      </c>
      <c r="I5" t="s">
        <v>2</v>
      </c>
      <c r="J5" t="s">
        <v>5</v>
      </c>
      <c r="L5" s="76" t="s">
        <v>19</v>
      </c>
      <c r="M5" s="77" t="s">
        <v>19</v>
      </c>
      <c r="N5" s="77" t="s">
        <v>19</v>
      </c>
      <c r="O5" s="114" t="s">
        <v>96</v>
      </c>
      <c r="P5" s="114" t="s">
        <v>97</v>
      </c>
      <c r="Q5" s="114" t="s">
        <v>96</v>
      </c>
      <c r="R5" s="114" t="s">
        <v>97</v>
      </c>
      <c r="S5" s="114" t="s">
        <v>98</v>
      </c>
      <c r="T5" s="116" t="s">
        <v>96</v>
      </c>
      <c r="U5" s="208" t="s">
        <v>97</v>
      </c>
      <c r="V5" t="s">
        <v>53</v>
      </c>
      <c r="W5" s="120" t="s">
        <v>107</v>
      </c>
      <c r="X5" s="121" t="s">
        <v>108</v>
      </c>
      <c r="Y5" s="122" t="s">
        <v>106</v>
      </c>
      <c r="Z5" s="119" t="s">
        <v>70</v>
      </c>
      <c r="AA5" s="13" t="s">
        <v>104</v>
      </c>
      <c r="AB5" s="111"/>
      <c r="AC5" s="145"/>
      <c r="AD5" s="145"/>
      <c r="AR5" s="70"/>
      <c r="BV5" s="6"/>
      <c r="BW5" s="6"/>
      <c r="BX5" s="6"/>
      <c r="BY5" s="6"/>
      <c r="BZ5" s="6"/>
      <c r="CA5" s="22"/>
      <c r="CB5" s="6"/>
      <c r="CC5" s="6"/>
      <c r="CD5" s="6"/>
      <c r="CE5" s="6"/>
      <c r="CF5" s="6"/>
      <c r="CG5" s="6"/>
      <c r="CH5" s="6"/>
      <c r="CI5" s="42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41"/>
      <c r="CV5" s="6"/>
      <c r="CW5" s="6"/>
      <c r="CX5" s="40"/>
      <c r="CY5" s="40"/>
      <c r="CZ5" s="40"/>
      <c r="DA5" s="40"/>
      <c r="DB5" s="6"/>
      <c r="DC5" s="6"/>
      <c r="DD5" s="6"/>
      <c r="DE5" s="6"/>
      <c r="DF5" s="6"/>
      <c r="DG5" s="6"/>
      <c r="DH5" s="42"/>
      <c r="DI5" s="42"/>
      <c r="DJ5" s="42"/>
      <c r="DK5" s="42"/>
      <c r="DL5" s="42"/>
      <c r="DM5" s="42"/>
      <c r="DN5" s="42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</row>
    <row r="6" spans="1:229">
      <c r="A6" s="35" t="s">
        <v>38</v>
      </c>
      <c r="B6" s="36" t="s">
        <v>39</v>
      </c>
      <c r="C6" s="7"/>
      <c r="D6" s="7"/>
      <c r="E6" s="35" t="s">
        <v>38</v>
      </c>
      <c r="F6" s="164">
        <f>SUMPRODUCT(R6:R17,Z6:Z17)</f>
        <v>111277.78308991966</v>
      </c>
      <c r="G6" s="7"/>
      <c r="H6" s="211">
        <f>F17</f>
        <v>32.305320533764757</v>
      </c>
      <c r="I6">
        <v>1</v>
      </c>
      <c r="J6">
        <v>1</v>
      </c>
      <c r="L6" s="123">
        <f>1-(1-VLOOKUP(Inputs!B$1+I6-1,Inputs!$F$5:$H$105,IF(B$2="M",2,3),0))^(1/12)</f>
        <v>3.2770253940961336E-4</v>
      </c>
      <c r="M6" s="124">
        <f>1-(1-VLOOKUP(I6,Inputs!$C$22:$D$32,2,FALSE))^(VLOOKUP(J6,Inputs!$A$22:$B$33,2,1))</f>
        <v>6.7987910816060815E-3</v>
      </c>
      <c r="N6" s="123">
        <f>1-(1-VLOOKUP(Inputs!B$1+I6-1,Inputs!$J$5:$L$105,IF(B$2="M",2,3),0))^(1/12)</f>
        <v>1.3593491795749202E-4</v>
      </c>
      <c r="O6" s="126">
        <v>1</v>
      </c>
      <c r="P6" s="125">
        <f>1*(1-L6)*(1-M6)*(1-N6)</f>
        <v>0.99274076787859444</v>
      </c>
      <c r="Q6" s="125">
        <v>1</v>
      </c>
      <c r="R6" s="125">
        <f>Q6/(1+Q$1)</f>
        <v>0.99554820815572587</v>
      </c>
      <c r="S6" s="198">
        <v>1000</v>
      </c>
      <c r="T6" s="206">
        <f>S6</f>
        <v>1000</v>
      </c>
      <c r="U6" s="104">
        <f>P6*S$6</f>
        <v>992.7407678785944</v>
      </c>
      <c r="V6" s="207">
        <f>L6*T6</f>
        <v>0.32770253940961336</v>
      </c>
      <c r="W6" s="198"/>
      <c r="X6" s="198"/>
      <c r="Y6" s="91">
        <f>Inputs!C$17*V6</f>
        <v>16.38512697048067</v>
      </c>
      <c r="Z6" s="198">
        <f>B$3*V6</f>
        <v>9831.0761822884015</v>
      </c>
      <c r="AA6" s="143"/>
      <c r="AB6" s="146"/>
      <c r="AC6" s="87"/>
      <c r="AD6" s="87"/>
      <c r="AQ6" s="8"/>
      <c r="AR6" s="8"/>
      <c r="AS6" s="8"/>
      <c r="AT6" s="8"/>
      <c r="AU6" s="8"/>
      <c r="BV6" s="6"/>
      <c r="BW6" s="6"/>
      <c r="BX6" s="6"/>
      <c r="BY6" s="6"/>
      <c r="BZ6" s="6"/>
      <c r="CA6" s="22"/>
      <c r="CB6" s="6"/>
      <c r="CC6" s="6"/>
      <c r="CD6" s="6"/>
      <c r="CE6" s="6"/>
      <c r="CF6" s="6"/>
      <c r="CG6" s="6"/>
      <c r="CH6" s="6"/>
      <c r="CI6" s="42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41"/>
      <c r="CV6" s="43"/>
      <c r="CW6" s="43"/>
      <c r="CX6" s="6"/>
      <c r="CY6" s="19"/>
      <c r="CZ6" s="6"/>
      <c r="DA6" s="40"/>
      <c r="DB6" s="6"/>
      <c r="DC6" s="6"/>
      <c r="DD6" s="6"/>
      <c r="DE6" s="6"/>
      <c r="DF6" s="6"/>
      <c r="DG6" s="6"/>
      <c r="DH6" s="42"/>
      <c r="DI6" s="42"/>
      <c r="DJ6" s="42"/>
      <c r="DK6" s="42"/>
      <c r="DL6" s="42"/>
      <c r="DM6" s="42"/>
      <c r="DN6" s="42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</row>
    <row r="7" spans="1:229">
      <c r="B7" t="s">
        <v>59</v>
      </c>
      <c r="F7" s="165">
        <v>0</v>
      </c>
      <c r="I7">
        <v>1</v>
      </c>
      <c r="J7">
        <v>2</v>
      </c>
      <c r="L7" s="123">
        <f>1-(1-VLOOKUP(Inputs!B$1+I7-1,Inputs!$F$5:$H$105,IF(B$2="M",2,3),0))^(1/12)</f>
        <v>3.2770253940961336E-4</v>
      </c>
      <c r="M7" s="124">
        <f>1-(1-VLOOKUP(I7,Inputs!$C$22:$D$32,2,FALSE))^(VLOOKUP(J7,Inputs!$A$22:$B$33,2,1))</f>
        <v>6.7987910816060815E-3</v>
      </c>
      <c r="N7" s="123">
        <f>1-(1-VLOOKUP(Inputs!B$1+I7-1,Inputs!$J$5:$L$105,IF(B$2="M",2,3),0))^(1/12)</f>
        <v>1.3593491795749202E-4</v>
      </c>
      <c r="O7" s="106">
        <f>P6</f>
        <v>0.99274076787859444</v>
      </c>
      <c r="P7" s="125">
        <f>P6*(1-L7)*(1-M7)*(1-N7)</f>
        <v>0.98553423220818137</v>
      </c>
      <c r="Q7" s="105">
        <f>R6</f>
        <v>0.99554820815572587</v>
      </c>
      <c r="R7" s="125">
        <f t="shared" ref="R7:R17" si="0">Q7/(1+Q$1)</f>
        <v>0.99111623476207655</v>
      </c>
      <c r="S7" s="198"/>
      <c r="T7" s="200">
        <f>U6</f>
        <v>992.7407678785944</v>
      </c>
      <c r="U7" s="104">
        <f t="shared" ref="U7:U17" si="1">P7*S$6</f>
        <v>985.53423220818138</v>
      </c>
      <c r="V7" s="207">
        <f t="shared" ref="V7:V17" si="2">L7*T7</f>
        <v>0.32532367060926493</v>
      </c>
      <c r="W7" s="209"/>
      <c r="X7" s="209"/>
      <c r="Y7" s="91">
        <f>Inputs!C$17*V7</f>
        <v>16.266183530463245</v>
      </c>
      <c r="Z7" s="198">
        <f t="shared" ref="Z7:Z17" si="3">B$3*V7</f>
        <v>9759.7101182779479</v>
      </c>
      <c r="AA7" s="92"/>
      <c r="AB7" s="92"/>
      <c r="AC7" s="87"/>
      <c r="AD7" s="87"/>
      <c r="AQ7" s="8"/>
      <c r="AR7" s="8"/>
      <c r="AS7" s="8"/>
      <c r="AT7" s="8"/>
      <c r="AU7" s="8"/>
      <c r="BV7" s="6"/>
      <c r="BW7" s="6"/>
      <c r="BX7" s="6"/>
      <c r="BY7" s="6"/>
      <c r="BZ7" s="6"/>
      <c r="CA7" s="22"/>
      <c r="CB7" s="6"/>
      <c r="CC7" s="6"/>
      <c r="CD7" s="6"/>
      <c r="CE7" s="6"/>
      <c r="CF7" s="6"/>
      <c r="CG7" s="6"/>
      <c r="CH7" s="6"/>
      <c r="CI7" s="42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1"/>
      <c r="CV7" s="43"/>
      <c r="CW7" s="43"/>
      <c r="CX7" s="6"/>
      <c r="CY7" s="19"/>
      <c r="CZ7" s="6"/>
      <c r="DA7" s="40"/>
      <c r="DB7" s="6"/>
      <c r="DC7" s="6"/>
      <c r="DD7" s="6"/>
      <c r="DE7" s="6"/>
      <c r="DF7" s="6"/>
      <c r="DG7" s="6"/>
      <c r="DH7" s="42"/>
      <c r="DI7" s="42"/>
      <c r="DJ7" s="42"/>
      <c r="DK7" s="42"/>
      <c r="DL7" s="42"/>
      <c r="DM7" s="42"/>
      <c r="DN7" s="42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</row>
    <row r="8" spans="1:229">
      <c r="A8" s="35" t="s">
        <v>40</v>
      </c>
      <c r="B8" s="7" t="s">
        <v>56</v>
      </c>
      <c r="C8" s="7"/>
      <c r="D8" s="7"/>
      <c r="E8" s="35" t="s">
        <v>40</v>
      </c>
      <c r="F8" s="165">
        <f>F5*(Inputs!C16+Inputs!C10)</f>
        <v>596.9038935691442</v>
      </c>
      <c r="G8" s="7" t="s">
        <v>35</v>
      </c>
      <c r="I8">
        <v>1</v>
      </c>
      <c r="J8">
        <v>3</v>
      </c>
      <c r="L8" s="123">
        <f>1-(1-VLOOKUP(Inputs!B$1+I8-1,Inputs!$F$5:$H$105,IF(B$2="M",2,3),0))^(1/12)</f>
        <v>3.2770253940961336E-4</v>
      </c>
      <c r="M8" s="124">
        <f>1-(1-VLOOKUP(I8,Inputs!$C$22:$D$32,2,FALSE))^(VLOOKUP(J8,Inputs!$A$22:$B$33,2,1))</f>
        <v>6.7987910816060815E-3</v>
      </c>
      <c r="N8" s="123">
        <f>1-(1-VLOOKUP(Inputs!B$1+I8-1,Inputs!$J$5:$L$105,IF(B$2="M",2,3),0))^(1/12)</f>
        <v>1.3593491795749202E-4</v>
      </c>
      <c r="O8" s="106">
        <f t="shared" ref="O8:O17" si="4">P7</f>
        <v>0.98553423220818137</v>
      </c>
      <c r="P8" s="125">
        <f t="shared" ref="P8:P17" si="5">P7*(1-L8)*(1-M8)*(1-N8)</f>
        <v>0.97838001045299106</v>
      </c>
      <c r="Q8" s="105">
        <f t="shared" ref="Q8:Q17" si="6">R7</f>
        <v>0.99111623476207655</v>
      </c>
      <c r="R8" s="125">
        <f t="shared" si="0"/>
        <v>0.98670399159143507</v>
      </c>
      <c r="S8" s="198"/>
      <c r="T8" s="200">
        <f t="shared" ref="T8:T17" si="7">U7</f>
        <v>985.53423220818138</v>
      </c>
      <c r="U8" s="104">
        <f t="shared" si="1"/>
        <v>978.38001045299109</v>
      </c>
      <c r="V8" s="207">
        <f t="shared" si="2"/>
        <v>0.32296207056972459</v>
      </c>
      <c r="W8" s="209"/>
      <c r="X8" s="209"/>
      <c r="Y8" s="91">
        <f>Inputs!C$17*V8</f>
        <v>16.148103528486228</v>
      </c>
      <c r="Z8" s="198">
        <f t="shared" si="3"/>
        <v>9688.8621170917377</v>
      </c>
      <c r="AA8" s="92"/>
      <c r="AB8" s="92"/>
      <c r="AC8" s="87"/>
      <c r="AD8" s="87"/>
      <c r="AQ8" s="8"/>
      <c r="AR8" s="8"/>
      <c r="AS8" s="8"/>
      <c r="AT8" s="8"/>
      <c r="AU8" s="8"/>
      <c r="BV8" s="6"/>
      <c r="BW8" s="6"/>
      <c r="BX8" s="6"/>
      <c r="BY8" s="6"/>
      <c r="BZ8" s="6"/>
      <c r="CA8" s="22"/>
      <c r="CB8" s="6"/>
      <c r="CC8" s="6"/>
      <c r="CD8" s="6"/>
      <c r="CE8" s="6"/>
      <c r="CF8" s="6"/>
      <c r="CG8" s="6"/>
      <c r="CH8" s="6"/>
      <c r="CI8" s="42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41"/>
      <c r="CV8" s="43"/>
      <c r="CW8" s="43"/>
      <c r="CX8" s="6"/>
      <c r="CY8" s="19"/>
      <c r="CZ8" s="6"/>
      <c r="DA8" s="40"/>
      <c r="DB8" s="6"/>
      <c r="DC8" s="6"/>
      <c r="DD8" s="6"/>
      <c r="DE8" s="6"/>
      <c r="DF8" s="6"/>
      <c r="DG8" s="6"/>
      <c r="DH8" s="42"/>
      <c r="DI8" s="42"/>
      <c r="DJ8" s="42"/>
      <c r="DK8" s="42"/>
      <c r="DL8" s="42"/>
      <c r="DM8" s="42"/>
      <c r="DN8" s="42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</row>
    <row r="9" spans="1:229">
      <c r="A9" s="35" t="s">
        <v>40</v>
      </c>
      <c r="B9" s="7" t="s">
        <v>57</v>
      </c>
      <c r="C9" s="7"/>
      <c r="D9" s="7"/>
      <c r="E9" s="35" t="s">
        <v>40</v>
      </c>
      <c r="F9" s="165">
        <f>F5*Inputs!C8</f>
        <v>568.47989863728014</v>
      </c>
      <c r="G9" s="7" t="s">
        <v>35</v>
      </c>
      <c r="I9">
        <v>1</v>
      </c>
      <c r="J9">
        <v>4</v>
      </c>
      <c r="L9" s="123">
        <f>1-(1-VLOOKUP(Inputs!B$1+I9-1,Inputs!$F$5:$H$105,IF(B$2="M",2,3),0))^(1/12)</f>
        <v>3.2770253940961336E-4</v>
      </c>
      <c r="M9" s="124">
        <f>1-(1-VLOOKUP(I9,Inputs!$C$22:$D$32,2,FALSE))^(VLOOKUP(J9,Inputs!$A$22:$B$33,2,1))</f>
        <v>3.4307521988581335E-3</v>
      </c>
      <c r="N9" s="123">
        <f>1-(1-VLOOKUP(Inputs!B$1+I9-1,Inputs!$J$5:$L$105,IF(B$2="M",2,3),0))^(1/12)</f>
        <v>1.3593491795749202E-4</v>
      </c>
      <c r="O9" s="106">
        <f t="shared" si="4"/>
        <v>0.97838001045299106</v>
      </c>
      <c r="P9" s="125">
        <f t="shared" si="5"/>
        <v>0.9745714171299571</v>
      </c>
      <c r="Q9" s="105">
        <f t="shared" si="6"/>
        <v>0.98670399159143507</v>
      </c>
      <c r="R9" s="125">
        <f t="shared" si="0"/>
        <v>0.98231139080895569</v>
      </c>
      <c r="S9" s="198"/>
      <c r="T9" s="200">
        <f t="shared" si="7"/>
        <v>978.38001045299109</v>
      </c>
      <c r="U9" s="104">
        <f t="shared" si="1"/>
        <v>974.57141712995713</v>
      </c>
      <c r="V9" s="207">
        <f t="shared" si="2"/>
        <v>0.32061761393304922</v>
      </c>
      <c r="W9" s="209"/>
      <c r="X9" s="209"/>
      <c r="Y9" s="91">
        <f>Inputs!C$17*V9</f>
        <v>16.03088069665246</v>
      </c>
      <c r="Z9" s="198">
        <f t="shared" si="3"/>
        <v>9618.5284179914761</v>
      </c>
      <c r="AA9" s="92"/>
      <c r="AB9" s="92"/>
      <c r="AC9" s="87"/>
      <c r="AD9" s="87"/>
      <c r="AQ9" s="8"/>
      <c r="AR9" s="8"/>
      <c r="AS9" s="8"/>
      <c r="AT9" s="8"/>
      <c r="AU9" s="8"/>
      <c r="BV9" s="6"/>
      <c r="BW9" s="6"/>
      <c r="BX9" s="6"/>
      <c r="BY9" s="6"/>
      <c r="BZ9" s="6"/>
      <c r="CA9" s="22"/>
      <c r="CB9" s="6"/>
      <c r="CC9" s="6"/>
      <c r="CD9" s="6"/>
      <c r="CE9" s="6"/>
      <c r="CF9" s="6"/>
      <c r="CG9" s="6"/>
      <c r="CH9" s="6"/>
      <c r="CI9" s="42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41"/>
      <c r="CV9" s="43"/>
      <c r="CW9" s="43"/>
      <c r="CX9" s="6"/>
      <c r="CY9" s="19"/>
      <c r="CZ9" s="6"/>
      <c r="DA9" s="40"/>
      <c r="DB9" s="6"/>
      <c r="DC9" s="6"/>
      <c r="DD9" s="6"/>
      <c r="DE9" s="6"/>
      <c r="DF9" s="6"/>
      <c r="DG9" s="6"/>
      <c r="DH9" s="42"/>
      <c r="DI9" s="42"/>
      <c r="DJ9" s="42"/>
      <c r="DK9" s="42"/>
      <c r="DL9" s="42"/>
      <c r="DM9" s="42"/>
      <c r="DN9" s="42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</row>
    <row r="10" spans="1:229">
      <c r="A10" s="35" t="s">
        <v>40</v>
      </c>
      <c r="B10" s="7" t="s">
        <v>58</v>
      </c>
      <c r="C10" s="7"/>
      <c r="D10" s="7"/>
      <c r="E10" s="35" t="s">
        <v>40</v>
      </c>
      <c r="F10" s="165">
        <f>F5*Inputs!C11</f>
        <v>397.93592904609613</v>
      </c>
      <c r="G10" s="7" t="s">
        <v>35</v>
      </c>
      <c r="I10">
        <v>1</v>
      </c>
      <c r="J10">
        <v>5</v>
      </c>
      <c r="L10" s="123">
        <f>1-(1-VLOOKUP(Inputs!B$1+I10-1,Inputs!$F$5:$H$105,IF(B$2="M",2,3),0))^(1/12)</f>
        <v>3.2770253940961336E-4</v>
      </c>
      <c r="M10" s="124">
        <f>1-(1-VLOOKUP(I10,Inputs!$C$22:$D$32,2,FALSE))^(VLOOKUP(J10,Inputs!$A$22:$B$33,2,1))</f>
        <v>3.4307521988581335E-3</v>
      </c>
      <c r="N10" s="123">
        <f>1-(1-VLOOKUP(Inputs!B$1+I10-1,Inputs!$J$5:$L$105,IF(B$2="M",2,3),0))^(1/12)</f>
        <v>1.3593491795749202E-4</v>
      </c>
      <c r="O10" s="106">
        <f t="shared" si="4"/>
        <v>0.9745714171299571</v>
      </c>
      <c r="P10" s="125">
        <f t="shared" si="5"/>
        <v>0.97077764972624414</v>
      </c>
      <c r="Q10" s="105">
        <f t="shared" si="6"/>
        <v>0.98231139080895569</v>
      </c>
      <c r="R10" s="125">
        <f t="shared" si="0"/>
        <v>0.97793834497081489</v>
      </c>
      <c r="S10" s="198"/>
      <c r="T10" s="200">
        <f t="shared" si="7"/>
        <v>974.57141712995713</v>
      </c>
      <c r="U10" s="104">
        <f t="shared" si="1"/>
        <v>970.77764972624414</v>
      </c>
      <c r="V10" s="207">
        <f t="shared" si="2"/>
        <v>0.31936952822951253</v>
      </c>
      <c r="W10" s="209"/>
      <c r="X10" s="209"/>
      <c r="Y10" s="91">
        <f>Inputs!C$17*V10</f>
        <v>15.968476411475626</v>
      </c>
      <c r="Z10" s="198">
        <f t="shared" si="3"/>
        <v>9581.0858468853767</v>
      </c>
      <c r="AA10" s="92"/>
      <c r="AB10" s="92"/>
      <c r="AC10" s="87"/>
      <c r="AD10" s="87"/>
      <c r="AQ10" s="8"/>
      <c r="AR10" s="8"/>
      <c r="AS10" s="8"/>
      <c r="AT10" s="8"/>
      <c r="AU10" s="8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42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1"/>
      <c r="CV10" s="43"/>
      <c r="CW10" s="43"/>
      <c r="CX10" s="6"/>
      <c r="CY10" s="19"/>
      <c r="CZ10" s="6"/>
      <c r="DA10" s="40"/>
      <c r="DB10" s="6"/>
      <c r="DC10" s="6"/>
      <c r="DD10" s="6"/>
      <c r="DE10" s="6"/>
      <c r="DF10" s="6"/>
      <c r="DG10" s="6"/>
      <c r="DH10" s="42"/>
      <c r="DI10" s="42"/>
      <c r="DJ10" s="42"/>
      <c r="DK10" s="42"/>
      <c r="DL10" s="42"/>
      <c r="DM10" s="42"/>
      <c r="DN10" s="42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</row>
    <row r="11" spans="1:229">
      <c r="A11" s="35" t="s">
        <v>40</v>
      </c>
      <c r="B11" s="7" t="s">
        <v>41</v>
      </c>
      <c r="C11" s="7"/>
      <c r="D11" s="7"/>
      <c r="E11" s="35" t="s">
        <v>40</v>
      </c>
      <c r="F11" s="165">
        <f>F5*Inputs!C18</f>
        <v>284.23994931864007</v>
      </c>
      <c r="G11" s="7" t="s">
        <v>35</v>
      </c>
      <c r="I11">
        <v>1</v>
      </c>
      <c r="J11">
        <v>6</v>
      </c>
      <c r="L11" s="123">
        <f>1-(1-VLOOKUP(Inputs!B$1+I11-1,Inputs!$F$5:$H$105,IF(B$2="M",2,3),0))^(1/12)</f>
        <v>3.2770253940961336E-4</v>
      </c>
      <c r="M11" s="124">
        <f>1-(1-VLOOKUP(I11,Inputs!$C$22:$D$32,2,FALSE))^(VLOOKUP(J11,Inputs!$A$22:$B$33,2,1))</f>
        <v>3.4307521988581335E-3</v>
      </c>
      <c r="N11" s="123">
        <f>1-(1-VLOOKUP(Inputs!B$1+I11-1,Inputs!$J$5:$L$105,IF(B$2="M",2,3),0))^(1/12)</f>
        <v>1.3593491795749202E-4</v>
      </c>
      <c r="O11" s="106">
        <f t="shared" si="4"/>
        <v>0.97077764972624414</v>
      </c>
      <c r="P11" s="125">
        <f t="shared" si="5"/>
        <v>0.96699865052818601</v>
      </c>
      <c r="Q11" s="105">
        <f t="shared" si="6"/>
        <v>0.97793834497081489</v>
      </c>
      <c r="R11" s="125">
        <f t="shared" si="0"/>
        <v>0.97358476702247088</v>
      </c>
      <c r="S11" s="198"/>
      <c r="T11" s="200">
        <f t="shared" si="7"/>
        <v>970.77764972624414</v>
      </c>
      <c r="U11" s="104">
        <f t="shared" si="1"/>
        <v>966.99865052818598</v>
      </c>
      <c r="V11" s="207">
        <f t="shared" si="2"/>
        <v>0.31812630101738637</v>
      </c>
      <c r="W11" s="209"/>
      <c r="X11" s="209"/>
      <c r="Y11" s="91">
        <f>Inputs!C$17*V11</f>
        <v>15.906315050869319</v>
      </c>
      <c r="Z11" s="198">
        <f t="shared" si="3"/>
        <v>9543.7890305215915</v>
      </c>
      <c r="AA11" s="92"/>
      <c r="AB11" s="92"/>
      <c r="AC11" s="87"/>
      <c r="AD11" s="87"/>
      <c r="AQ11" s="8"/>
      <c r="AR11" s="8"/>
      <c r="AS11" s="8"/>
      <c r="AT11" s="8"/>
      <c r="AU11" s="8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42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1"/>
      <c r="CV11" s="43"/>
      <c r="CW11" s="43"/>
      <c r="CX11" s="6"/>
      <c r="CY11" s="19"/>
      <c r="CZ11" s="6"/>
      <c r="DA11" s="40"/>
      <c r="DB11" s="6"/>
      <c r="DC11" s="6"/>
      <c r="DD11" s="6"/>
      <c r="DE11" s="6"/>
      <c r="DF11" s="6"/>
      <c r="DG11" s="6"/>
      <c r="DH11" s="42"/>
      <c r="DI11" s="42"/>
      <c r="DJ11" s="42"/>
      <c r="DK11" s="42"/>
      <c r="DL11" s="42"/>
      <c r="DM11" s="42"/>
      <c r="DN11" s="42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</row>
    <row r="12" spans="1:229">
      <c r="A12" s="35" t="s">
        <v>40</v>
      </c>
      <c r="B12" s="115" t="s">
        <v>111</v>
      </c>
      <c r="E12" s="35" t="s">
        <v>40</v>
      </c>
      <c r="F12" s="166">
        <f>SUMPRODUCT(R6:R17,Y6:Y17)</f>
        <v>185.46297181653276</v>
      </c>
      <c r="I12">
        <v>1</v>
      </c>
      <c r="J12">
        <v>7</v>
      </c>
      <c r="L12" s="123">
        <f>1-(1-VLOOKUP(Inputs!B$1+I12-1,Inputs!$F$5:$H$105,IF(B$2="M",2,3),0))^(1/12)</f>
        <v>3.2770253940961336E-4</v>
      </c>
      <c r="M12" s="124">
        <f>1-(1-VLOOKUP(I12,Inputs!$C$22:$D$32,2,FALSE))^(VLOOKUP(J12,Inputs!$A$22:$B$33,2,1))</f>
        <v>3.4307521988581335E-3</v>
      </c>
      <c r="N12" s="123">
        <f>1-(1-VLOOKUP(Inputs!B$1+I12-1,Inputs!$J$5:$L$105,IF(B$2="M",2,3),0))^(1/12)</f>
        <v>1.3593491795749202E-4</v>
      </c>
      <c r="O12" s="106">
        <f t="shared" si="4"/>
        <v>0.96699865052818601</v>
      </c>
      <c r="P12" s="125">
        <f t="shared" si="5"/>
        <v>0.96323436204678148</v>
      </c>
      <c r="Q12" s="105">
        <f t="shared" si="6"/>
        <v>0.97358476702247088</v>
      </c>
      <c r="R12" s="125">
        <f t="shared" si="0"/>
        <v>0.96925057029693074</v>
      </c>
      <c r="S12" s="198"/>
      <c r="T12" s="200">
        <f t="shared" si="7"/>
        <v>966.99865052818598</v>
      </c>
      <c r="U12" s="104">
        <f t="shared" si="1"/>
        <v>963.23436204678148</v>
      </c>
      <c r="V12" s="207">
        <f t="shared" si="2"/>
        <v>0.31688791338375583</v>
      </c>
      <c r="W12" s="209"/>
      <c r="X12" s="209"/>
      <c r="Y12" s="91">
        <f>Inputs!C$17*V12</f>
        <v>15.844395669187792</v>
      </c>
      <c r="Z12" s="198">
        <f t="shared" si="3"/>
        <v>9506.6374015126748</v>
      </c>
      <c r="AA12" s="92"/>
      <c r="AB12" s="92"/>
      <c r="AC12" s="87"/>
      <c r="AD12" s="87"/>
      <c r="AQ12" s="8"/>
      <c r="AR12" s="8"/>
      <c r="AS12" s="8"/>
      <c r="AT12" s="8"/>
      <c r="AU12" s="8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42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41"/>
      <c r="CV12" s="43"/>
      <c r="CW12" s="43"/>
      <c r="CX12" s="6"/>
      <c r="CY12" s="19"/>
      <c r="CZ12" s="6"/>
      <c r="DA12" s="40"/>
      <c r="DB12" s="6"/>
      <c r="DC12" s="6"/>
      <c r="DD12" s="6"/>
      <c r="DE12" s="6"/>
      <c r="DF12" s="6"/>
      <c r="DG12" s="6"/>
      <c r="DH12" s="42"/>
      <c r="DI12" s="42"/>
      <c r="DJ12" s="42"/>
      <c r="DK12" s="42"/>
      <c r="DL12" s="42"/>
      <c r="DM12" s="42"/>
      <c r="DN12" s="42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</row>
    <row r="13" spans="1:229">
      <c r="A13" s="142" t="s">
        <v>112</v>
      </c>
      <c r="F13" s="167">
        <f>B4*25</f>
        <v>12500</v>
      </c>
      <c r="I13">
        <v>1</v>
      </c>
      <c r="J13">
        <v>8</v>
      </c>
      <c r="L13" s="123">
        <f>1-(1-VLOOKUP(Inputs!B$1+I13-1,Inputs!$F$5:$H$105,IF(B$2="M",2,3),0))^(1/12)</f>
        <v>3.2770253940961336E-4</v>
      </c>
      <c r="M13" s="124">
        <f>1-(1-VLOOKUP(I13,Inputs!$C$22:$D$32,2,FALSE))^(VLOOKUP(J13,Inputs!$A$22:$B$33,2,1))</f>
        <v>3.4307521988581335E-3</v>
      </c>
      <c r="N13" s="123">
        <f>1-(1-VLOOKUP(Inputs!B$1+I13-1,Inputs!$J$5:$L$105,IF(B$2="M",2,3),0))^(1/12)</f>
        <v>1.3593491795749202E-4</v>
      </c>
      <c r="O13" s="106">
        <f t="shared" si="4"/>
        <v>0.96323436204678148</v>
      </c>
      <c r="P13" s="125">
        <f t="shared" si="5"/>
        <v>0.95948472701682042</v>
      </c>
      <c r="Q13" s="105">
        <f t="shared" si="6"/>
        <v>0.96925057029693074</v>
      </c>
      <c r="R13" s="125">
        <f t="shared" si="0"/>
        <v>0.96493566851302481</v>
      </c>
      <c r="S13" s="198"/>
      <c r="T13" s="200">
        <f t="shared" si="7"/>
        <v>963.23436204678148</v>
      </c>
      <c r="U13" s="104">
        <f t="shared" si="1"/>
        <v>959.48472701682044</v>
      </c>
      <c r="V13" s="207">
        <f t="shared" si="2"/>
        <v>0.31565434648932922</v>
      </c>
      <c r="W13" s="209"/>
      <c r="X13" s="209"/>
      <c r="Y13" s="91">
        <f>Inputs!C$17*V13</f>
        <v>15.782717324466461</v>
      </c>
      <c r="Z13" s="198">
        <f t="shared" si="3"/>
        <v>9469.6303946798762</v>
      </c>
      <c r="AA13" s="92"/>
      <c r="AB13" s="92"/>
      <c r="AC13" s="87"/>
      <c r="AD13" s="87"/>
      <c r="AQ13" s="8"/>
      <c r="AR13" s="8"/>
      <c r="AS13" s="8"/>
      <c r="AT13" s="8"/>
      <c r="AU13" s="8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42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1"/>
      <c r="CV13" s="43"/>
      <c r="CW13" s="43"/>
      <c r="CX13" s="6"/>
      <c r="CY13" s="19"/>
      <c r="CZ13" s="6"/>
      <c r="DA13" s="40"/>
      <c r="DB13" s="6"/>
      <c r="DC13" s="6"/>
      <c r="DD13" s="6"/>
      <c r="DE13" s="6"/>
      <c r="DF13" s="6"/>
      <c r="DG13" s="6"/>
      <c r="DH13" s="42"/>
      <c r="DI13" s="42"/>
      <c r="DJ13" s="42"/>
      <c r="DK13" s="42"/>
      <c r="DL13" s="42"/>
      <c r="DM13" s="42"/>
      <c r="DN13" s="42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</row>
    <row r="14" spans="1:229">
      <c r="A14" s="36" t="s">
        <v>42</v>
      </c>
      <c r="B14" s="7"/>
      <c r="C14" s="7"/>
      <c r="D14" s="7"/>
      <c r="E14" s="7"/>
      <c r="F14" s="168"/>
      <c r="G14" s="7"/>
      <c r="I14">
        <v>1</v>
      </c>
      <c r="J14">
        <v>9</v>
      </c>
      <c r="L14" s="123">
        <f>1-(1-VLOOKUP(Inputs!B$1+I14-1,Inputs!$F$5:$H$105,IF(B$2="M",2,3),0))^(1/12)</f>
        <v>3.2770253940961336E-4</v>
      </c>
      <c r="M14" s="124">
        <f>1-(1-VLOOKUP(I14,Inputs!$C$22:$D$32,2,FALSE))^(VLOOKUP(J14,Inputs!$A$22:$B$33,2,1))</f>
        <v>3.4307521988581335E-3</v>
      </c>
      <c r="N14" s="123">
        <f>1-(1-VLOOKUP(Inputs!B$1+I14-1,Inputs!$J$5:$L$105,IF(B$2="M",2,3),0))^(1/12)</f>
        <v>1.3593491795749202E-4</v>
      </c>
      <c r="O14" s="106">
        <f t="shared" si="4"/>
        <v>0.95948472701682042</v>
      </c>
      <c r="P14" s="125">
        <f t="shared" si="5"/>
        <v>0.9557496883960116</v>
      </c>
      <c r="Q14" s="105">
        <f t="shared" si="6"/>
        <v>0.96493566851302481</v>
      </c>
      <c r="R14" s="125">
        <f t="shared" si="0"/>
        <v>0.96063997577368943</v>
      </c>
      <c r="S14" s="198"/>
      <c r="T14" s="200">
        <f t="shared" si="7"/>
        <v>959.48472701682044</v>
      </c>
      <c r="U14" s="104">
        <f t="shared" si="1"/>
        <v>955.74968839601161</v>
      </c>
      <c r="V14" s="207">
        <f t="shared" si="2"/>
        <v>0.3144255815681517</v>
      </c>
      <c r="W14" s="209"/>
      <c r="X14" s="209"/>
      <c r="Y14" s="91">
        <f>Inputs!C$17*V14</f>
        <v>15.721279078407585</v>
      </c>
      <c r="Z14" s="198">
        <f t="shared" si="3"/>
        <v>9432.7674470445509</v>
      </c>
      <c r="AA14" s="92"/>
      <c r="AB14" s="92"/>
      <c r="AC14" s="87"/>
      <c r="AD14" s="87"/>
      <c r="AQ14" s="8"/>
      <c r="AR14" s="8"/>
      <c r="AS14" s="8"/>
      <c r="AT14" s="8"/>
      <c r="AU14" s="8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42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41"/>
      <c r="CV14" s="43"/>
      <c r="CW14" s="43"/>
      <c r="CX14" s="6"/>
      <c r="CY14" s="19"/>
      <c r="CZ14" s="6"/>
      <c r="DA14" s="40"/>
      <c r="DB14" s="6"/>
      <c r="DC14" s="6"/>
      <c r="DD14" s="6"/>
      <c r="DE14" s="6"/>
      <c r="DF14" s="6"/>
      <c r="DG14" s="6"/>
      <c r="DH14" s="42"/>
      <c r="DI14" s="42"/>
      <c r="DJ14" s="42"/>
      <c r="DK14" s="42"/>
      <c r="DL14" s="42"/>
      <c r="DM14" s="42"/>
      <c r="DN14" s="42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</row>
    <row r="15" spans="1:229">
      <c r="A15" s="36"/>
      <c r="B15" s="7"/>
      <c r="C15" s="7"/>
      <c r="D15" s="7"/>
      <c r="E15" s="7"/>
      <c r="F15" s="163">
        <f>F6+F7+F12+F13</f>
        <v>123963.24606173619</v>
      </c>
      <c r="G15" s="7"/>
      <c r="I15">
        <v>1</v>
      </c>
      <c r="J15">
        <v>10</v>
      </c>
      <c r="L15" s="123">
        <f>1-(1-VLOOKUP(Inputs!B$1+I15-1,Inputs!$F$5:$H$105,IF(B$2="M",2,3),0))^(1/12)</f>
        <v>3.2770253940961336E-4</v>
      </c>
      <c r="M15" s="124">
        <f>1-(1-VLOOKUP(I15,Inputs!$C$22:$D$32,2,FALSE))^(VLOOKUP(J15,Inputs!$A$22:$B$33,2,1))</f>
        <v>3.4307521988581335E-3</v>
      </c>
      <c r="N15" s="123">
        <f>1-(1-VLOOKUP(Inputs!B$1+I15-1,Inputs!$J$5:$L$105,IF(B$2="M",2,3),0))^(1/12)</f>
        <v>1.3593491795749202E-4</v>
      </c>
      <c r="O15" s="106">
        <f t="shared" si="4"/>
        <v>0.9557496883960116</v>
      </c>
      <c r="P15" s="125">
        <f t="shared" si="5"/>
        <v>0.95202918936411551</v>
      </c>
      <c r="Q15" s="105">
        <f t="shared" si="6"/>
        <v>0.96063997577368943</v>
      </c>
      <c r="R15" s="125">
        <f t="shared" si="0"/>
        <v>0.95636340656425645</v>
      </c>
      <c r="S15" s="198"/>
      <c r="T15" s="200">
        <f t="shared" si="7"/>
        <v>955.74968839601161</v>
      </c>
      <c r="U15" s="104">
        <f t="shared" si="1"/>
        <v>952.0291893641155</v>
      </c>
      <c r="V15" s="207">
        <f t="shared" si="2"/>
        <v>0.31320159992731966</v>
      </c>
      <c r="W15" s="209"/>
      <c r="X15" s="209"/>
      <c r="Y15" s="91">
        <f>Inputs!C$17*V15</f>
        <v>15.660079996365983</v>
      </c>
      <c r="Z15" s="198">
        <f t="shared" si="3"/>
        <v>9396.047997819589</v>
      </c>
      <c r="AA15" s="92"/>
      <c r="AB15" s="92"/>
      <c r="AC15" s="87"/>
      <c r="AD15" s="87"/>
      <c r="AQ15" s="8"/>
      <c r="AR15" s="8"/>
      <c r="AS15" s="8"/>
      <c r="AT15" s="8"/>
      <c r="AU15" s="8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42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41"/>
      <c r="CV15" s="43"/>
      <c r="CW15" s="43"/>
      <c r="CX15" s="6"/>
      <c r="CY15" s="19"/>
      <c r="CZ15" s="6"/>
      <c r="DA15" s="40"/>
      <c r="DB15" s="6"/>
      <c r="DC15" s="6"/>
      <c r="DD15" s="6"/>
      <c r="DE15" s="6"/>
      <c r="DF15" s="6"/>
      <c r="DG15" s="6"/>
      <c r="DH15" s="42"/>
      <c r="DI15" s="42"/>
      <c r="DJ15" s="42"/>
      <c r="DK15" s="42"/>
      <c r="DL15" s="42"/>
      <c r="DM15" s="42"/>
      <c r="DN15" s="42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</row>
    <row r="16" spans="1:229">
      <c r="A16" s="7"/>
      <c r="B16" s="7"/>
      <c r="C16" s="7"/>
      <c r="D16" s="7"/>
      <c r="E16" s="35" t="s">
        <v>25</v>
      </c>
      <c r="F16" s="169">
        <f>F5-F8-F9-F10-F11</f>
        <v>3837.2393158016416</v>
      </c>
      <c r="G16" s="7" t="s">
        <v>43</v>
      </c>
      <c r="I16">
        <v>1</v>
      </c>
      <c r="J16">
        <v>11</v>
      </c>
      <c r="L16" s="123">
        <f>1-(1-VLOOKUP(Inputs!B$1+I16-1,Inputs!$F$5:$H$105,IF(B$2="M",2,3),0))^(1/12)</f>
        <v>3.2770253940961336E-4</v>
      </c>
      <c r="M16" s="124">
        <f>1-(1-VLOOKUP(I16,Inputs!$C$22:$D$32,2,FALSE))^(VLOOKUP(J16,Inputs!$A$22:$B$33,2,1))</f>
        <v>3.4307521988581335E-3</v>
      </c>
      <c r="N16" s="123">
        <f>1-(1-VLOOKUP(Inputs!B$1+I16-1,Inputs!$J$5:$L$105,IF(B$2="M",2,3),0))^(1/12)</f>
        <v>1.3593491795749202E-4</v>
      </c>
      <c r="O16" s="106">
        <f t="shared" si="4"/>
        <v>0.95202918936411551</v>
      </c>
      <c r="P16" s="125">
        <f t="shared" si="5"/>
        <v>0.94832317332208005</v>
      </c>
      <c r="Q16" s="105">
        <f t="shared" si="6"/>
        <v>0.95636340656425645</v>
      </c>
      <c r="R16" s="125">
        <f t="shared" si="0"/>
        <v>0.95210587575075156</v>
      </c>
      <c r="S16" s="198"/>
      <c r="T16" s="200">
        <f t="shared" si="7"/>
        <v>952.0291893641155</v>
      </c>
      <c r="U16" s="104">
        <f t="shared" si="1"/>
        <v>948.32317332208004</v>
      </c>
      <c r="V16" s="207">
        <f t="shared" si="2"/>
        <v>0.31198238294669633</v>
      </c>
      <c r="W16" s="209"/>
      <c r="X16" s="209"/>
      <c r="Y16" s="91">
        <f>Inputs!C$17*V16</f>
        <v>15.599119147334816</v>
      </c>
      <c r="Z16" s="198">
        <f t="shared" si="3"/>
        <v>9359.4714884008899</v>
      </c>
      <c r="AA16" s="92"/>
      <c r="AB16" s="92"/>
      <c r="AC16" s="87"/>
      <c r="AD16" s="87"/>
      <c r="AQ16" s="8"/>
      <c r="AR16" s="8"/>
      <c r="AS16" s="8"/>
      <c r="AT16" s="8"/>
      <c r="AU16" s="8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42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41"/>
      <c r="CV16" s="43"/>
      <c r="CW16" s="43"/>
      <c r="CX16" s="6"/>
      <c r="CY16" s="19"/>
      <c r="CZ16" s="6"/>
      <c r="DA16" s="40"/>
      <c r="DB16" s="6"/>
      <c r="DC16" s="6"/>
      <c r="DD16" s="6"/>
      <c r="DE16" s="6"/>
      <c r="DF16" s="6"/>
      <c r="DG16" s="6"/>
      <c r="DH16" s="42"/>
      <c r="DI16" s="42"/>
      <c r="DJ16" s="42"/>
      <c r="DK16" s="42"/>
      <c r="DL16" s="42"/>
      <c r="DM16" s="42"/>
      <c r="DN16" s="42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</row>
    <row r="17" spans="1:229">
      <c r="A17" s="37"/>
      <c r="B17" s="38"/>
      <c r="C17" s="38"/>
      <c r="D17" s="38"/>
      <c r="E17" s="35" t="s">
        <v>25</v>
      </c>
      <c r="F17" s="84">
        <f>F15/F16</f>
        <v>32.305320533764757</v>
      </c>
      <c r="G17" s="161" t="s">
        <v>31</v>
      </c>
      <c r="H17" s="95"/>
      <c r="I17" s="5">
        <f>IF(K17=1,I16+1,I16)</f>
        <v>1</v>
      </c>
      <c r="J17" s="5">
        <v>12</v>
      </c>
      <c r="L17" s="123">
        <f>1-(1-VLOOKUP(Inputs!B$1+I17-1,Inputs!$F$5:$H$105,IF(B$2="M",2,3),0))^(1/12)</f>
        <v>3.2770253940961336E-4</v>
      </c>
      <c r="M17" s="124">
        <f>1-(1-VLOOKUP(I17,Inputs!$C$22:$D$32,2,FALSE))^(VLOOKUP(J17,Inputs!$A$22:$B$33,2,1))</f>
        <v>3.4307521988581335E-3</v>
      </c>
      <c r="N17" s="123">
        <f>1-(1-VLOOKUP(Inputs!B$1+I17-1,Inputs!$J$5:$L$105,IF(B$2="M",2,3),0))^(1/12)</f>
        <v>1.3593491795749202E-4</v>
      </c>
      <c r="O17" s="106">
        <f t="shared" si="4"/>
        <v>0.94832317332208005</v>
      </c>
      <c r="P17" s="125">
        <f t="shared" si="5"/>
        <v>0.94463158389117929</v>
      </c>
      <c r="Q17" s="105">
        <f t="shared" si="6"/>
        <v>0.95210587575075156</v>
      </c>
      <c r="R17" s="125">
        <f t="shared" si="0"/>
        <v>0.94786729857819896</v>
      </c>
      <c r="S17" s="198"/>
      <c r="T17" s="200">
        <f t="shared" si="7"/>
        <v>948.32317332208004</v>
      </c>
      <c r="U17" s="104">
        <f t="shared" si="1"/>
        <v>944.63158389117928</v>
      </c>
      <c r="V17" s="207">
        <f t="shared" si="2"/>
        <v>0.31076791207862853</v>
      </c>
      <c r="W17" s="209"/>
      <c r="X17" s="209"/>
      <c r="Y17" s="91">
        <f>Inputs!C$17*V17</f>
        <v>15.538395603931427</v>
      </c>
      <c r="Z17" s="198">
        <f t="shared" si="3"/>
        <v>9323.0373623588566</v>
      </c>
      <c r="AA17" s="92"/>
      <c r="AB17" s="92"/>
      <c r="AC17" s="87"/>
      <c r="AD17" s="87"/>
      <c r="AQ17" s="8"/>
      <c r="AR17" s="8"/>
      <c r="AS17" s="8"/>
      <c r="AT17" s="8"/>
      <c r="AU17" s="8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42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41"/>
      <c r="CV17" s="43"/>
      <c r="CW17" s="43"/>
      <c r="CX17" s="6"/>
      <c r="CY17" s="19"/>
      <c r="CZ17" s="6"/>
      <c r="DA17" s="40"/>
      <c r="DB17" s="6"/>
      <c r="DC17" s="6"/>
      <c r="DD17" s="6"/>
      <c r="DE17" s="6"/>
      <c r="DF17" s="6"/>
      <c r="DG17" s="6"/>
      <c r="DH17" s="42"/>
      <c r="DI17" s="42"/>
      <c r="DJ17" s="42"/>
      <c r="DK17" s="42"/>
      <c r="DL17" s="42"/>
      <c r="DM17" s="42"/>
      <c r="DN17" s="42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</row>
    <row r="18" spans="1:229">
      <c r="A18" s="4"/>
      <c r="B18" s="34"/>
      <c r="C18" s="7"/>
      <c r="D18" s="7"/>
      <c r="E18" s="161"/>
      <c r="F18" s="84">
        <f>F17*12</f>
        <v>387.66384640517708</v>
      </c>
      <c r="G18" t="s">
        <v>124</v>
      </c>
      <c r="H18" s="6"/>
      <c r="I18" s="5"/>
      <c r="J18" s="5"/>
      <c r="K18" s="6"/>
      <c r="L18" s="88"/>
      <c r="M18" s="83"/>
      <c r="N18" s="89"/>
      <c r="O18" s="89"/>
      <c r="P18" s="89"/>
      <c r="Q18" s="89"/>
      <c r="R18" s="89"/>
      <c r="S18" s="6"/>
      <c r="T18" s="147"/>
      <c r="U18" s="84"/>
      <c r="V18" s="6"/>
      <c r="W18" s="6"/>
      <c r="X18" s="6"/>
      <c r="Y18" s="91"/>
      <c r="Z18" s="6"/>
      <c r="AA18" s="92"/>
      <c r="AB18" s="92"/>
      <c r="AC18" s="87"/>
      <c r="AD18" s="87"/>
      <c r="AQ18" s="6"/>
      <c r="AR18" s="6"/>
      <c r="AS18" s="6"/>
      <c r="AT18" s="8"/>
      <c r="AU18" s="8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42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41"/>
      <c r="CV18" s="43"/>
      <c r="CW18" s="43"/>
      <c r="CX18" s="6"/>
      <c r="CY18" s="19"/>
      <c r="CZ18" s="6"/>
      <c r="DA18" s="40"/>
      <c r="DB18" s="6"/>
      <c r="DC18" s="6"/>
      <c r="DD18" s="6"/>
      <c r="DE18" s="6"/>
      <c r="DF18" s="6"/>
      <c r="DG18" s="6"/>
      <c r="DH18" s="42"/>
      <c r="DI18" s="42"/>
      <c r="DJ18" s="42"/>
      <c r="DK18" s="42"/>
      <c r="DL18" s="42"/>
      <c r="DM18" s="42"/>
      <c r="DN18" s="42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</row>
    <row r="19" spans="1:229">
      <c r="H19" s="6"/>
      <c r="I19" s="5"/>
      <c r="J19" s="5" t="s">
        <v>45</v>
      </c>
      <c r="K19" s="6"/>
      <c r="L19" s="152" t="s">
        <v>96</v>
      </c>
      <c r="M19" s="83"/>
      <c r="N19" s="148" t="s">
        <v>96</v>
      </c>
      <c r="O19" s="148" t="s">
        <v>96</v>
      </c>
      <c r="P19" s="148" t="s">
        <v>96</v>
      </c>
      <c r="Q19" s="148" t="s">
        <v>114</v>
      </c>
      <c r="R19" s="89"/>
      <c r="S19" s="6"/>
      <c r="T19" s="147"/>
      <c r="U19" s="84"/>
      <c r="V19" s="6"/>
      <c r="W19" s="6"/>
      <c r="X19" s="6"/>
      <c r="Y19" s="91"/>
      <c r="Z19" s="6"/>
      <c r="AA19" s="92"/>
      <c r="AB19" s="92"/>
      <c r="AC19" s="87"/>
      <c r="AD19" s="87"/>
      <c r="AE19" s="87"/>
      <c r="AF19" s="87"/>
      <c r="AG19" s="87"/>
      <c r="AH19" s="87"/>
      <c r="AI19" s="87"/>
      <c r="AJ19" s="87"/>
      <c r="AK19" s="87"/>
      <c r="AL19" s="93"/>
      <c r="AM19" s="94"/>
      <c r="AN19" s="94"/>
      <c r="AO19" s="6"/>
      <c r="AP19" s="6"/>
      <c r="AQ19" s="6"/>
      <c r="AR19" s="6"/>
      <c r="AS19" s="6"/>
      <c r="AT19" s="8"/>
      <c r="AU19" s="8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42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41"/>
      <c r="CV19" s="43"/>
      <c r="CW19" s="43"/>
      <c r="CX19" s="6"/>
      <c r="CY19" s="19"/>
      <c r="CZ19" s="6"/>
      <c r="DA19" s="40"/>
      <c r="DB19" s="6"/>
      <c r="DC19" s="6"/>
      <c r="DD19" s="6"/>
      <c r="DE19" s="6"/>
      <c r="DF19" s="6"/>
      <c r="DG19" s="6"/>
      <c r="DH19" s="42"/>
      <c r="DI19" s="42"/>
      <c r="DJ19" s="42"/>
      <c r="DK19" s="42"/>
      <c r="DL19" s="42"/>
      <c r="DM19" s="42"/>
      <c r="DN19" s="42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</row>
    <row r="20" spans="1:229">
      <c r="A20" s="35"/>
      <c r="B20" s="7"/>
      <c r="C20" s="7"/>
      <c r="D20" s="7"/>
      <c r="E20" s="86"/>
      <c r="F20" s="83"/>
      <c r="G20" s="55"/>
      <c r="H20" s="6"/>
      <c r="I20" s="5"/>
      <c r="J20" s="5"/>
      <c r="K20" s="6"/>
      <c r="L20" s="64" t="s">
        <v>4</v>
      </c>
      <c r="M20" s="242" t="s">
        <v>3</v>
      </c>
      <c r="N20" s="243"/>
      <c r="O20" s="62" t="s">
        <v>4</v>
      </c>
      <c r="P20" s="57" t="s">
        <v>48</v>
      </c>
      <c r="Q20" s="149" t="s">
        <v>47</v>
      </c>
      <c r="R20" s="151" t="s">
        <v>11</v>
      </c>
      <c r="S20" s="67"/>
      <c r="T20" s="78" t="s">
        <v>70</v>
      </c>
      <c r="U20" s="154" t="s">
        <v>53</v>
      </c>
      <c r="V20" s="63" t="s">
        <v>50</v>
      </c>
      <c r="W20" s="64"/>
      <c r="X20" s="6"/>
      <c r="Y20" s="91"/>
      <c r="Z20" s="6"/>
      <c r="AA20" s="92"/>
      <c r="AB20" s="92"/>
      <c r="AC20" s="87"/>
      <c r="AD20" s="87"/>
      <c r="AE20" s="87"/>
      <c r="AF20" s="87"/>
      <c r="AG20" s="87"/>
      <c r="AH20" s="87"/>
      <c r="AI20" s="87"/>
      <c r="AJ20" s="87"/>
      <c r="AK20" s="87"/>
      <c r="AL20" s="93"/>
      <c r="AM20" s="94"/>
      <c r="AN20" s="94"/>
      <c r="AO20" s="6"/>
      <c r="AP20" s="6"/>
      <c r="AQ20" s="6"/>
      <c r="AR20" s="6"/>
      <c r="AS20" s="6"/>
      <c r="AT20" s="8"/>
      <c r="AU20" s="8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42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1"/>
      <c r="CV20" s="43"/>
      <c r="CW20" s="43"/>
      <c r="CX20" s="6"/>
      <c r="CY20" s="19"/>
      <c r="CZ20" s="6"/>
      <c r="DA20" s="40"/>
      <c r="DB20" s="6"/>
      <c r="DC20" s="6"/>
      <c r="DD20" s="6"/>
      <c r="DE20" s="6"/>
      <c r="DF20" s="6"/>
      <c r="DG20" s="6"/>
      <c r="DH20" s="42"/>
      <c r="DI20" s="42"/>
      <c r="DJ20" s="42"/>
      <c r="DK20" s="42"/>
      <c r="DL20" s="42"/>
      <c r="DM20" s="42"/>
      <c r="DN20" s="42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</row>
    <row r="21" spans="1:229">
      <c r="A21" s="35"/>
      <c r="B21" s="7"/>
      <c r="C21" s="7"/>
      <c r="D21" s="7"/>
      <c r="E21" s="86"/>
      <c r="F21" s="83"/>
      <c r="G21" s="55"/>
      <c r="H21" s="6"/>
      <c r="I21" t="s">
        <v>2</v>
      </c>
      <c r="J21" t="s">
        <v>5</v>
      </c>
      <c r="K21" s="6"/>
      <c r="L21" s="112" t="s">
        <v>51</v>
      </c>
      <c r="M21" s="58" t="s">
        <v>29</v>
      </c>
      <c r="N21" s="58" t="s">
        <v>30</v>
      </c>
      <c r="O21" s="58" t="s">
        <v>60</v>
      </c>
      <c r="P21" s="58" t="s">
        <v>52</v>
      </c>
      <c r="Q21" s="150" t="s">
        <v>96</v>
      </c>
      <c r="R21" s="153" t="s">
        <v>115</v>
      </c>
      <c r="S21" s="68" t="s">
        <v>12</v>
      </c>
      <c r="T21" s="69" t="s">
        <v>53</v>
      </c>
      <c r="U21" s="154" t="s">
        <v>116</v>
      </c>
      <c r="V21" s="157" t="s">
        <v>54</v>
      </c>
      <c r="W21" s="158"/>
      <c r="X21" s="6"/>
      <c r="Y21" s="91"/>
      <c r="Z21" s="6"/>
      <c r="AA21" s="92"/>
      <c r="AB21" s="92"/>
      <c r="AC21" s="87"/>
      <c r="AD21" s="87"/>
      <c r="AE21" s="87"/>
      <c r="AF21" s="87"/>
      <c r="AG21" s="87"/>
      <c r="AH21" s="87"/>
      <c r="AI21" s="87"/>
      <c r="AJ21" s="87"/>
      <c r="AK21" s="87"/>
      <c r="AL21" s="93"/>
      <c r="AM21" s="94"/>
      <c r="AN21" s="94"/>
      <c r="AO21" s="6"/>
      <c r="AP21" s="6"/>
      <c r="AQ21" s="6"/>
      <c r="AR21" s="6"/>
      <c r="AS21" s="6"/>
      <c r="AT21" s="8"/>
      <c r="AU21" s="8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42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41"/>
      <c r="CV21" s="43"/>
      <c r="CW21" s="43"/>
      <c r="CX21" s="6"/>
      <c r="CY21" s="19"/>
      <c r="CZ21" s="6"/>
      <c r="DA21" s="40"/>
      <c r="DB21" s="6"/>
      <c r="DC21" s="6"/>
      <c r="DD21" s="6"/>
      <c r="DE21" s="6"/>
      <c r="DF21" s="6"/>
      <c r="DG21" s="6"/>
      <c r="DH21" s="42"/>
      <c r="DI21" s="42"/>
      <c r="DJ21" s="42"/>
      <c r="DK21" s="42"/>
      <c r="DL21" s="42"/>
      <c r="DM21" s="42"/>
      <c r="DN21" s="42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</row>
    <row r="22" spans="1:229">
      <c r="A22" s="35"/>
      <c r="B22" s="7"/>
      <c r="C22" s="7"/>
      <c r="D22" s="7"/>
      <c r="E22" s="86"/>
      <c r="F22" s="156" t="s">
        <v>117</v>
      </c>
      <c r="G22" s="55"/>
      <c r="H22" s="6"/>
      <c r="I22">
        <v>1</v>
      </c>
      <c r="J22">
        <v>1</v>
      </c>
      <c r="K22" s="6"/>
      <c r="L22" s="213">
        <f>F17*B4</f>
        <v>16152.660266882378</v>
      </c>
      <c r="M22" s="107"/>
      <c r="N22" s="107">
        <f>Inputs!C$14/12*T6+Inputs!C$16*L22</f>
        <v>1292.2128213505903</v>
      </c>
      <c r="O22" s="107">
        <f>Inputs!C$10*L22</f>
        <v>403.81650667205946</v>
      </c>
      <c r="P22" s="107">
        <f>(Inputs!C$8+Inputs!C$11)*L22</f>
        <v>2745.9522453700047</v>
      </c>
      <c r="Q22" s="107"/>
      <c r="R22" s="107">
        <f>Q$1*(L22-M22-N22-O22-P22-F$13)</f>
        <v>-3.5296072315209894</v>
      </c>
      <c r="S22" s="128">
        <f>Q22+R22</f>
        <v>-3.5296072315209894</v>
      </c>
      <c r="T22" s="104">
        <f>B$3*V6</f>
        <v>9831.0761822884015</v>
      </c>
      <c r="U22" s="104">
        <f>V6*Inputs!C$17</f>
        <v>16.38512697048067</v>
      </c>
      <c r="V22" s="214">
        <f>L22+S22-M22-N22-O22-P22-T22-U22-F13</f>
        <v>-10640.312223000681</v>
      </c>
      <c r="W22" s="91"/>
      <c r="X22" s="6"/>
      <c r="Y22" s="91"/>
      <c r="Z22" s="6"/>
      <c r="AA22" s="92"/>
      <c r="AB22" s="92"/>
      <c r="AC22" s="87"/>
      <c r="AD22" s="87"/>
      <c r="AE22" s="87"/>
      <c r="AF22" s="87"/>
      <c r="AG22" s="87"/>
      <c r="AH22" s="87"/>
      <c r="AI22" s="87"/>
      <c r="AJ22" s="87"/>
      <c r="AK22" s="87"/>
      <c r="AL22" s="93"/>
      <c r="AM22" s="94"/>
      <c r="AN22" s="94"/>
      <c r="AO22" s="6"/>
      <c r="AP22" s="6"/>
      <c r="AQ22" s="6"/>
      <c r="AR22" s="6"/>
      <c r="AS22" s="6"/>
      <c r="AT22" s="8"/>
      <c r="AU22" s="8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42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20"/>
      <c r="CV22" s="43"/>
      <c r="CW22" s="44"/>
      <c r="CX22" s="6"/>
      <c r="CY22" s="19"/>
      <c r="CZ22" s="6"/>
      <c r="DA22" s="40"/>
      <c r="DB22" s="6"/>
      <c r="DC22" s="6"/>
      <c r="DD22" s="6"/>
      <c r="DE22" s="6"/>
      <c r="DF22" s="6"/>
      <c r="DG22" s="6"/>
      <c r="DH22" s="42"/>
      <c r="DI22" s="42"/>
      <c r="DJ22" s="42"/>
      <c r="DK22" s="42"/>
      <c r="DL22" s="42"/>
      <c r="DM22" s="42"/>
      <c r="DN22" s="42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</row>
    <row r="23" spans="1:229">
      <c r="A23" s="35"/>
      <c r="B23" s="7"/>
      <c r="C23" s="7"/>
      <c r="D23" s="7"/>
      <c r="E23" s="86"/>
      <c r="F23" s="156" t="s">
        <v>118</v>
      </c>
      <c r="G23" s="55">
        <f>SUMPRODUCT(R6:R17,V22:V33)/SUMPRODUCT(Q6:Q17,L22:L33)</f>
        <v>0.37197504678433158</v>
      </c>
      <c r="H23" s="6"/>
      <c r="I23">
        <v>1</v>
      </c>
      <c r="J23">
        <v>2</v>
      </c>
      <c r="K23" s="6"/>
      <c r="L23" s="144">
        <f>F$17*T7</f>
        <v>32070.808713253748</v>
      </c>
      <c r="M23" s="87"/>
      <c r="N23" s="107">
        <f>Inputs!C$14/12*T7+Inputs!C$16*L23</f>
        <v>2565.6646970602997</v>
      </c>
      <c r="O23" s="107">
        <f>Inputs!C$10*L23</f>
        <v>801.77021783134376</v>
      </c>
      <c r="P23" s="107">
        <f>(Inputs!C$8+Inputs!C$11)*L23</f>
        <v>5452.0374812531372</v>
      </c>
      <c r="Q23" s="107"/>
      <c r="R23" s="107">
        <f>Q$1*(L23-M23-N23-O23-P23)</f>
        <v>103.97297542901923</v>
      </c>
      <c r="S23" s="128">
        <f t="shared" ref="S23:S33" si="8">Q23+R23</f>
        <v>103.97297542901923</v>
      </c>
      <c r="T23" s="104">
        <f t="shared" ref="T23:T33" si="9">B$3*V7</f>
        <v>9759.7101182779479</v>
      </c>
      <c r="U23" s="104">
        <f>V7*Inputs!C$17</f>
        <v>16.266183530463245</v>
      </c>
      <c r="V23" s="214">
        <f>L23+S23-M23-N23-O23-P23-T23-U23</f>
        <v>13579.332990729576</v>
      </c>
      <c r="W23" s="91"/>
      <c r="X23" s="6"/>
      <c r="Y23" s="91"/>
      <c r="Z23" s="6"/>
      <c r="AA23" s="92"/>
      <c r="AB23" s="92"/>
      <c r="AC23" s="87"/>
      <c r="AD23" s="87"/>
      <c r="AE23" s="87"/>
      <c r="AF23" s="87"/>
      <c r="AG23" s="87"/>
      <c r="AH23" s="87"/>
      <c r="AI23" s="87"/>
      <c r="AJ23" s="87"/>
      <c r="AK23" s="87"/>
      <c r="AL23" s="93"/>
      <c r="AM23" s="94"/>
      <c r="AN23" s="94"/>
      <c r="AO23" s="6"/>
      <c r="AP23" s="6"/>
      <c r="AQ23" s="6"/>
      <c r="AR23" s="6"/>
      <c r="AS23" s="6"/>
      <c r="AT23" s="8"/>
      <c r="AU23" s="8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42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20"/>
      <c r="CV23" s="43"/>
      <c r="CW23" s="43"/>
      <c r="CX23" s="6"/>
      <c r="CY23" s="19"/>
      <c r="CZ23" s="6"/>
      <c r="DA23" s="40"/>
      <c r="DB23" s="6"/>
      <c r="DC23" s="6"/>
      <c r="DD23" s="6"/>
      <c r="DE23" s="6"/>
      <c r="DF23" s="6"/>
      <c r="DG23" s="6"/>
      <c r="DH23" s="42"/>
      <c r="DI23" s="42"/>
      <c r="DJ23" s="42"/>
      <c r="DK23" s="42"/>
      <c r="DL23" s="42"/>
      <c r="DM23" s="42"/>
      <c r="DN23" s="42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</row>
    <row r="24" spans="1:229">
      <c r="A24" s="36"/>
      <c r="B24" s="7"/>
      <c r="C24" s="7"/>
      <c r="D24" s="7"/>
      <c r="E24" s="55"/>
      <c r="F24" s="156" t="s">
        <v>119</v>
      </c>
      <c r="G24" s="227">
        <f>IRR(V22:V33)</f>
        <v>1.2694540122028748</v>
      </c>
      <c r="H24" s="6"/>
      <c r="I24">
        <v>1</v>
      </c>
      <c r="J24">
        <v>3</v>
      </c>
      <c r="K24" s="6"/>
      <c r="L24" s="144">
        <f t="shared" ref="L24:L33" si="10">F$17*T8</f>
        <v>31837.999268483047</v>
      </c>
      <c r="M24" s="87"/>
      <c r="N24" s="107">
        <f>Inputs!C$14/12*T8+Inputs!C$16*L24</f>
        <v>2547.0399414786439</v>
      </c>
      <c r="O24" s="107">
        <f>Inputs!C$10*L24</f>
        <v>795.94998171207624</v>
      </c>
      <c r="P24" s="107">
        <f>(Inputs!C$8+Inputs!C$11)*L24</f>
        <v>5412.4598756421183</v>
      </c>
      <c r="Q24" s="107"/>
      <c r="R24" s="107">
        <f t="shared" ref="R24:R33" si="11">Q$1*(L24-M24-N24-O24-P24)</f>
        <v>103.21821146602679</v>
      </c>
      <c r="S24" s="128">
        <f t="shared" si="8"/>
        <v>103.21821146602679</v>
      </c>
      <c r="T24" s="104">
        <f t="shared" si="9"/>
        <v>9688.8621170917377</v>
      </c>
      <c r="U24" s="104">
        <f>V8*Inputs!C$17</f>
        <v>16.148103528486228</v>
      </c>
      <c r="V24" s="214">
        <f t="shared" ref="V24:V33" si="12">L24+S24-M24-N24-O24-P24-T24-U24</f>
        <v>13480.75746049601</v>
      </c>
      <c r="W24" s="91"/>
      <c r="X24" s="6"/>
      <c r="Y24" s="91"/>
      <c r="Z24" s="6"/>
      <c r="AA24" s="92"/>
      <c r="AB24" s="92"/>
      <c r="AC24" s="87"/>
      <c r="AD24" s="87"/>
      <c r="AE24" s="87"/>
      <c r="AF24" s="87"/>
      <c r="AG24" s="87"/>
      <c r="AH24" s="87"/>
      <c r="AI24" s="87"/>
      <c r="AJ24" s="87"/>
      <c r="AK24" s="87"/>
      <c r="AL24" s="93"/>
      <c r="AM24" s="94"/>
      <c r="AN24" s="94"/>
      <c r="AO24" s="6"/>
      <c r="AP24" s="6"/>
      <c r="AQ24" s="6"/>
      <c r="AR24" s="6"/>
      <c r="AS24" s="6"/>
      <c r="AT24" s="8"/>
      <c r="AU24" s="8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42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20"/>
      <c r="CV24" s="43"/>
      <c r="CW24" s="43"/>
      <c r="CX24" s="6"/>
      <c r="CY24" s="19"/>
      <c r="CZ24" s="6"/>
      <c r="DA24" s="40"/>
      <c r="DB24" s="6"/>
      <c r="DC24" s="6"/>
      <c r="DD24" s="6"/>
      <c r="DE24" s="6"/>
      <c r="DF24" s="6"/>
      <c r="DG24" s="6"/>
      <c r="DH24" s="42"/>
      <c r="DI24" s="42"/>
      <c r="DJ24" s="42"/>
      <c r="DK24" s="42"/>
      <c r="DL24" s="42"/>
      <c r="DM24" s="42"/>
      <c r="DN24" s="42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</row>
    <row r="25" spans="1:229">
      <c r="A25" s="36"/>
      <c r="B25" s="7"/>
      <c r="C25" s="7"/>
      <c r="D25" s="7"/>
      <c r="E25" s="55"/>
      <c r="F25" s="156" t="s">
        <v>121</v>
      </c>
      <c r="G25" s="55">
        <f>SUMPRODUCT(R6:R17,T22:T33)/SUMPRODUCT(Q6:Q17,L22:L33)</f>
        <v>0.31689904400936747</v>
      </c>
      <c r="H25" s="6"/>
      <c r="I25">
        <v>1</v>
      </c>
      <c r="J25">
        <v>4</v>
      </c>
      <c r="K25" s="6"/>
      <c r="L25" s="144">
        <f t="shared" si="10"/>
        <v>31606.879841511989</v>
      </c>
      <c r="M25" s="87"/>
      <c r="N25" s="107">
        <f>Inputs!C$14/12*T9+Inputs!C$16*L25</f>
        <v>2528.5503873209591</v>
      </c>
      <c r="O25" s="107">
        <f>Inputs!C$10*L25</f>
        <v>790.17199603779977</v>
      </c>
      <c r="P25" s="107">
        <f>(Inputs!C$8+Inputs!C$11)*L25</f>
        <v>5373.1695730570382</v>
      </c>
      <c r="Q25" s="107"/>
      <c r="R25" s="107">
        <f t="shared" si="11"/>
        <v>102.46892650983858</v>
      </c>
      <c r="S25" s="128">
        <f t="shared" si="8"/>
        <v>102.46892650983858</v>
      </c>
      <c r="T25" s="104">
        <f t="shared" si="9"/>
        <v>9618.5284179914761</v>
      </c>
      <c r="U25" s="104">
        <f>V9*Inputs!C$17</f>
        <v>16.03088069665246</v>
      </c>
      <c r="V25" s="214">
        <f t="shared" si="12"/>
        <v>13382.8975129179</v>
      </c>
      <c r="W25" s="91"/>
      <c r="X25" s="6"/>
      <c r="Y25" s="91"/>
      <c r="Z25" s="6"/>
      <c r="AA25" s="92"/>
      <c r="AB25" s="92"/>
      <c r="AC25" s="87"/>
      <c r="AD25" s="87"/>
      <c r="AE25" s="87"/>
      <c r="AF25" s="87"/>
      <c r="AG25" s="87"/>
      <c r="AH25" s="87"/>
      <c r="AI25" s="87"/>
      <c r="AJ25" s="87"/>
      <c r="AK25" s="87"/>
      <c r="AL25" s="93"/>
      <c r="AM25" s="94"/>
      <c r="AN25" s="94"/>
      <c r="AO25" s="6"/>
      <c r="AP25" s="6"/>
      <c r="AQ25" s="6"/>
      <c r="AR25" s="6"/>
      <c r="AS25" s="6"/>
      <c r="AT25" s="8"/>
      <c r="AU25" s="8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42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20"/>
      <c r="CV25" s="43"/>
      <c r="CW25" s="43"/>
      <c r="CX25" s="6"/>
      <c r="CY25" s="19"/>
      <c r="CZ25" s="6"/>
      <c r="DA25" s="40"/>
      <c r="DB25" s="6"/>
      <c r="DC25" s="6"/>
      <c r="DD25" s="6"/>
      <c r="DE25" s="6"/>
      <c r="DF25" s="6"/>
      <c r="DG25" s="6"/>
      <c r="DH25" s="42"/>
      <c r="DI25" s="42"/>
      <c r="DJ25" s="42"/>
      <c r="DK25" s="42"/>
      <c r="DL25" s="42"/>
      <c r="DM25" s="42"/>
      <c r="DN25" s="42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</row>
    <row r="26" spans="1:229">
      <c r="A26" s="7"/>
      <c r="B26" s="7"/>
      <c r="C26" s="7"/>
      <c r="D26" s="7"/>
      <c r="E26" s="86"/>
      <c r="F26" s="83"/>
      <c r="G26" s="55"/>
      <c r="H26" s="6"/>
      <c r="I26">
        <v>1</v>
      </c>
      <c r="J26">
        <v>5</v>
      </c>
      <c r="K26" s="6"/>
      <c r="L26" s="144">
        <f t="shared" si="10"/>
        <v>31483.842013428621</v>
      </c>
      <c r="M26" s="87"/>
      <c r="N26" s="107">
        <f>Inputs!C$14/12*T10+Inputs!C$16*L26</f>
        <v>2518.7073610742896</v>
      </c>
      <c r="O26" s="107">
        <f>Inputs!C$10*L26</f>
        <v>787.09605033571552</v>
      </c>
      <c r="P26" s="107">
        <f>(Inputs!C$8+Inputs!C$11)*L26</f>
        <v>5352.2531422828661</v>
      </c>
      <c r="Q26" s="107"/>
      <c r="R26" s="107">
        <f t="shared" si="11"/>
        <v>102.07004012095669</v>
      </c>
      <c r="S26" s="128">
        <f t="shared" si="8"/>
        <v>102.07004012095669</v>
      </c>
      <c r="T26" s="104">
        <f t="shared" si="9"/>
        <v>9581.0858468853767</v>
      </c>
      <c r="U26" s="104">
        <f>V10*Inputs!C$17</f>
        <v>15.968476411475626</v>
      </c>
      <c r="V26" s="214">
        <f t="shared" si="12"/>
        <v>13330.801176559857</v>
      </c>
      <c r="W26" s="91"/>
      <c r="X26" s="6"/>
      <c r="Y26" s="91"/>
      <c r="Z26" s="6"/>
      <c r="AA26" s="92"/>
      <c r="AB26" s="92"/>
      <c r="AC26" s="87"/>
      <c r="AD26" s="87"/>
      <c r="AE26" s="87"/>
      <c r="AF26" s="87"/>
      <c r="AG26" s="87"/>
      <c r="AH26" s="87"/>
      <c r="AI26" s="87"/>
      <c r="AJ26" s="87"/>
      <c r="AK26" s="87"/>
      <c r="AL26" s="93"/>
      <c r="AM26" s="94"/>
      <c r="AN26" s="94"/>
      <c r="AO26" s="6"/>
      <c r="AP26" s="6"/>
      <c r="AQ26" s="6"/>
      <c r="AR26" s="6"/>
      <c r="AS26" s="6"/>
      <c r="AT26" s="8"/>
      <c r="AU26" s="8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42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20"/>
      <c r="CV26" s="43"/>
      <c r="CW26" s="43"/>
      <c r="CX26" s="6"/>
      <c r="CY26" s="19"/>
      <c r="CZ26" s="6"/>
      <c r="DA26" s="40"/>
      <c r="DB26" s="6"/>
      <c r="DC26" s="6"/>
      <c r="DD26" s="6"/>
      <c r="DE26" s="6"/>
      <c r="DF26" s="6"/>
      <c r="DG26" s="6"/>
      <c r="DH26" s="42"/>
      <c r="DI26" s="42"/>
      <c r="DJ26" s="42"/>
      <c r="DK26" s="42"/>
      <c r="DL26" s="42"/>
      <c r="DM26" s="42"/>
      <c r="DN26" s="42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</row>
    <row r="27" spans="1:229">
      <c r="A27" s="36"/>
      <c r="B27" s="7"/>
      <c r="C27" s="7"/>
      <c r="D27" s="7"/>
      <c r="E27" s="86"/>
      <c r="F27" s="84"/>
      <c r="G27" s="55"/>
      <c r="H27" s="6"/>
      <c r="I27">
        <v>1</v>
      </c>
      <c r="J27">
        <v>6</v>
      </c>
      <c r="K27" s="6"/>
      <c r="L27" s="144">
        <f t="shared" si="10"/>
        <v>31361.283141421125</v>
      </c>
      <c r="M27" s="87"/>
      <c r="N27" s="107">
        <f>Inputs!C$14/12*T11+Inputs!C$16*L27</f>
        <v>2508.9026513136901</v>
      </c>
      <c r="O27" s="107">
        <f>Inputs!C$10*L27</f>
        <v>784.03207853552817</v>
      </c>
      <c r="P27" s="107">
        <f>(Inputs!C$8+Inputs!C$11)*L27</f>
        <v>5331.4181340415917</v>
      </c>
      <c r="Q27" s="107"/>
      <c r="R27" s="107">
        <f t="shared" si="11"/>
        <v>101.67270649891499</v>
      </c>
      <c r="S27" s="128">
        <f t="shared" si="8"/>
        <v>101.67270649891499</v>
      </c>
      <c r="T27" s="104">
        <f t="shared" si="9"/>
        <v>9543.7890305215915</v>
      </c>
      <c r="U27" s="104">
        <f>V11*Inputs!C$17</f>
        <v>15.906315050869319</v>
      </c>
      <c r="V27" s="214">
        <f t="shared" si="12"/>
        <v>13278.907638456767</v>
      </c>
      <c r="W27" s="91"/>
      <c r="X27" s="6"/>
      <c r="Y27" s="91"/>
      <c r="Z27" s="6"/>
      <c r="AA27" s="92"/>
      <c r="AB27" s="92"/>
      <c r="AC27" s="87"/>
      <c r="AD27" s="87"/>
      <c r="AE27" s="87"/>
      <c r="AF27" s="87"/>
      <c r="AG27" s="87"/>
      <c r="AH27" s="87"/>
      <c r="AI27" s="87"/>
      <c r="AJ27" s="87"/>
      <c r="AK27" s="87"/>
      <c r="AL27" s="93"/>
      <c r="AM27" s="94"/>
      <c r="AN27" s="94"/>
      <c r="AO27" s="6"/>
      <c r="AP27" s="6"/>
      <c r="AQ27" s="6"/>
      <c r="AR27" s="6"/>
      <c r="AS27" s="6"/>
      <c r="AT27" s="8"/>
      <c r="AU27" s="8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42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20"/>
      <c r="CV27" s="43"/>
      <c r="CW27" s="43"/>
      <c r="CX27" s="6"/>
      <c r="CY27" s="19"/>
      <c r="CZ27" s="6"/>
      <c r="DA27" s="40"/>
      <c r="DB27" s="6"/>
      <c r="DC27" s="6"/>
      <c r="DD27" s="6"/>
      <c r="DE27" s="6"/>
      <c r="DF27" s="6"/>
      <c r="DG27" s="6"/>
      <c r="DH27" s="42"/>
      <c r="DI27" s="42"/>
      <c r="DJ27" s="42"/>
      <c r="DK27" s="42"/>
      <c r="DL27" s="42"/>
      <c r="DM27" s="42"/>
      <c r="DN27" s="42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</row>
    <row r="28" spans="1:229">
      <c r="A28" s="37"/>
      <c r="B28" s="38"/>
      <c r="C28" s="38"/>
      <c r="D28" s="38"/>
      <c r="E28" s="6"/>
      <c r="F28" s="6"/>
      <c r="G28" s="55"/>
      <c r="H28" s="6"/>
      <c r="I28">
        <v>1</v>
      </c>
      <c r="J28">
        <v>7</v>
      </c>
      <c r="K28" s="6"/>
      <c r="L28" s="144">
        <f t="shared" si="10"/>
        <v>31239.201361031017</v>
      </c>
      <c r="M28" s="87"/>
      <c r="N28" s="107">
        <f>Inputs!C$14/12*T12+Inputs!C$16*L28</f>
        <v>2499.1361088824815</v>
      </c>
      <c r="O28" s="107">
        <f>Inputs!C$10*L28</f>
        <v>780.98003402577547</v>
      </c>
      <c r="P28" s="107">
        <f>(Inputs!C$8+Inputs!C$11)*L28</f>
        <v>5310.6642313752736</v>
      </c>
      <c r="Q28" s="107"/>
      <c r="R28" s="107">
        <f t="shared" si="11"/>
        <v>101.27691959917316</v>
      </c>
      <c r="S28" s="128">
        <f t="shared" si="8"/>
        <v>101.27691959917316</v>
      </c>
      <c r="T28" s="104">
        <f t="shared" si="9"/>
        <v>9506.6374015126748</v>
      </c>
      <c r="U28" s="104">
        <f>V12*Inputs!C$17</f>
        <v>15.844395669187792</v>
      </c>
      <c r="V28" s="214">
        <f t="shared" si="12"/>
        <v>13227.216109164794</v>
      </c>
      <c r="W28" s="91"/>
      <c r="X28" s="6"/>
      <c r="Y28" s="91"/>
      <c r="Z28" s="6"/>
      <c r="AA28" s="92"/>
      <c r="AB28" s="92"/>
      <c r="AC28" s="87"/>
      <c r="AD28" s="87"/>
      <c r="AE28" s="87"/>
      <c r="AF28" s="87"/>
      <c r="AG28" s="87"/>
      <c r="AH28" s="87"/>
      <c r="AI28" s="87"/>
      <c r="AJ28" s="87"/>
      <c r="AK28" s="87"/>
      <c r="AL28" s="93"/>
      <c r="AM28" s="94"/>
      <c r="AN28" s="94"/>
      <c r="AO28" s="6"/>
      <c r="AP28" s="6"/>
      <c r="AQ28" s="6"/>
      <c r="AR28" s="6"/>
      <c r="AS28" s="6"/>
      <c r="AT28" s="8"/>
      <c r="AU28" s="8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42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20"/>
      <c r="CV28" s="43"/>
      <c r="CW28" s="43"/>
      <c r="CX28" s="6"/>
      <c r="CY28" s="19"/>
      <c r="CZ28" s="6"/>
      <c r="DA28" s="40"/>
      <c r="DB28" s="6"/>
      <c r="DC28" s="6"/>
      <c r="DD28" s="6"/>
      <c r="DE28" s="6"/>
      <c r="DF28" s="6"/>
      <c r="DG28" s="6"/>
      <c r="DH28" s="42"/>
      <c r="DI28" s="42"/>
      <c r="DJ28" s="42"/>
      <c r="DK28" s="42"/>
      <c r="DL28" s="42"/>
      <c r="DM28" s="42"/>
      <c r="DN28" s="42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</row>
    <row r="29" spans="1:229">
      <c r="A29" s="7"/>
      <c r="B29" s="55"/>
      <c r="C29" s="54"/>
      <c r="D29" s="55"/>
      <c r="E29" s="55"/>
      <c r="F29" s="83"/>
      <c r="G29" s="55"/>
      <c r="H29" s="95"/>
      <c r="I29">
        <v>1</v>
      </c>
      <c r="J29">
        <v>8</v>
      </c>
      <c r="K29" s="6"/>
      <c r="L29" s="144">
        <f t="shared" si="10"/>
        <v>31117.594815057684</v>
      </c>
      <c r="M29" s="87"/>
      <c r="N29" s="107">
        <f>Inputs!C$14/12*T13+Inputs!C$16*L29</f>
        <v>2489.4075852046149</v>
      </c>
      <c r="O29" s="107">
        <f>Inputs!C$10*L29</f>
        <v>777.93987037644217</v>
      </c>
      <c r="P29" s="107">
        <f>(Inputs!C$8+Inputs!C$11)*L29</f>
        <v>5289.9911185598066</v>
      </c>
      <c r="Q29" s="107"/>
      <c r="R29" s="107">
        <f t="shared" si="11"/>
        <v>100.8826734007208</v>
      </c>
      <c r="S29" s="128">
        <f t="shared" si="8"/>
        <v>100.8826734007208</v>
      </c>
      <c r="T29" s="104">
        <f t="shared" si="9"/>
        <v>9469.6303946798762</v>
      </c>
      <c r="U29" s="104">
        <f>V13*Inputs!C$17</f>
        <v>15.782717324466461</v>
      </c>
      <c r="V29" s="214">
        <f t="shared" si="12"/>
        <v>13175.725802313198</v>
      </c>
      <c r="W29" s="91"/>
      <c r="X29" s="6"/>
      <c r="Y29" s="91"/>
      <c r="Z29" s="6"/>
      <c r="AA29" s="92"/>
      <c r="AB29" s="92"/>
      <c r="AC29" s="87"/>
      <c r="AD29" s="87"/>
      <c r="AE29" s="87"/>
      <c r="AF29" s="87"/>
      <c r="AG29" s="87"/>
      <c r="AH29" s="87"/>
      <c r="AI29" s="87"/>
      <c r="AJ29" s="87"/>
      <c r="AK29" s="87"/>
      <c r="AL29" s="93"/>
      <c r="AM29" s="94"/>
      <c r="AN29" s="94"/>
      <c r="AO29" s="6"/>
      <c r="AP29" s="6"/>
      <c r="AQ29" s="6"/>
      <c r="AR29" s="6"/>
      <c r="AS29" s="6"/>
      <c r="AT29" s="8"/>
      <c r="AU29" s="8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42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20"/>
      <c r="CV29" s="43"/>
      <c r="CW29" s="43"/>
      <c r="CX29" s="6"/>
      <c r="CY29" s="19"/>
      <c r="CZ29" s="6"/>
      <c r="DA29" s="40"/>
      <c r="DB29" s="6"/>
      <c r="DC29" s="6"/>
      <c r="DD29" s="6"/>
      <c r="DE29" s="6"/>
      <c r="DF29" s="6"/>
      <c r="DG29" s="6"/>
      <c r="DH29" s="42"/>
      <c r="DI29" s="42"/>
      <c r="DJ29" s="42"/>
      <c r="DK29" s="42"/>
      <c r="DL29" s="42"/>
      <c r="DM29" s="42"/>
      <c r="DN29" s="42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</row>
    <row r="30" spans="1:229">
      <c r="A30" s="7"/>
      <c r="B30" s="55"/>
      <c r="C30" s="54"/>
      <c r="D30" s="55"/>
      <c r="E30" s="86"/>
      <c r="F30" s="83"/>
      <c r="G30" s="55"/>
      <c r="H30" s="6"/>
      <c r="I30">
        <v>1</v>
      </c>
      <c r="J30">
        <v>9</v>
      </c>
      <c r="K30" s="6"/>
      <c r="L30" s="144">
        <f t="shared" si="10"/>
        <v>30996.461653530161</v>
      </c>
      <c r="M30" s="87"/>
      <c r="N30" s="107">
        <f>Inputs!C$14/12*T14+Inputs!C$16*L30</f>
        <v>2479.7169322824129</v>
      </c>
      <c r="O30" s="107">
        <f>Inputs!C$10*L30</f>
        <v>774.9115413382541</v>
      </c>
      <c r="P30" s="107">
        <f>(Inputs!C$8+Inputs!C$11)*L30</f>
        <v>5269.3984811001274</v>
      </c>
      <c r="Q30" s="107"/>
      <c r="R30" s="107">
        <f t="shared" si="11"/>
        <v>100.48996190598585</v>
      </c>
      <c r="S30" s="128">
        <f t="shared" si="8"/>
        <v>100.48996190598585</v>
      </c>
      <c r="T30" s="104">
        <f t="shared" si="9"/>
        <v>9432.7674470445509</v>
      </c>
      <c r="U30" s="104">
        <f>V14*Inputs!C$17</f>
        <v>15.721279078407585</v>
      </c>
      <c r="V30" s="214">
        <f t="shared" si="12"/>
        <v>13124.435934592397</v>
      </c>
      <c r="W30" s="91"/>
      <c r="X30" s="6"/>
      <c r="Y30" s="91"/>
      <c r="Z30" s="6"/>
      <c r="AA30" s="92"/>
      <c r="AB30" s="92"/>
      <c r="AC30" s="87"/>
      <c r="AD30" s="87"/>
      <c r="AE30" s="87"/>
      <c r="AF30" s="87"/>
      <c r="AG30" s="87"/>
      <c r="AH30" s="87"/>
      <c r="AI30" s="87"/>
      <c r="AJ30" s="87"/>
      <c r="AK30" s="87"/>
      <c r="AL30" s="93"/>
      <c r="AM30" s="94"/>
      <c r="AN30" s="94"/>
      <c r="AO30" s="6"/>
      <c r="AP30" s="6"/>
      <c r="AQ30" s="6"/>
      <c r="AR30" s="6"/>
      <c r="AS30" s="6"/>
      <c r="AT30" s="8"/>
      <c r="AU30" s="8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42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20"/>
      <c r="CV30" s="43"/>
      <c r="CW30" s="43"/>
      <c r="CX30" s="6"/>
      <c r="CY30" s="19"/>
      <c r="CZ30" s="6"/>
      <c r="DA30" s="40"/>
      <c r="DB30" s="6"/>
      <c r="DC30" s="6"/>
      <c r="DD30" s="6"/>
      <c r="DE30" s="6"/>
      <c r="DF30" s="6"/>
      <c r="DG30" s="6"/>
      <c r="DH30" s="42"/>
      <c r="DI30" s="42"/>
      <c r="DJ30" s="42"/>
      <c r="DK30" s="42"/>
      <c r="DL30" s="42"/>
      <c r="DM30" s="42"/>
      <c r="DN30" s="42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</row>
    <row r="31" spans="1:229">
      <c r="A31" s="7"/>
      <c r="B31" s="55"/>
      <c r="C31" s="55"/>
      <c r="D31" s="55"/>
      <c r="E31" s="6"/>
      <c r="F31" s="83"/>
      <c r="G31" s="6"/>
      <c r="H31" s="6"/>
      <c r="I31">
        <v>1</v>
      </c>
      <c r="J31">
        <v>10</v>
      </c>
      <c r="K31" s="6"/>
      <c r="L31" s="144">
        <f t="shared" si="10"/>
        <v>30875.800033678941</v>
      </c>
      <c r="M31" s="87"/>
      <c r="N31" s="107">
        <f>Inputs!C$14/12*T15+Inputs!C$16*L31</f>
        <v>2470.0640026943151</v>
      </c>
      <c r="O31" s="107">
        <f>Inputs!C$10*L31</f>
        <v>771.89500084197357</v>
      </c>
      <c r="P31" s="107">
        <f>(Inputs!C$8+Inputs!C$11)*L31</f>
        <v>5248.8860057254205</v>
      </c>
      <c r="Q31" s="107"/>
      <c r="R31" s="107">
        <f t="shared" si="11"/>
        <v>100.09877914074326</v>
      </c>
      <c r="S31" s="128">
        <f t="shared" si="8"/>
        <v>100.09877914074326</v>
      </c>
      <c r="T31" s="104">
        <f t="shared" si="9"/>
        <v>9396.047997819589</v>
      </c>
      <c r="U31" s="104">
        <f>V15*Inputs!C$17</f>
        <v>15.660079996365983</v>
      </c>
      <c r="V31" s="214">
        <f t="shared" si="12"/>
        <v>13073.34572574202</v>
      </c>
      <c r="W31" s="91"/>
      <c r="X31" s="6"/>
      <c r="Y31" s="91"/>
      <c r="Z31" s="6"/>
      <c r="AA31" s="92"/>
      <c r="AB31" s="92"/>
      <c r="AC31" s="87"/>
      <c r="AD31" s="87"/>
      <c r="AE31" s="87"/>
      <c r="AF31" s="87"/>
      <c r="AG31" s="87"/>
      <c r="AH31" s="87"/>
      <c r="AI31" s="87"/>
      <c r="AJ31" s="87"/>
      <c r="AK31" s="87"/>
      <c r="AL31" s="93"/>
      <c r="AM31" s="94"/>
      <c r="AN31" s="94"/>
      <c r="AO31" s="6"/>
      <c r="AP31" s="6"/>
      <c r="AQ31" s="6"/>
      <c r="AR31" s="6"/>
      <c r="AS31" s="6"/>
      <c r="AT31" s="8"/>
      <c r="AU31" s="8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42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20"/>
      <c r="CV31" s="43"/>
      <c r="CW31" s="43"/>
      <c r="CX31" s="6"/>
      <c r="CY31" s="19"/>
      <c r="CZ31" s="6"/>
      <c r="DA31" s="40"/>
      <c r="DB31" s="6"/>
      <c r="DC31" s="6"/>
      <c r="DD31" s="6"/>
      <c r="DE31" s="6"/>
      <c r="DF31" s="6"/>
      <c r="DG31" s="6"/>
      <c r="DH31" s="42"/>
      <c r="DI31" s="42"/>
      <c r="DJ31" s="42"/>
      <c r="DK31" s="42"/>
      <c r="DL31" s="42"/>
      <c r="DM31" s="42"/>
      <c r="DN31" s="42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</row>
    <row r="32" spans="1:229">
      <c r="A32" s="7"/>
      <c r="B32" s="55"/>
      <c r="C32" s="56"/>
      <c r="D32" s="55"/>
      <c r="E32" s="86"/>
      <c r="F32" s="83"/>
      <c r="G32" s="55"/>
      <c r="H32" s="6"/>
      <c r="I32">
        <v>1</v>
      </c>
      <c r="J32">
        <v>11</v>
      </c>
      <c r="K32" s="6"/>
      <c r="L32" s="144">
        <f t="shared" si="10"/>
        <v>30755.608119907978</v>
      </c>
      <c r="M32" s="87"/>
      <c r="N32" s="107">
        <f>Inputs!C$14/12*T16+Inputs!C$16*L32</f>
        <v>2460.4486495926385</v>
      </c>
      <c r="O32" s="107">
        <f>Inputs!C$10*L32</f>
        <v>768.89020299769948</v>
      </c>
      <c r="P32" s="107">
        <f>(Inputs!C$8+Inputs!C$11)*L32</f>
        <v>5228.4533803843569</v>
      </c>
      <c r="Q32" s="107"/>
      <c r="R32" s="107">
        <f t="shared" si="11"/>
        <v>99.709119154024236</v>
      </c>
      <c r="S32" s="128">
        <f t="shared" si="8"/>
        <v>99.709119154024236</v>
      </c>
      <c r="T32" s="104">
        <f t="shared" si="9"/>
        <v>9359.4714884008899</v>
      </c>
      <c r="U32" s="104">
        <f>V16*Inputs!C$17</f>
        <v>15.599119147334816</v>
      </c>
      <c r="V32" s="214">
        <f t="shared" si="12"/>
        <v>13022.454398539083</v>
      </c>
      <c r="W32" s="6"/>
      <c r="X32" s="6"/>
      <c r="Y32" s="91"/>
      <c r="Z32" s="6"/>
      <c r="AA32" s="92"/>
      <c r="AB32" s="92"/>
      <c r="AC32" s="87"/>
      <c r="AD32" s="87"/>
      <c r="AE32" s="87"/>
      <c r="AF32" s="87"/>
      <c r="AG32" s="87"/>
      <c r="AH32" s="87"/>
      <c r="AI32" s="87"/>
      <c r="AJ32" s="87"/>
      <c r="AK32" s="87"/>
      <c r="AL32" s="93"/>
      <c r="AM32" s="94"/>
      <c r="AN32" s="94"/>
      <c r="AO32" s="6"/>
      <c r="AP32" s="6"/>
      <c r="AQ32" s="6"/>
      <c r="AR32" s="6"/>
      <c r="AS32" s="6"/>
      <c r="AT32" s="8"/>
      <c r="AU32" s="8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42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20"/>
      <c r="CV32" s="43"/>
      <c r="CW32" s="43"/>
      <c r="CX32" s="6"/>
      <c r="CY32" s="19"/>
      <c r="CZ32" s="6"/>
      <c r="DA32" s="40"/>
      <c r="DB32" s="6"/>
      <c r="DC32" s="6"/>
      <c r="DD32" s="6"/>
      <c r="DE32" s="6"/>
      <c r="DF32" s="6"/>
      <c r="DG32" s="6"/>
      <c r="DH32" s="42"/>
      <c r="DI32" s="42"/>
      <c r="DJ32" s="42"/>
      <c r="DK32" s="42"/>
      <c r="DL32" s="42"/>
      <c r="DM32" s="42"/>
      <c r="DN32" s="42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</row>
    <row r="33" spans="2:229">
      <c r="B33" s="6"/>
      <c r="C33" s="6"/>
      <c r="D33" s="6"/>
      <c r="E33" s="86"/>
      <c r="F33" s="83"/>
      <c r="G33" s="55"/>
      <c r="H33" s="6"/>
      <c r="I33" s="5">
        <f>IF(K33=1,I32+1,I32)</f>
        <v>1</v>
      </c>
      <c r="J33" s="5">
        <v>12</v>
      </c>
      <c r="K33" s="6"/>
      <c r="L33" s="144">
        <f t="shared" si="10"/>
        <v>30635.884083766749</v>
      </c>
      <c r="M33" s="87"/>
      <c r="N33" s="107">
        <f>Inputs!C$14/12*T17+Inputs!C$16*L33</f>
        <v>2450.8707267013401</v>
      </c>
      <c r="O33" s="107">
        <f>Inputs!C$10*L33</f>
        <v>765.89710209416876</v>
      </c>
      <c r="P33" s="107">
        <f>(Inputs!C$8+Inputs!C$11)*L33</f>
        <v>5208.1002942403475</v>
      </c>
      <c r="Q33" s="107"/>
      <c r="R33" s="107">
        <f t="shared" si="11"/>
        <v>99.32097601802559</v>
      </c>
      <c r="S33" s="128">
        <f t="shared" si="8"/>
        <v>99.32097601802559</v>
      </c>
      <c r="T33" s="104">
        <f t="shared" si="9"/>
        <v>9323.0373623588566</v>
      </c>
      <c r="U33" s="104">
        <f>V17*Inputs!C$17</f>
        <v>15.538395603931427</v>
      </c>
      <c r="V33" s="214">
        <f t="shared" si="12"/>
        <v>12971.76117878613</v>
      </c>
      <c r="W33" s="6"/>
      <c r="X33" s="6"/>
      <c r="Y33" s="91"/>
      <c r="Z33" s="6"/>
      <c r="AA33" s="92"/>
      <c r="AB33" s="92"/>
      <c r="AC33" s="87"/>
      <c r="AD33" s="87"/>
      <c r="AE33" s="87"/>
      <c r="AF33" s="87"/>
      <c r="AG33" s="87"/>
      <c r="AH33" s="87"/>
      <c r="AI33" s="87"/>
      <c r="AJ33" s="87"/>
      <c r="AK33" s="87"/>
      <c r="AL33" s="93"/>
      <c r="AM33" s="94"/>
      <c r="AN33" s="94"/>
      <c r="AO33" s="6"/>
      <c r="AP33" s="6"/>
      <c r="AQ33" s="6"/>
      <c r="AR33" s="6"/>
      <c r="AS33" s="6"/>
      <c r="AT33" s="8"/>
      <c r="AU33" s="8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42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20"/>
      <c r="CV33" s="43"/>
      <c r="CW33" s="43"/>
      <c r="CX33" s="6"/>
      <c r="CY33" s="19"/>
      <c r="CZ33" s="6"/>
      <c r="DA33" s="40"/>
      <c r="DB33" s="6"/>
      <c r="DC33" s="6"/>
      <c r="DD33" s="6"/>
      <c r="DE33" s="6"/>
      <c r="DF33" s="6"/>
      <c r="DG33" s="6"/>
      <c r="DH33" s="42"/>
      <c r="DI33" s="42"/>
      <c r="DJ33" s="42"/>
      <c r="DK33" s="42"/>
      <c r="DL33" s="42"/>
      <c r="DM33" s="42"/>
      <c r="DN33" s="42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</row>
    <row r="34" spans="2:229">
      <c r="B34" s="6"/>
      <c r="C34" s="6"/>
      <c r="D34" s="6"/>
      <c r="E34" s="86"/>
      <c r="F34" s="83"/>
      <c r="G34" s="55"/>
      <c r="H34" s="6"/>
      <c r="I34" s="6"/>
      <c r="J34" s="6"/>
      <c r="K34" s="6"/>
      <c r="L34" s="87"/>
      <c r="M34" s="87"/>
      <c r="N34" s="87"/>
      <c r="O34" s="87"/>
      <c r="P34" s="87"/>
      <c r="Q34" s="87"/>
      <c r="R34" s="87"/>
      <c r="S34" s="93"/>
      <c r="T34" s="94"/>
      <c r="U34" s="94"/>
      <c r="V34" s="6"/>
      <c r="W34" s="6"/>
      <c r="X34" s="6"/>
      <c r="Y34" s="91"/>
      <c r="Z34" s="6"/>
      <c r="AA34" s="92"/>
      <c r="AB34" s="92"/>
      <c r="AC34" s="87"/>
      <c r="AD34" s="87"/>
      <c r="AE34" s="87"/>
      <c r="AF34" s="87"/>
      <c r="AG34" s="87"/>
      <c r="AH34" s="87"/>
      <c r="AI34" s="87"/>
      <c r="AJ34" s="87"/>
      <c r="AK34" s="87"/>
      <c r="AL34" s="93"/>
      <c r="AM34" s="94"/>
      <c r="AN34" s="94"/>
      <c r="AO34" s="6"/>
      <c r="AP34" s="6"/>
      <c r="AQ34" s="6"/>
      <c r="AR34" s="6"/>
      <c r="AS34" s="6"/>
      <c r="AT34" s="8"/>
      <c r="AU34" s="8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42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20"/>
      <c r="CV34" s="43"/>
      <c r="CW34" s="43"/>
      <c r="CX34" s="6"/>
      <c r="CY34" s="19"/>
      <c r="CZ34" s="6"/>
      <c r="DA34" s="40"/>
      <c r="DB34" s="6"/>
      <c r="DC34" s="6"/>
      <c r="DD34" s="6"/>
      <c r="DE34" s="6"/>
      <c r="DF34" s="6"/>
      <c r="DG34" s="6"/>
      <c r="DH34" s="42"/>
      <c r="DI34" s="42"/>
      <c r="DJ34" s="42"/>
      <c r="DK34" s="42"/>
      <c r="DL34" s="42"/>
      <c r="DM34" s="42"/>
      <c r="DN34" s="42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</row>
    <row r="35" spans="2:229">
      <c r="B35" s="6"/>
      <c r="C35" s="6"/>
      <c r="D35" s="6"/>
      <c r="E35" s="86"/>
      <c r="F35" s="83"/>
      <c r="G35" s="55"/>
      <c r="H35" s="6"/>
      <c r="I35" s="6"/>
      <c r="J35" s="6"/>
      <c r="K35" s="6"/>
      <c r="L35" s="88"/>
      <c r="M35" s="83"/>
      <c r="N35" s="89"/>
      <c r="O35" s="89"/>
      <c r="P35" s="89"/>
      <c r="Q35" s="89"/>
      <c r="R35" s="89"/>
      <c r="S35" s="6"/>
      <c r="T35" s="90"/>
      <c r="U35" s="84"/>
      <c r="V35" s="6"/>
      <c r="W35" s="6"/>
      <c r="X35" s="6"/>
      <c r="Y35" s="91"/>
      <c r="Z35" s="6"/>
      <c r="AA35" s="92"/>
      <c r="AB35" s="92"/>
      <c r="AC35" s="87"/>
      <c r="AD35" s="87"/>
      <c r="AE35" s="87"/>
      <c r="AF35" s="87"/>
      <c r="AG35" s="87"/>
      <c r="AH35" s="87"/>
      <c r="AI35" s="87"/>
      <c r="AJ35" s="87"/>
      <c r="AK35" s="87"/>
      <c r="AL35" s="93"/>
      <c r="AM35" s="94"/>
      <c r="AN35" s="94"/>
      <c r="AO35" s="6"/>
      <c r="AP35" s="6"/>
      <c r="AQ35" s="6"/>
      <c r="AR35" s="6"/>
      <c r="AS35" s="6"/>
      <c r="AT35" s="8"/>
      <c r="AU35" s="8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42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20"/>
      <c r="CV35" s="43"/>
      <c r="CW35" s="43"/>
      <c r="CX35" s="6"/>
      <c r="CY35" s="19"/>
      <c r="CZ35" s="6"/>
      <c r="DA35" s="40"/>
      <c r="DB35" s="6"/>
      <c r="DC35" s="6"/>
      <c r="DD35" s="6"/>
      <c r="DE35" s="6"/>
      <c r="DF35" s="6"/>
      <c r="DG35" s="6"/>
      <c r="DH35" s="42"/>
      <c r="DI35" s="42"/>
      <c r="DJ35" s="42"/>
      <c r="DK35" s="42"/>
      <c r="DL35" s="42"/>
      <c r="DM35" s="42"/>
      <c r="DN35" s="42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</row>
    <row r="36" spans="2:229">
      <c r="B36" s="6"/>
      <c r="C36" s="6"/>
      <c r="D36" s="6"/>
      <c r="E36" s="55"/>
      <c r="F36" s="83"/>
      <c r="G36" s="55"/>
      <c r="H36" s="6"/>
      <c r="I36" s="6"/>
      <c r="J36" s="6"/>
      <c r="K36" s="6"/>
      <c r="L36" s="88"/>
      <c r="M36" s="83"/>
      <c r="N36" s="89"/>
      <c r="O36" s="89"/>
      <c r="P36" s="89"/>
      <c r="Q36" s="89"/>
      <c r="R36" s="89"/>
      <c r="S36" s="6"/>
      <c r="T36" s="90"/>
      <c r="U36" s="84"/>
      <c r="V36" s="6"/>
      <c r="W36" s="6"/>
      <c r="X36" s="6"/>
      <c r="Y36" s="91"/>
      <c r="Z36" s="6"/>
      <c r="AA36" s="92"/>
      <c r="AB36" s="92"/>
      <c r="AC36" s="87"/>
      <c r="AD36" s="87"/>
      <c r="AE36" s="87"/>
      <c r="AF36" s="87"/>
      <c r="AG36" s="87"/>
      <c r="AH36" s="87"/>
      <c r="AI36" s="87"/>
      <c r="AJ36" s="87"/>
      <c r="AK36" s="87"/>
      <c r="AL36" s="93"/>
      <c r="AM36" s="94"/>
      <c r="AN36" s="94"/>
      <c r="AO36" s="6"/>
      <c r="AP36" s="6"/>
      <c r="AQ36" s="6"/>
      <c r="AR36" s="6"/>
      <c r="AS36" s="6"/>
      <c r="AT36" s="8"/>
      <c r="AU36" s="8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42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20"/>
      <c r="CV36" s="43"/>
      <c r="CW36" s="43"/>
      <c r="CX36" s="6"/>
      <c r="CY36" s="19"/>
      <c r="CZ36" s="6"/>
      <c r="DA36" s="40"/>
      <c r="DB36" s="6"/>
      <c r="DC36" s="6"/>
      <c r="DD36" s="6"/>
      <c r="DE36" s="6"/>
      <c r="DF36" s="6"/>
      <c r="DG36" s="6"/>
      <c r="DH36" s="42"/>
      <c r="DI36" s="42"/>
      <c r="DJ36" s="42"/>
      <c r="DK36" s="42"/>
      <c r="DL36" s="42"/>
      <c r="DM36" s="42"/>
      <c r="DN36" s="42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</row>
    <row r="37" spans="2:229">
      <c r="B37" s="6"/>
      <c r="C37" s="6"/>
      <c r="D37" s="6"/>
      <c r="E37" s="55"/>
      <c r="F37" s="83"/>
      <c r="G37" s="55"/>
      <c r="H37" s="6"/>
      <c r="I37" s="6"/>
      <c r="J37" s="6"/>
      <c r="K37" s="6"/>
      <c r="L37" s="88"/>
      <c r="M37" s="83"/>
      <c r="N37" s="89"/>
      <c r="O37" s="89"/>
      <c r="P37" s="89"/>
      <c r="Q37" s="89"/>
      <c r="R37" s="89"/>
      <c r="S37" s="6"/>
      <c r="T37" s="90"/>
      <c r="U37" s="84"/>
      <c r="V37" s="6"/>
      <c r="W37" s="6"/>
      <c r="X37" s="6"/>
      <c r="Y37" s="91"/>
      <c r="Z37" s="6"/>
      <c r="AA37" s="92"/>
      <c r="AB37" s="92"/>
      <c r="AC37" s="87"/>
      <c r="AD37" s="87"/>
      <c r="AE37" s="87"/>
      <c r="AF37" s="87"/>
      <c r="AG37" s="87"/>
      <c r="AH37" s="87"/>
      <c r="AI37" s="87"/>
      <c r="AJ37" s="87"/>
      <c r="AK37" s="87"/>
      <c r="AL37" s="93"/>
      <c r="AM37" s="94"/>
      <c r="AN37" s="94"/>
      <c r="AO37" s="6"/>
      <c r="AP37" s="6"/>
      <c r="AQ37" s="6"/>
      <c r="AR37" s="6"/>
      <c r="AS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42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20"/>
      <c r="CV37" s="43"/>
      <c r="CW37" s="43"/>
      <c r="CX37" s="6"/>
      <c r="CY37" s="19"/>
      <c r="CZ37" s="6"/>
      <c r="DA37" s="40"/>
      <c r="DB37" s="6"/>
      <c r="DC37" s="6"/>
      <c r="DD37" s="6"/>
      <c r="DE37" s="6"/>
      <c r="DF37" s="6"/>
      <c r="DG37" s="6"/>
      <c r="DH37" s="42"/>
      <c r="DI37" s="42"/>
      <c r="DJ37" s="42"/>
      <c r="DK37" s="42"/>
      <c r="DL37" s="42"/>
      <c r="DM37" s="42"/>
      <c r="DN37" s="42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</row>
    <row r="38" spans="2:229">
      <c r="B38" s="6"/>
      <c r="C38" s="6"/>
      <c r="D38" s="6"/>
      <c r="E38" s="86"/>
      <c r="F38" s="83"/>
      <c r="G38" s="55"/>
      <c r="H38" s="6"/>
      <c r="I38" s="6"/>
      <c r="J38" s="6"/>
      <c r="K38" s="6"/>
      <c r="L38" s="88"/>
      <c r="M38" s="83"/>
      <c r="N38" s="89"/>
      <c r="O38" s="89"/>
      <c r="P38" s="89"/>
      <c r="Q38" s="89"/>
      <c r="R38" s="89"/>
      <c r="S38" s="6"/>
      <c r="T38" s="90"/>
      <c r="U38" s="84"/>
      <c r="V38" s="6"/>
      <c r="W38" s="6"/>
      <c r="X38" s="6"/>
      <c r="Y38" s="91"/>
      <c r="Z38" s="6"/>
      <c r="AA38" s="92"/>
      <c r="AB38" s="92"/>
      <c r="AC38" s="87"/>
      <c r="AD38" s="87"/>
      <c r="AE38" s="87"/>
      <c r="AF38" s="87"/>
      <c r="AG38" s="87"/>
      <c r="AH38" s="87"/>
      <c r="AI38" s="87"/>
      <c r="AJ38" s="87"/>
      <c r="AK38" s="87"/>
      <c r="AL38" s="93"/>
      <c r="AM38" s="94"/>
      <c r="AN38" s="94"/>
      <c r="AO38" s="6"/>
      <c r="AP38" s="6"/>
      <c r="AQ38" s="6"/>
      <c r="AR38" s="6"/>
      <c r="AS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42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20"/>
      <c r="CV38" s="43"/>
      <c r="CW38" s="43"/>
      <c r="CX38" s="6"/>
      <c r="CY38" s="19"/>
      <c r="CZ38" s="6"/>
      <c r="DA38" s="40"/>
      <c r="DB38" s="6"/>
      <c r="DC38" s="6"/>
      <c r="DD38" s="6"/>
      <c r="DE38" s="6"/>
      <c r="DF38" s="6"/>
      <c r="DG38" s="6"/>
      <c r="DH38" s="42"/>
      <c r="DI38" s="42"/>
      <c r="DJ38" s="42"/>
      <c r="DK38" s="42"/>
      <c r="DL38" s="42"/>
      <c r="DM38" s="42"/>
      <c r="DN38" s="42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</row>
    <row r="39" spans="2:229">
      <c r="B39" s="6"/>
      <c r="C39" s="6"/>
      <c r="D39" s="6"/>
      <c r="E39" s="86"/>
      <c r="F39" s="84"/>
      <c r="G39" s="55"/>
      <c r="H39" s="6"/>
      <c r="I39" s="6"/>
      <c r="J39" s="6"/>
      <c r="K39" s="6"/>
      <c r="L39" s="88"/>
      <c r="M39" s="83"/>
      <c r="N39" s="89"/>
      <c r="O39" s="89"/>
      <c r="P39" s="89"/>
      <c r="Q39" s="89"/>
      <c r="R39" s="89"/>
      <c r="S39" s="6"/>
      <c r="T39" s="90"/>
      <c r="U39" s="84"/>
      <c r="V39" s="6"/>
      <c r="W39" s="6"/>
      <c r="X39" s="6"/>
      <c r="Y39" s="91"/>
      <c r="Z39" s="6"/>
      <c r="AA39" s="92"/>
      <c r="AB39" s="92"/>
      <c r="AC39" s="87"/>
      <c r="AD39" s="87"/>
      <c r="AE39" s="87"/>
      <c r="AF39" s="87"/>
      <c r="AG39" s="87"/>
      <c r="AH39" s="87"/>
      <c r="AI39" s="87"/>
      <c r="AJ39" s="87"/>
      <c r="AK39" s="87"/>
      <c r="AL39" s="93"/>
      <c r="AM39" s="94"/>
      <c r="AN39" s="94"/>
      <c r="AO39" s="6"/>
      <c r="AP39" s="6"/>
      <c r="AQ39" s="6"/>
      <c r="AR39" s="6"/>
      <c r="AS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42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20"/>
      <c r="CV39" s="43"/>
      <c r="CW39" s="43"/>
      <c r="CX39" s="6"/>
      <c r="CY39" s="19"/>
      <c r="CZ39" s="6"/>
      <c r="DA39" s="40"/>
      <c r="DB39" s="6"/>
      <c r="DC39" s="6"/>
      <c r="DD39" s="6"/>
      <c r="DE39" s="6"/>
      <c r="DF39" s="6"/>
      <c r="DG39" s="6"/>
      <c r="DH39" s="42"/>
      <c r="DI39" s="42"/>
      <c r="DJ39" s="42"/>
      <c r="DK39" s="42"/>
      <c r="DL39" s="42"/>
      <c r="DM39" s="42"/>
      <c r="DN39" s="42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</row>
    <row r="40" spans="2:229">
      <c r="B40" s="6"/>
      <c r="C40" s="6"/>
      <c r="D40" s="6"/>
      <c r="E40" s="6"/>
      <c r="F40" s="6"/>
      <c r="G40" s="55"/>
      <c r="H40" s="6"/>
      <c r="I40" s="6"/>
      <c r="J40" s="6"/>
      <c r="K40" s="6"/>
      <c r="L40" s="88"/>
      <c r="M40" s="83"/>
      <c r="N40" s="89"/>
      <c r="O40" s="89"/>
      <c r="P40" s="89"/>
      <c r="Q40" s="89"/>
      <c r="R40" s="89"/>
      <c r="S40" s="6"/>
      <c r="T40" s="90"/>
      <c r="U40" s="84"/>
      <c r="V40" s="6"/>
      <c r="W40" s="6"/>
      <c r="X40" s="6"/>
      <c r="Y40" s="91"/>
      <c r="Z40" s="6"/>
      <c r="AA40" s="92"/>
      <c r="AB40" s="92"/>
      <c r="AC40" s="87"/>
      <c r="AD40" s="87"/>
      <c r="AE40" s="87"/>
      <c r="AF40" s="87"/>
      <c r="AG40" s="87"/>
      <c r="AH40" s="87"/>
      <c r="AI40" s="87"/>
      <c r="AJ40" s="87"/>
      <c r="AK40" s="87"/>
      <c r="AL40" s="93"/>
      <c r="AM40" s="94"/>
      <c r="AN40" s="94"/>
      <c r="AO40" s="6"/>
      <c r="AP40" s="6"/>
      <c r="AQ40" s="6"/>
      <c r="AR40" s="6"/>
      <c r="AS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42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20"/>
      <c r="CV40" s="43"/>
      <c r="CW40" s="43"/>
      <c r="CX40" s="6"/>
      <c r="CY40" s="19"/>
      <c r="CZ40" s="6"/>
      <c r="DA40" s="40"/>
      <c r="DB40" s="6"/>
      <c r="DC40" s="6"/>
      <c r="DD40" s="6"/>
      <c r="DE40" s="6"/>
      <c r="DF40" s="6"/>
      <c r="DG40" s="6"/>
      <c r="DH40" s="42"/>
      <c r="DI40" s="42"/>
      <c r="DJ40" s="42"/>
      <c r="DK40" s="42"/>
      <c r="DL40" s="42"/>
      <c r="DM40" s="42"/>
      <c r="DN40" s="42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</row>
    <row r="41" spans="2:229">
      <c r="B41" s="6"/>
      <c r="C41" s="6"/>
      <c r="D41" s="6"/>
      <c r="E41" s="6"/>
      <c r="F41" s="83"/>
      <c r="G41" s="55"/>
      <c r="H41" s="95"/>
      <c r="I41" s="6"/>
      <c r="J41" s="6"/>
      <c r="K41" s="6"/>
      <c r="L41" s="88"/>
      <c r="M41" s="83"/>
      <c r="N41" s="89"/>
      <c r="O41" s="89"/>
      <c r="P41" s="89"/>
      <c r="Q41" s="89"/>
      <c r="R41" s="89"/>
      <c r="S41" s="6"/>
      <c r="T41" s="90"/>
      <c r="U41" s="84"/>
      <c r="V41" s="6"/>
      <c r="W41" s="6"/>
      <c r="X41" s="6"/>
      <c r="Y41" s="91"/>
      <c r="Z41" s="6"/>
      <c r="AA41" s="92"/>
      <c r="AB41" s="92"/>
      <c r="AC41" s="87"/>
      <c r="AD41" s="87"/>
      <c r="AE41" s="87"/>
      <c r="AF41" s="87"/>
      <c r="AG41" s="87"/>
      <c r="AH41" s="87"/>
      <c r="AI41" s="87"/>
      <c r="AJ41" s="87"/>
      <c r="AK41" s="87"/>
      <c r="AL41" s="93"/>
      <c r="AM41" s="94"/>
      <c r="AN41" s="94"/>
      <c r="AO41" s="6"/>
      <c r="AP41" s="6"/>
      <c r="AQ41" s="6"/>
      <c r="AR41" s="6"/>
      <c r="AS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42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20"/>
      <c r="CV41" s="43"/>
      <c r="CW41" s="43"/>
      <c r="CX41" s="6"/>
      <c r="CY41" s="19"/>
      <c r="CZ41" s="6"/>
      <c r="DA41" s="40"/>
      <c r="DB41" s="6"/>
      <c r="DC41" s="6"/>
      <c r="DD41" s="6"/>
      <c r="DE41" s="6"/>
      <c r="DF41" s="6"/>
      <c r="DG41" s="6"/>
      <c r="DH41" s="42"/>
      <c r="DI41" s="42"/>
      <c r="DJ41" s="42"/>
      <c r="DK41" s="42"/>
      <c r="DL41" s="42"/>
      <c r="DM41" s="42"/>
      <c r="DN41" s="42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</row>
    <row r="42" spans="2:229">
      <c r="B42" s="6"/>
      <c r="C42" s="6"/>
      <c r="D42" s="6"/>
      <c r="E42" s="6"/>
      <c r="F42" s="83"/>
      <c r="G42" s="55"/>
      <c r="H42" s="6"/>
      <c r="I42" s="6"/>
      <c r="J42" s="6"/>
      <c r="K42" s="6"/>
      <c r="L42" s="88"/>
      <c r="M42" s="83"/>
      <c r="N42" s="89"/>
      <c r="O42" s="89"/>
      <c r="P42" s="89"/>
      <c r="Q42" s="89"/>
      <c r="R42" s="89"/>
      <c r="S42" s="6"/>
      <c r="T42" s="90"/>
      <c r="U42" s="84"/>
      <c r="V42" s="6"/>
      <c r="W42" s="6"/>
      <c r="X42" s="6"/>
      <c r="Y42" s="91"/>
      <c r="Z42" s="6"/>
      <c r="AA42" s="92"/>
      <c r="AB42" s="92"/>
      <c r="AC42" s="87"/>
      <c r="AD42" s="87"/>
      <c r="AE42" s="87"/>
      <c r="AF42" s="87"/>
      <c r="AG42" s="87"/>
      <c r="AH42" s="87"/>
      <c r="AI42" s="87"/>
      <c r="AJ42" s="87"/>
      <c r="AK42" s="87"/>
      <c r="AL42" s="93"/>
      <c r="AM42" s="94"/>
      <c r="AN42" s="94"/>
      <c r="AO42" s="6"/>
      <c r="AP42" s="6"/>
      <c r="AQ42" s="6"/>
      <c r="AR42" s="6"/>
      <c r="AS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42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20"/>
      <c r="CV42" s="43"/>
      <c r="CW42" s="43"/>
      <c r="CX42" s="6"/>
      <c r="CY42" s="19"/>
      <c r="CZ42" s="6"/>
      <c r="DA42" s="40"/>
      <c r="DB42" s="6"/>
      <c r="DC42" s="6"/>
      <c r="DD42" s="6"/>
      <c r="DE42" s="6"/>
      <c r="DF42" s="6"/>
      <c r="DG42" s="6"/>
      <c r="DH42" s="42"/>
      <c r="DI42" s="42"/>
      <c r="DJ42" s="42"/>
      <c r="DK42" s="42"/>
      <c r="DL42" s="42"/>
      <c r="DM42" s="42"/>
      <c r="DN42" s="42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</row>
    <row r="43" spans="2:229">
      <c r="B43" s="6"/>
      <c r="C43" s="6"/>
      <c r="D43" s="6"/>
      <c r="E43" s="6"/>
      <c r="F43" s="83"/>
      <c r="G43" s="6"/>
      <c r="H43" s="6"/>
      <c r="I43" s="6"/>
      <c r="J43" s="6"/>
      <c r="K43" s="6"/>
      <c r="L43" s="88"/>
      <c r="M43" s="83"/>
      <c r="N43" s="89"/>
      <c r="O43" s="89"/>
      <c r="P43" s="89"/>
      <c r="Q43" s="89"/>
      <c r="R43" s="89"/>
      <c r="S43" s="6"/>
      <c r="T43" s="90"/>
      <c r="U43" s="84"/>
      <c r="V43" s="6"/>
      <c r="W43" s="6"/>
      <c r="X43" s="6"/>
      <c r="Y43" s="91"/>
      <c r="Z43" s="6"/>
      <c r="AA43" s="92"/>
      <c r="AB43" s="92"/>
      <c r="AC43" s="87"/>
      <c r="AD43" s="87"/>
      <c r="AE43" s="87"/>
      <c r="AF43" s="87"/>
      <c r="AG43" s="87"/>
      <c r="AH43" s="87"/>
      <c r="AI43" s="87"/>
      <c r="AJ43" s="87"/>
      <c r="AK43" s="87"/>
      <c r="AL43" s="93"/>
      <c r="AM43" s="94"/>
      <c r="AN43" s="94"/>
      <c r="AO43" s="6"/>
      <c r="AP43" s="6"/>
      <c r="AQ43" s="6"/>
      <c r="AR43" s="6"/>
      <c r="AS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42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20"/>
      <c r="CV43" s="43"/>
      <c r="CW43" s="43"/>
      <c r="CX43" s="6"/>
      <c r="CY43" s="19"/>
      <c r="CZ43" s="6"/>
      <c r="DA43" s="40"/>
      <c r="DB43" s="6"/>
      <c r="DC43" s="6"/>
      <c r="DD43" s="6"/>
      <c r="DE43" s="6"/>
      <c r="DF43" s="6"/>
      <c r="DG43" s="6"/>
      <c r="DH43" s="42"/>
      <c r="DI43" s="42"/>
      <c r="DJ43" s="42"/>
      <c r="DK43" s="42"/>
      <c r="DL43" s="42"/>
      <c r="DM43" s="42"/>
      <c r="DN43" s="42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</row>
    <row r="44" spans="2:229">
      <c r="B44" s="6"/>
      <c r="C44" s="6"/>
      <c r="D44" s="6"/>
      <c r="E44" s="6"/>
      <c r="F44" s="83"/>
      <c r="G44" s="55"/>
      <c r="H44" s="6"/>
      <c r="I44" s="6"/>
      <c r="J44" s="6"/>
      <c r="K44" s="6"/>
      <c r="L44" s="88"/>
      <c r="M44" s="83"/>
      <c r="N44" s="89"/>
      <c r="O44" s="89"/>
      <c r="P44" s="89"/>
      <c r="Q44" s="89"/>
      <c r="R44" s="89"/>
      <c r="S44" s="6"/>
      <c r="T44" s="90"/>
      <c r="U44" s="84"/>
      <c r="V44" s="6"/>
      <c r="W44" s="6"/>
      <c r="X44" s="6"/>
      <c r="Y44" s="91"/>
      <c r="Z44" s="6"/>
      <c r="AA44" s="92"/>
      <c r="AB44" s="92"/>
      <c r="AC44" s="87"/>
      <c r="AD44" s="87"/>
      <c r="AE44" s="87"/>
      <c r="AF44" s="87"/>
      <c r="AG44" s="87"/>
      <c r="AH44" s="87"/>
      <c r="AI44" s="87"/>
      <c r="AJ44" s="87"/>
      <c r="AK44" s="87"/>
      <c r="AL44" s="93"/>
      <c r="AM44" s="94"/>
      <c r="AN44" s="94"/>
      <c r="AO44" s="6"/>
      <c r="AP44" s="6"/>
      <c r="AQ44" s="6"/>
      <c r="AR44" s="6"/>
      <c r="AS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42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20"/>
      <c r="CV44" s="43"/>
      <c r="CW44" s="43"/>
      <c r="CX44" s="6"/>
      <c r="CY44" s="19"/>
      <c r="CZ44" s="6"/>
      <c r="DA44" s="40"/>
      <c r="DB44" s="6"/>
      <c r="DC44" s="6"/>
      <c r="DD44" s="6"/>
      <c r="DE44" s="6"/>
      <c r="DF44" s="6"/>
      <c r="DG44" s="6"/>
      <c r="DH44" s="42"/>
      <c r="DI44" s="42"/>
      <c r="DJ44" s="42"/>
      <c r="DK44" s="42"/>
      <c r="DL44" s="42"/>
      <c r="DM44" s="42"/>
      <c r="DN44" s="42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</row>
    <row r="45" spans="2:229">
      <c r="B45" s="6"/>
      <c r="C45" s="6"/>
      <c r="D45" s="6"/>
      <c r="E45" s="6"/>
      <c r="F45" s="83"/>
      <c r="G45" s="55"/>
      <c r="H45" s="6"/>
      <c r="I45" s="6"/>
      <c r="J45" s="6"/>
      <c r="K45" s="6"/>
      <c r="L45" s="88"/>
      <c r="M45" s="83"/>
      <c r="N45" s="89"/>
      <c r="O45" s="89"/>
      <c r="P45" s="89"/>
      <c r="Q45" s="89"/>
      <c r="R45" s="89"/>
      <c r="S45" s="6"/>
      <c r="T45" s="90"/>
      <c r="U45" s="84"/>
      <c r="V45" s="6"/>
      <c r="W45" s="6"/>
      <c r="X45" s="6"/>
      <c r="Y45" s="91"/>
      <c r="Z45" s="6"/>
      <c r="AA45" s="92"/>
      <c r="AB45" s="92"/>
      <c r="AC45" s="87"/>
      <c r="AD45" s="87"/>
      <c r="AE45" s="87"/>
      <c r="AF45" s="87"/>
      <c r="AG45" s="87"/>
      <c r="AH45" s="87"/>
      <c r="AI45" s="87"/>
      <c r="AJ45" s="87"/>
      <c r="AK45" s="87"/>
      <c r="AL45" s="93"/>
      <c r="AM45" s="94"/>
      <c r="AN45" s="94"/>
      <c r="AO45" s="6"/>
      <c r="AP45" s="6"/>
      <c r="AQ45" s="6"/>
      <c r="AR45" s="6"/>
      <c r="AS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20"/>
      <c r="CV45" s="43"/>
      <c r="CW45" s="43"/>
      <c r="CX45" s="6"/>
      <c r="CY45" s="19"/>
      <c r="CZ45" s="6"/>
      <c r="DA45" s="40"/>
      <c r="DB45" s="6"/>
      <c r="DC45" s="6"/>
      <c r="DD45" s="6"/>
      <c r="DE45" s="6"/>
      <c r="DF45" s="6"/>
      <c r="DG45" s="6"/>
      <c r="DH45" s="42"/>
      <c r="DI45" s="42"/>
      <c r="DJ45" s="42"/>
      <c r="DK45" s="42"/>
      <c r="DL45" s="42"/>
      <c r="DM45" s="42"/>
      <c r="DN45" s="42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</row>
    <row r="46" spans="2:229">
      <c r="B46" s="6"/>
      <c r="C46" s="6"/>
      <c r="D46" s="6"/>
      <c r="E46" s="6"/>
      <c r="F46" s="83"/>
      <c r="G46" s="55"/>
      <c r="H46" s="6"/>
      <c r="I46" s="6"/>
      <c r="J46" s="6"/>
      <c r="K46" s="6"/>
      <c r="L46" s="88"/>
      <c r="M46" s="83"/>
      <c r="N46" s="89"/>
      <c r="O46" s="89"/>
      <c r="P46" s="89"/>
      <c r="Q46" s="89"/>
      <c r="R46" s="89"/>
      <c r="S46" s="6"/>
      <c r="T46" s="90"/>
      <c r="U46" s="84"/>
      <c r="V46" s="6"/>
      <c r="W46" s="6"/>
      <c r="X46" s="6"/>
      <c r="Y46" s="91"/>
      <c r="Z46" s="6"/>
      <c r="AA46" s="92"/>
      <c r="AB46" s="92"/>
      <c r="AC46" s="87"/>
      <c r="AD46" s="87"/>
      <c r="AE46" s="87"/>
      <c r="AF46" s="87"/>
      <c r="AG46" s="87"/>
      <c r="AH46" s="87"/>
      <c r="AI46" s="87"/>
      <c r="AJ46" s="87"/>
      <c r="AK46" s="87"/>
      <c r="AL46" s="93"/>
      <c r="AM46" s="94"/>
      <c r="AN46" s="94"/>
      <c r="AO46" s="6"/>
      <c r="AP46" s="6"/>
      <c r="AQ46" s="6"/>
      <c r="AR46" s="6"/>
      <c r="AS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20"/>
      <c r="CV46" s="43"/>
      <c r="CW46" s="43"/>
      <c r="CX46" s="6"/>
      <c r="CY46" s="19"/>
      <c r="CZ46" s="6"/>
      <c r="DA46" s="40"/>
      <c r="DB46" s="6"/>
      <c r="DC46" s="6"/>
      <c r="DD46" s="6"/>
      <c r="DE46" s="6"/>
      <c r="DF46" s="6"/>
      <c r="DG46" s="6"/>
      <c r="DH46" s="42"/>
      <c r="DI46" s="42"/>
      <c r="DJ46" s="42"/>
      <c r="DK46" s="42"/>
      <c r="DL46" s="42"/>
      <c r="DM46" s="42"/>
      <c r="DN46" s="42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</row>
    <row r="47" spans="2:229">
      <c r="B47" s="6"/>
      <c r="C47" s="6"/>
      <c r="D47" s="6"/>
      <c r="E47" s="6"/>
      <c r="F47" s="83"/>
      <c r="G47" s="55"/>
      <c r="H47" s="6"/>
      <c r="I47" s="6"/>
      <c r="J47" s="6"/>
      <c r="K47" s="6"/>
      <c r="L47" s="88"/>
      <c r="M47" s="83"/>
      <c r="N47" s="89"/>
      <c r="O47" s="89"/>
      <c r="P47" s="89"/>
      <c r="Q47" s="89"/>
      <c r="R47" s="89"/>
      <c r="S47" s="6"/>
      <c r="T47" s="90"/>
      <c r="U47" s="84"/>
      <c r="V47" s="6"/>
      <c r="W47" s="6"/>
      <c r="X47" s="6"/>
      <c r="Y47" s="91"/>
      <c r="Z47" s="6"/>
      <c r="AA47" s="92"/>
      <c r="AB47" s="92"/>
      <c r="AC47" s="87"/>
      <c r="AD47" s="87"/>
      <c r="AE47" s="87"/>
      <c r="AF47" s="87"/>
      <c r="AG47" s="87"/>
      <c r="AH47" s="87"/>
      <c r="AI47" s="87"/>
      <c r="AJ47" s="87"/>
      <c r="AK47" s="87"/>
      <c r="AL47" s="93"/>
      <c r="AM47" s="94"/>
      <c r="AN47" s="94"/>
      <c r="AO47" s="6"/>
      <c r="AP47" s="6"/>
      <c r="AQ47" s="6"/>
      <c r="AR47" s="6"/>
      <c r="AS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20"/>
      <c r="CV47" s="43"/>
      <c r="CW47" s="43"/>
      <c r="CX47" s="6"/>
      <c r="CY47" s="19"/>
      <c r="CZ47" s="6"/>
      <c r="DA47" s="40"/>
      <c r="DB47" s="6"/>
      <c r="DC47" s="6"/>
      <c r="DD47" s="6"/>
      <c r="DE47" s="6"/>
      <c r="DF47" s="6"/>
      <c r="DG47" s="6"/>
      <c r="DH47" s="42"/>
      <c r="DI47" s="42"/>
      <c r="DJ47" s="42"/>
      <c r="DK47" s="42"/>
      <c r="DL47" s="42"/>
      <c r="DM47" s="42"/>
      <c r="DN47" s="42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</row>
    <row r="48" spans="2:229">
      <c r="B48" s="6"/>
      <c r="C48" s="6"/>
      <c r="D48" s="6"/>
      <c r="E48" s="6"/>
      <c r="F48" s="83"/>
      <c r="G48" s="55"/>
      <c r="H48" s="6"/>
      <c r="I48" s="6"/>
      <c r="J48" s="6"/>
      <c r="K48" s="6"/>
      <c r="L48" s="88"/>
      <c r="M48" s="83"/>
      <c r="N48" s="89"/>
      <c r="O48" s="89"/>
      <c r="P48" s="89"/>
      <c r="Q48" s="89"/>
      <c r="R48" s="89"/>
      <c r="S48" s="6"/>
      <c r="T48" s="90"/>
      <c r="U48" s="84"/>
      <c r="V48" s="6"/>
      <c r="W48" s="6"/>
      <c r="X48" s="6"/>
      <c r="Y48" s="91"/>
      <c r="Z48" s="6"/>
      <c r="AA48" s="92"/>
      <c r="AB48" s="92"/>
      <c r="AC48" s="87"/>
      <c r="AD48" s="87"/>
      <c r="AE48" s="87"/>
      <c r="AF48" s="87"/>
      <c r="AG48" s="87"/>
      <c r="AH48" s="87"/>
      <c r="AI48" s="87"/>
      <c r="AJ48" s="87"/>
      <c r="AK48" s="87"/>
      <c r="AL48" s="93"/>
      <c r="AM48" s="94"/>
      <c r="AN48" s="94"/>
      <c r="AO48" s="6"/>
      <c r="AP48" s="6"/>
      <c r="AQ48" s="6"/>
      <c r="AR48" s="6"/>
      <c r="AS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20"/>
      <c r="CV48" s="43"/>
      <c r="CW48" s="43"/>
      <c r="CX48" s="6"/>
      <c r="CY48" s="19"/>
      <c r="CZ48" s="6"/>
      <c r="DA48" s="40"/>
      <c r="DB48" s="6"/>
      <c r="DC48" s="6"/>
      <c r="DD48" s="6"/>
      <c r="DE48" s="6"/>
      <c r="DF48" s="6"/>
      <c r="DG48" s="6"/>
      <c r="DH48" s="42"/>
      <c r="DI48" s="42"/>
      <c r="DJ48" s="42"/>
      <c r="DK48" s="42"/>
      <c r="DL48" s="42"/>
      <c r="DM48" s="42"/>
      <c r="DN48" s="42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</row>
    <row r="49" spans="2:229">
      <c r="B49" s="6"/>
      <c r="C49" s="6"/>
      <c r="D49" s="6"/>
      <c r="E49" s="6"/>
      <c r="F49" s="83"/>
      <c r="G49" s="55"/>
      <c r="H49" s="6"/>
      <c r="I49" s="6"/>
      <c r="J49" s="6"/>
      <c r="K49" s="6"/>
      <c r="L49" s="88"/>
      <c r="M49" s="83"/>
      <c r="N49" s="89"/>
      <c r="O49" s="89"/>
      <c r="P49" s="89"/>
      <c r="Q49" s="89"/>
      <c r="R49" s="89"/>
      <c r="S49" s="6"/>
      <c r="T49" s="90"/>
      <c r="U49" s="84"/>
      <c r="V49" s="6"/>
      <c r="W49" s="6"/>
      <c r="X49" s="6"/>
      <c r="Y49" s="91"/>
      <c r="Z49" s="6"/>
      <c r="AA49" s="92"/>
      <c r="AB49" s="92"/>
      <c r="AC49" s="87"/>
      <c r="AD49" s="87"/>
      <c r="AE49" s="87"/>
      <c r="AF49" s="87"/>
      <c r="AG49" s="87"/>
      <c r="AH49" s="87"/>
      <c r="AI49" s="87"/>
      <c r="AJ49" s="87"/>
      <c r="AK49" s="87"/>
      <c r="AL49" s="93"/>
      <c r="AM49" s="94"/>
      <c r="AN49" s="94"/>
      <c r="AO49" s="6"/>
      <c r="AP49" s="6"/>
      <c r="AQ49" s="6"/>
      <c r="AR49" s="6"/>
      <c r="AS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20"/>
      <c r="CV49" s="43"/>
      <c r="CW49" s="43"/>
      <c r="CX49" s="6"/>
      <c r="CY49" s="19"/>
      <c r="CZ49" s="6"/>
      <c r="DA49" s="40"/>
      <c r="DB49" s="6"/>
      <c r="DC49" s="6"/>
      <c r="DD49" s="6"/>
      <c r="DE49" s="6"/>
      <c r="DF49" s="6"/>
      <c r="DG49" s="6"/>
      <c r="DH49" s="42"/>
      <c r="DI49" s="42"/>
      <c r="DJ49" s="42"/>
      <c r="DK49" s="42"/>
      <c r="DL49" s="42"/>
      <c r="DM49" s="42"/>
      <c r="DN49" s="42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</row>
    <row r="50" spans="2:229">
      <c r="B50" s="6"/>
      <c r="C50" s="6"/>
      <c r="D50" s="6"/>
      <c r="E50" s="6"/>
      <c r="F50" s="83"/>
      <c r="G50" s="55"/>
      <c r="H50" s="6"/>
      <c r="I50" s="6"/>
      <c r="J50" s="6"/>
      <c r="K50" s="6"/>
      <c r="L50" s="88"/>
      <c r="M50" s="83"/>
      <c r="N50" s="89"/>
      <c r="O50" s="89"/>
      <c r="P50" s="89"/>
      <c r="Q50" s="89"/>
      <c r="R50" s="89"/>
      <c r="S50" s="6"/>
      <c r="T50" s="90"/>
      <c r="U50" s="84"/>
      <c r="V50" s="6"/>
      <c r="W50" s="6"/>
      <c r="X50" s="6"/>
      <c r="Y50" s="91"/>
      <c r="Z50" s="6"/>
      <c r="AA50" s="92"/>
      <c r="AB50" s="92"/>
      <c r="AC50" s="87"/>
      <c r="AD50" s="87"/>
      <c r="AE50" s="87"/>
      <c r="AF50" s="87"/>
      <c r="AG50" s="87"/>
      <c r="AH50" s="87"/>
      <c r="AI50" s="87"/>
      <c r="AJ50" s="87"/>
      <c r="AK50" s="87"/>
      <c r="AL50" s="93"/>
      <c r="AM50" s="94"/>
      <c r="AN50" s="94"/>
      <c r="AO50" s="6"/>
      <c r="AP50" s="6"/>
      <c r="AQ50" s="6"/>
      <c r="AR50" s="6"/>
      <c r="AS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20"/>
      <c r="CV50" s="43"/>
      <c r="CW50" s="43"/>
      <c r="CX50" s="6"/>
      <c r="CY50" s="19"/>
      <c r="CZ50" s="6"/>
      <c r="DA50" s="40"/>
      <c r="DB50" s="6"/>
      <c r="DC50" s="6"/>
      <c r="DD50" s="6"/>
      <c r="DE50" s="6"/>
      <c r="DF50" s="6"/>
      <c r="DG50" s="6"/>
      <c r="DH50" s="42"/>
      <c r="DI50" s="42"/>
      <c r="DJ50" s="42"/>
      <c r="DK50" s="42"/>
      <c r="DL50" s="42"/>
      <c r="DM50" s="42"/>
      <c r="DN50" s="42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</row>
    <row r="51" spans="2:229">
      <c r="B51" s="6"/>
      <c r="C51" s="6"/>
      <c r="D51" s="6"/>
      <c r="E51" s="6"/>
      <c r="F51" s="84"/>
      <c r="G51" s="55"/>
      <c r="H51" s="6"/>
      <c r="I51" s="6"/>
      <c r="J51" s="6"/>
      <c r="K51" s="6"/>
      <c r="L51" s="88"/>
      <c r="M51" s="83"/>
      <c r="N51" s="89"/>
      <c r="O51" s="89"/>
      <c r="P51" s="89"/>
      <c r="Q51" s="89"/>
      <c r="R51" s="89"/>
      <c r="S51" s="6"/>
      <c r="T51" s="90"/>
      <c r="U51" s="84"/>
      <c r="V51" s="6"/>
      <c r="W51" s="6"/>
      <c r="X51" s="6"/>
      <c r="Y51" s="91"/>
      <c r="Z51" s="6"/>
      <c r="AA51" s="92"/>
      <c r="AB51" s="92"/>
      <c r="AC51" s="87"/>
      <c r="AD51" s="87"/>
      <c r="AE51" s="87"/>
      <c r="AF51" s="87"/>
      <c r="AG51" s="87"/>
      <c r="AH51" s="87"/>
      <c r="AI51" s="87"/>
      <c r="AJ51" s="87"/>
      <c r="AK51" s="87"/>
      <c r="AL51" s="93"/>
      <c r="AM51" s="94"/>
      <c r="AN51" s="94"/>
      <c r="AO51" s="6"/>
      <c r="AP51" s="6"/>
      <c r="AQ51" s="6"/>
      <c r="AR51" s="6"/>
      <c r="AS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20"/>
      <c r="CV51" s="43"/>
      <c r="CW51" s="43"/>
      <c r="CX51" s="6"/>
      <c r="CY51" s="19"/>
      <c r="CZ51" s="6"/>
      <c r="DA51" s="40"/>
      <c r="DB51" s="6"/>
      <c r="DC51" s="6"/>
      <c r="DD51" s="6"/>
      <c r="DE51" s="6"/>
      <c r="DF51" s="6"/>
      <c r="DG51" s="6"/>
      <c r="DH51" s="42"/>
      <c r="DI51" s="42"/>
      <c r="DJ51" s="42"/>
      <c r="DK51" s="42"/>
      <c r="DL51" s="42"/>
      <c r="DM51" s="42"/>
      <c r="DN51" s="42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</row>
    <row r="52" spans="2:229">
      <c r="B52" s="6"/>
      <c r="C52" s="6"/>
      <c r="D52" s="6"/>
      <c r="E52" s="6"/>
      <c r="F52" s="6"/>
      <c r="G52" s="55"/>
      <c r="H52" s="6"/>
      <c r="I52" s="6"/>
      <c r="J52" s="6"/>
      <c r="K52" s="6"/>
      <c r="L52" s="88"/>
      <c r="M52" s="83"/>
      <c r="N52" s="89"/>
      <c r="O52" s="89"/>
      <c r="P52" s="89"/>
      <c r="Q52" s="89"/>
      <c r="R52" s="89"/>
      <c r="S52" s="6"/>
      <c r="T52" s="90"/>
      <c r="U52" s="84"/>
      <c r="V52" s="6"/>
      <c r="W52" s="6"/>
      <c r="X52" s="6"/>
      <c r="Y52" s="91"/>
      <c r="Z52" s="6"/>
      <c r="AA52" s="92"/>
      <c r="AB52" s="92"/>
      <c r="AC52" s="87"/>
      <c r="AD52" s="87"/>
      <c r="AE52" s="87"/>
      <c r="AF52" s="87"/>
      <c r="AG52" s="87"/>
      <c r="AH52" s="87"/>
      <c r="AI52" s="87"/>
      <c r="AJ52" s="87"/>
      <c r="AK52" s="87"/>
      <c r="AL52" s="93"/>
      <c r="AM52" s="94"/>
      <c r="AN52" s="94"/>
      <c r="AO52" s="6"/>
      <c r="AP52" s="6"/>
      <c r="AQ52" s="6"/>
      <c r="AR52" s="6"/>
      <c r="AS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20"/>
      <c r="CV52" s="43"/>
      <c r="CW52" s="43"/>
      <c r="CX52" s="6"/>
      <c r="CY52" s="19"/>
      <c r="CZ52" s="6"/>
      <c r="DA52" s="40"/>
      <c r="DB52" s="6"/>
      <c r="DC52" s="6"/>
      <c r="DD52" s="6"/>
      <c r="DE52" s="6"/>
      <c r="DF52" s="6"/>
      <c r="DG52" s="6"/>
      <c r="DH52" s="42"/>
      <c r="DI52" s="42"/>
      <c r="DJ52" s="42"/>
      <c r="DK52" s="42"/>
      <c r="DL52" s="42"/>
      <c r="DM52" s="42"/>
      <c r="DN52" s="42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</row>
    <row r="53" spans="2:229">
      <c r="B53" s="6"/>
      <c r="C53" s="6"/>
      <c r="D53" s="6"/>
      <c r="E53" s="6"/>
      <c r="F53" s="83"/>
      <c r="G53" s="55"/>
      <c r="H53" s="95"/>
      <c r="I53" s="6"/>
      <c r="J53" s="6"/>
      <c r="K53" s="6"/>
      <c r="L53" s="88"/>
      <c r="M53" s="83"/>
      <c r="N53" s="89"/>
      <c r="O53" s="89"/>
      <c r="P53" s="89"/>
      <c r="Q53" s="89"/>
      <c r="R53" s="89"/>
      <c r="S53" s="6"/>
      <c r="T53" s="90"/>
      <c r="U53" s="84"/>
      <c r="V53" s="6"/>
      <c r="W53" s="6"/>
      <c r="X53" s="6"/>
      <c r="Y53" s="91"/>
      <c r="Z53" s="6"/>
      <c r="AA53" s="92"/>
      <c r="AB53" s="92"/>
      <c r="AC53" s="87"/>
      <c r="AD53" s="87"/>
      <c r="AE53" s="87"/>
      <c r="AF53" s="87"/>
      <c r="AG53" s="87"/>
      <c r="AH53" s="87"/>
      <c r="AI53" s="87"/>
      <c r="AJ53" s="87"/>
      <c r="AK53" s="87"/>
      <c r="AL53" s="93"/>
      <c r="AM53" s="94"/>
      <c r="AN53" s="94"/>
      <c r="AO53" s="6"/>
      <c r="AP53" s="6"/>
      <c r="AQ53" s="6"/>
      <c r="AR53" s="6"/>
      <c r="AS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20"/>
      <c r="CV53" s="43"/>
      <c r="CW53" s="43"/>
      <c r="CX53" s="6"/>
      <c r="CY53" s="19"/>
      <c r="CZ53" s="6"/>
      <c r="DA53" s="40"/>
      <c r="DB53" s="6"/>
      <c r="DC53" s="6"/>
      <c r="DD53" s="6"/>
      <c r="DE53" s="6"/>
      <c r="DF53" s="6"/>
      <c r="DG53" s="6"/>
      <c r="DH53" s="42"/>
      <c r="DI53" s="42"/>
      <c r="DJ53" s="42"/>
      <c r="DK53" s="42"/>
      <c r="DL53" s="42"/>
      <c r="DM53" s="42"/>
      <c r="DN53" s="42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</row>
    <row r="54" spans="2:229">
      <c r="B54" s="6"/>
      <c r="C54" s="6"/>
      <c r="D54" s="6"/>
      <c r="E54" s="6"/>
      <c r="F54" s="83"/>
      <c r="G54" s="55"/>
      <c r="H54" s="6"/>
      <c r="I54" s="6"/>
      <c r="J54" s="6"/>
      <c r="K54" s="6"/>
      <c r="L54" s="88"/>
      <c r="M54" s="83"/>
      <c r="N54" s="89"/>
      <c r="O54" s="89"/>
      <c r="P54" s="89"/>
      <c r="Q54" s="89"/>
      <c r="R54" s="89"/>
      <c r="S54" s="6"/>
      <c r="T54" s="90"/>
      <c r="U54" s="84"/>
      <c r="V54" s="6"/>
      <c r="W54" s="6"/>
      <c r="X54" s="6"/>
      <c r="Y54" s="91"/>
      <c r="Z54" s="6"/>
      <c r="AA54" s="92"/>
      <c r="AB54" s="92"/>
      <c r="AC54" s="87"/>
      <c r="AD54" s="87"/>
      <c r="AE54" s="87"/>
      <c r="AF54" s="87"/>
      <c r="AG54" s="87"/>
      <c r="AH54" s="87"/>
      <c r="AI54" s="87"/>
      <c r="AJ54" s="87"/>
      <c r="AK54" s="87"/>
      <c r="AL54" s="93"/>
      <c r="AM54" s="94"/>
      <c r="AN54" s="94"/>
      <c r="AO54" s="6"/>
      <c r="AP54" s="6"/>
      <c r="AQ54" s="6"/>
      <c r="AR54" s="6"/>
      <c r="AS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20"/>
      <c r="CV54" s="43"/>
      <c r="CW54" s="43"/>
      <c r="CX54" s="6"/>
      <c r="CY54" s="19"/>
      <c r="CZ54" s="6"/>
      <c r="DA54" s="40"/>
      <c r="DB54" s="6"/>
      <c r="DC54" s="6"/>
      <c r="DD54" s="6"/>
      <c r="DE54" s="6"/>
      <c r="DF54" s="6"/>
      <c r="DG54" s="6"/>
      <c r="DH54" s="42"/>
      <c r="DI54" s="42"/>
      <c r="DJ54" s="42"/>
      <c r="DK54" s="42"/>
      <c r="DL54" s="42"/>
      <c r="DM54" s="42"/>
      <c r="DN54" s="42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</row>
    <row r="55" spans="2:229">
      <c r="B55" s="6"/>
      <c r="C55" s="6"/>
      <c r="D55" s="6"/>
      <c r="E55" s="6"/>
      <c r="F55" s="83"/>
      <c r="G55" s="6"/>
      <c r="H55" s="6"/>
      <c r="I55" s="6"/>
      <c r="J55" s="6"/>
      <c r="K55" s="6"/>
      <c r="L55" s="88"/>
      <c r="M55" s="83"/>
      <c r="N55" s="89"/>
      <c r="O55" s="89"/>
      <c r="P55" s="89"/>
      <c r="Q55" s="89"/>
      <c r="R55" s="89"/>
      <c r="S55" s="6"/>
      <c r="T55" s="90"/>
      <c r="U55" s="84"/>
      <c r="V55" s="6"/>
      <c r="W55" s="6"/>
      <c r="X55" s="6"/>
      <c r="Y55" s="91"/>
      <c r="Z55" s="6"/>
      <c r="AA55" s="92"/>
      <c r="AB55" s="92"/>
      <c r="AC55" s="87"/>
      <c r="AD55" s="87"/>
      <c r="AE55" s="87"/>
      <c r="AF55" s="87"/>
      <c r="AG55" s="87"/>
      <c r="AH55" s="87"/>
      <c r="AI55" s="87"/>
      <c r="AJ55" s="87"/>
      <c r="AK55" s="87"/>
      <c r="AL55" s="93"/>
      <c r="AM55" s="94"/>
      <c r="AN55" s="94"/>
      <c r="AO55" s="6"/>
      <c r="AP55" s="6"/>
      <c r="AQ55" s="6"/>
      <c r="AR55" s="6"/>
      <c r="AS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20"/>
      <c r="CV55" s="43"/>
      <c r="CW55" s="43"/>
      <c r="CX55" s="6"/>
      <c r="CY55" s="19"/>
      <c r="CZ55" s="6"/>
      <c r="DA55" s="40"/>
      <c r="DB55" s="6"/>
      <c r="DC55" s="6"/>
      <c r="DD55" s="6"/>
      <c r="DE55" s="6"/>
      <c r="DF55" s="6"/>
      <c r="DG55" s="6"/>
      <c r="DH55" s="42"/>
      <c r="DI55" s="42"/>
      <c r="DJ55" s="42"/>
      <c r="DK55" s="42"/>
      <c r="DL55" s="42"/>
      <c r="DM55" s="42"/>
      <c r="DN55" s="42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</row>
    <row r="56" spans="2:229">
      <c r="B56" s="6"/>
      <c r="C56" s="6"/>
      <c r="D56" s="6"/>
      <c r="E56" s="6"/>
      <c r="F56" s="83"/>
      <c r="G56" s="55"/>
      <c r="H56" s="6"/>
      <c r="I56" s="6"/>
      <c r="J56" s="6"/>
      <c r="K56" s="6"/>
      <c r="L56" s="88"/>
      <c r="M56" s="83"/>
      <c r="N56" s="89"/>
      <c r="O56" s="89"/>
      <c r="P56" s="89"/>
      <c r="Q56" s="89"/>
      <c r="R56" s="89"/>
      <c r="S56" s="6"/>
      <c r="T56" s="90"/>
      <c r="U56" s="84"/>
      <c r="V56" s="6"/>
      <c r="W56" s="6"/>
      <c r="X56" s="6"/>
      <c r="Y56" s="91"/>
      <c r="Z56" s="6"/>
      <c r="AA56" s="92"/>
      <c r="AB56" s="92"/>
      <c r="AC56" s="87"/>
      <c r="AD56" s="87"/>
      <c r="AE56" s="87"/>
      <c r="AF56" s="87"/>
      <c r="AG56" s="87"/>
      <c r="AH56" s="87"/>
      <c r="AI56" s="87"/>
      <c r="AJ56" s="87"/>
      <c r="AK56" s="87"/>
      <c r="AL56" s="93"/>
      <c r="AM56" s="94"/>
      <c r="AN56" s="94"/>
      <c r="AO56" s="6"/>
      <c r="AP56" s="6"/>
      <c r="AQ56" s="6"/>
      <c r="AR56" s="6"/>
      <c r="AS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20"/>
      <c r="CV56" s="43"/>
      <c r="CW56" s="43"/>
      <c r="CX56" s="6"/>
      <c r="CY56" s="19"/>
      <c r="CZ56" s="6"/>
      <c r="DA56" s="40"/>
      <c r="DB56" s="6"/>
      <c r="DC56" s="6"/>
      <c r="DD56" s="6"/>
      <c r="DE56" s="6"/>
      <c r="DF56" s="6"/>
      <c r="DG56" s="6"/>
      <c r="DH56" s="42"/>
      <c r="DI56" s="42"/>
      <c r="DJ56" s="42"/>
      <c r="DK56" s="42"/>
      <c r="DL56" s="42"/>
      <c r="DM56" s="42"/>
      <c r="DN56" s="42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</row>
    <row r="57" spans="2:229">
      <c r="B57" s="6"/>
      <c r="C57" s="6"/>
      <c r="D57" s="6"/>
      <c r="E57" s="6"/>
      <c r="F57" s="83"/>
      <c r="G57" s="55"/>
      <c r="H57" s="6"/>
      <c r="I57" s="6"/>
      <c r="J57" s="6"/>
      <c r="K57" s="6"/>
      <c r="L57" s="88"/>
      <c r="M57" s="83"/>
      <c r="N57" s="89"/>
      <c r="O57" s="89"/>
      <c r="P57" s="89"/>
      <c r="Q57" s="89"/>
      <c r="R57" s="89"/>
      <c r="S57" s="6"/>
      <c r="T57" s="90"/>
      <c r="U57" s="84"/>
      <c r="V57" s="6"/>
      <c r="W57" s="6"/>
      <c r="X57" s="6"/>
      <c r="Y57" s="91"/>
      <c r="Z57" s="6"/>
      <c r="AA57" s="92"/>
      <c r="AB57" s="92"/>
      <c r="AC57" s="87"/>
      <c r="AD57" s="87"/>
      <c r="AE57" s="87"/>
      <c r="AF57" s="87"/>
      <c r="AG57" s="87"/>
      <c r="AH57" s="87"/>
      <c r="AI57" s="87"/>
      <c r="AJ57" s="87"/>
      <c r="AK57" s="87"/>
      <c r="AL57" s="93"/>
      <c r="AM57" s="94"/>
      <c r="AN57" s="94"/>
      <c r="AO57" s="6"/>
      <c r="AP57" s="6"/>
      <c r="AQ57" s="6"/>
      <c r="AR57" s="6"/>
      <c r="AS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20"/>
      <c r="CV57" s="43"/>
      <c r="CW57" s="43"/>
      <c r="CX57" s="6"/>
      <c r="CY57" s="19"/>
      <c r="CZ57" s="6"/>
      <c r="DA57" s="40"/>
      <c r="DB57" s="6"/>
      <c r="DC57" s="6"/>
      <c r="DD57" s="6"/>
      <c r="DE57" s="6"/>
      <c r="DF57" s="6"/>
      <c r="DG57" s="6"/>
      <c r="DH57" s="42"/>
      <c r="DI57" s="42"/>
      <c r="DJ57" s="42"/>
      <c r="DK57" s="42"/>
      <c r="DL57" s="42"/>
      <c r="DM57" s="42"/>
      <c r="DN57" s="42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</row>
    <row r="58" spans="2:229">
      <c r="B58" s="6"/>
      <c r="C58" s="6"/>
      <c r="D58" s="6"/>
      <c r="E58" s="6"/>
      <c r="F58" s="83"/>
      <c r="G58" s="55"/>
      <c r="H58" s="6"/>
      <c r="I58" s="6"/>
      <c r="J58" s="6"/>
      <c r="K58" s="6"/>
      <c r="L58" s="88"/>
      <c r="M58" s="83"/>
      <c r="N58" s="89"/>
      <c r="O58" s="89"/>
      <c r="P58" s="89"/>
      <c r="Q58" s="89"/>
      <c r="R58" s="89"/>
      <c r="S58" s="6"/>
      <c r="T58" s="90"/>
      <c r="U58" s="84"/>
      <c r="V58" s="6"/>
      <c r="W58" s="6"/>
      <c r="X58" s="6"/>
      <c r="Y58" s="91"/>
      <c r="Z58" s="6"/>
      <c r="AA58" s="92"/>
      <c r="AB58" s="92"/>
      <c r="AC58" s="87"/>
      <c r="AD58" s="87"/>
      <c r="AE58" s="87"/>
      <c r="AF58" s="87"/>
      <c r="AG58" s="87"/>
      <c r="AH58" s="87"/>
      <c r="AI58" s="87"/>
      <c r="AJ58" s="87"/>
      <c r="AK58" s="87"/>
      <c r="AL58" s="93"/>
      <c r="AM58" s="94"/>
      <c r="AN58" s="94"/>
      <c r="AO58" s="6"/>
      <c r="AP58" s="6"/>
      <c r="AQ58" s="6"/>
      <c r="AR58" s="6"/>
      <c r="AS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20"/>
      <c r="CV58" s="43"/>
      <c r="CW58" s="43"/>
      <c r="CX58" s="6"/>
      <c r="CY58" s="19"/>
      <c r="CZ58" s="6"/>
      <c r="DA58" s="40"/>
      <c r="DB58" s="6"/>
      <c r="DC58" s="6"/>
      <c r="DD58" s="6"/>
      <c r="DE58" s="6"/>
      <c r="DF58" s="6"/>
      <c r="DG58" s="6"/>
      <c r="DH58" s="42"/>
      <c r="DI58" s="42"/>
      <c r="DJ58" s="42"/>
      <c r="DK58" s="42"/>
      <c r="DL58" s="42"/>
      <c r="DM58" s="42"/>
      <c r="DN58" s="42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</row>
    <row r="59" spans="2:229">
      <c r="B59" s="6"/>
      <c r="C59" s="6"/>
      <c r="D59" s="6"/>
      <c r="E59" s="6"/>
      <c r="F59" s="83"/>
      <c r="G59" s="55"/>
      <c r="H59" s="6"/>
      <c r="I59" s="6"/>
      <c r="J59" s="6"/>
      <c r="K59" s="6"/>
      <c r="L59" s="88"/>
      <c r="M59" s="83"/>
      <c r="N59" s="89"/>
      <c r="O59" s="89"/>
      <c r="P59" s="89"/>
      <c r="Q59" s="89"/>
      <c r="R59" s="89"/>
      <c r="S59" s="6"/>
      <c r="T59" s="90"/>
      <c r="U59" s="84"/>
      <c r="V59" s="6"/>
      <c r="W59" s="6"/>
      <c r="X59" s="6"/>
      <c r="Y59" s="91"/>
      <c r="Z59" s="6"/>
      <c r="AA59" s="92"/>
      <c r="AB59" s="92"/>
      <c r="AC59" s="87"/>
      <c r="AD59" s="87"/>
      <c r="AE59" s="87"/>
      <c r="AF59" s="87"/>
      <c r="AG59" s="87"/>
      <c r="AH59" s="87"/>
      <c r="AI59" s="87"/>
      <c r="AJ59" s="87"/>
      <c r="AK59" s="87"/>
      <c r="AL59" s="93"/>
      <c r="AM59" s="94"/>
      <c r="AN59" s="94"/>
      <c r="AO59" s="6"/>
      <c r="AP59" s="6"/>
      <c r="AQ59" s="6"/>
      <c r="AR59" s="6"/>
      <c r="AS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20"/>
      <c r="CV59" s="43"/>
      <c r="CW59" s="43"/>
      <c r="CX59" s="6"/>
      <c r="CY59" s="19"/>
      <c r="CZ59" s="6"/>
      <c r="DA59" s="40"/>
      <c r="DB59" s="6"/>
      <c r="DC59" s="6"/>
      <c r="DD59" s="6"/>
      <c r="DE59" s="6"/>
      <c r="DF59" s="6"/>
      <c r="DG59" s="6"/>
      <c r="DH59" s="42"/>
      <c r="DI59" s="42"/>
      <c r="DJ59" s="42"/>
      <c r="DK59" s="42"/>
      <c r="DL59" s="42"/>
      <c r="DM59" s="42"/>
      <c r="DN59" s="42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</row>
    <row r="60" spans="2:229">
      <c r="B60" s="6"/>
      <c r="C60" s="6"/>
      <c r="D60" s="6"/>
      <c r="E60" s="6"/>
      <c r="F60" s="83"/>
      <c r="G60" s="55"/>
      <c r="H60" s="6"/>
      <c r="I60" s="6"/>
      <c r="J60" s="6"/>
      <c r="K60" s="6"/>
      <c r="L60" s="88"/>
      <c r="M60" s="83"/>
      <c r="N60" s="89"/>
      <c r="O60" s="89"/>
      <c r="P60" s="89"/>
      <c r="Q60" s="89"/>
      <c r="R60" s="89"/>
      <c r="S60" s="6"/>
      <c r="T60" s="90"/>
      <c r="U60" s="84"/>
      <c r="V60" s="6"/>
      <c r="W60" s="6"/>
      <c r="X60" s="6"/>
      <c r="Y60" s="91"/>
      <c r="Z60" s="6"/>
      <c r="AA60" s="92"/>
      <c r="AB60" s="92"/>
      <c r="AC60" s="87"/>
      <c r="AD60" s="87"/>
      <c r="AE60" s="87"/>
      <c r="AF60" s="87"/>
      <c r="AG60" s="87"/>
      <c r="AH60" s="87"/>
      <c r="AI60" s="87"/>
      <c r="AJ60" s="87"/>
      <c r="AK60" s="87"/>
      <c r="AL60" s="93"/>
      <c r="AM60" s="94"/>
      <c r="AN60" s="94"/>
      <c r="AO60" s="6"/>
      <c r="AP60" s="6"/>
      <c r="AQ60" s="6"/>
      <c r="AR60" s="6"/>
      <c r="AS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20"/>
      <c r="CV60" s="43"/>
      <c r="CW60" s="43"/>
      <c r="CX60" s="6"/>
      <c r="CY60" s="19"/>
      <c r="CZ60" s="6"/>
      <c r="DA60" s="40"/>
      <c r="DB60" s="6"/>
      <c r="DC60" s="6"/>
      <c r="DD60" s="6"/>
      <c r="DE60" s="6"/>
      <c r="DF60" s="6"/>
      <c r="DG60" s="6"/>
      <c r="DH60" s="42"/>
      <c r="DI60" s="42"/>
      <c r="DJ60" s="42"/>
      <c r="DK60" s="42"/>
      <c r="DL60" s="42"/>
      <c r="DM60" s="42"/>
      <c r="DN60" s="42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</row>
    <row r="61" spans="2:229">
      <c r="B61" s="6"/>
      <c r="C61" s="6"/>
      <c r="D61" s="6"/>
      <c r="E61" s="6"/>
      <c r="F61" s="83"/>
      <c r="G61" s="55"/>
      <c r="H61" s="6"/>
      <c r="I61" s="6"/>
      <c r="J61" s="6"/>
      <c r="K61" s="6"/>
      <c r="L61" s="88"/>
      <c r="M61" s="83"/>
      <c r="N61" s="89"/>
      <c r="O61" s="89"/>
      <c r="P61" s="89"/>
      <c r="Q61" s="89"/>
      <c r="R61" s="89"/>
      <c r="S61" s="6"/>
      <c r="T61" s="90"/>
      <c r="U61" s="84"/>
      <c r="V61" s="6"/>
      <c r="W61" s="6"/>
      <c r="X61" s="6"/>
      <c r="Y61" s="91"/>
      <c r="Z61" s="6"/>
      <c r="AA61" s="92"/>
      <c r="AB61" s="92"/>
      <c r="AC61" s="87"/>
      <c r="AD61" s="87"/>
      <c r="AE61" s="87"/>
      <c r="AF61" s="87"/>
      <c r="AG61" s="87"/>
      <c r="AH61" s="87"/>
      <c r="AI61" s="87"/>
      <c r="AJ61" s="87"/>
      <c r="AK61" s="87"/>
      <c r="AL61" s="93"/>
      <c r="AM61" s="94"/>
      <c r="AN61" s="94"/>
      <c r="AO61" s="6"/>
      <c r="AP61" s="6"/>
      <c r="AQ61" s="6"/>
      <c r="AR61" s="6"/>
      <c r="AS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20"/>
      <c r="CV61" s="43"/>
      <c r="CW61" s="43"/>
      <c r="CX61" s="6"/>
      <c r="CY61" s="19"/>
      <c r="CZ61" s="6"/>
      <c r="DA61" s="40"/>
      <c r="DB61" s="6"/>
      <c r="DC61" s="6"/>
      <c r="DD61" s="6"/>
      <c r="DE61" s="6"/>
      <c r="DF61" s="6"/>
      <c r="DG61" s="6"/>
      <c r="DH61" s="42"/>
      <c r="DI61" s="42"/>
      <c r="DJ61" s="42"/>
      <c r="DK61" s="42"/>
      <c r="DL61" s="42"/>
      <c r="DM61" s="42"/>
      <c r="DN61" s="42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</row>
    <row r="62" spans="2:229">
      <c r="B62" s="6"/>
      <c r="C62" s="6"/>
      <c r="D62" s="6"/>
      <c r="E62" s="6"/>
      <c r="F62" s="83"/>
      <c r="G62" s="55"/>
      <c r="H62" s="6"/>
      <c r="I62" s="6"/>
      <c r="J62" s="6"/>
      <c r="K62" s="6"/>
      <c r="L62" s="88"/>
      <c r="M62" s="83"/>
      <c r="N62" s="89"/>
      <c r="O62" s="89"/>
      <c r="P62" s="89"/>
      <c r="Q62" s="89"/>
      <c r="R62" s="89"/>
      <c r="S62" s="6"/>
      <c r="T62" s="90"/>
      <c r="U62" s="84"/>
      <c r="V62" s="6"/>
      <c r="W62" s="6"/>
      <c r="X62" s="6"/>
      <c r="Y62" s="91"/>
      <c r="Z62" s="6"/>
      <c r="AA62" s="92"/>
      <c r="AB62" s="92"/>
      <c r="AC62" s="87"/>
      <c r="AD62" s="87"/>
      <c r="AE62" s="87"/>
      <c r="AF62" s="87"/>
      <c r="AG62" s="87"/>
      <c r="AH62" s="87"/>
      <c r="AI62" s="87"/>
      <c r="AJ62" s="87"/>
      <c r="AK62" s="87"/>
      <c r="AL62" s="93"/>
      <c r="AM62" s="94"/>
      <c r="AN62" s="94"/>
      <c r="AO62" s="6"/>
      <c r="AP62" s="6"/>
      <c r="AQ62" s="6"/>
      <c r="AR62" s="6"/>
      <c r="AS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20"/>
      <c r="CV62" s="43"/>
      <c r="CW62" s="43"/>
      <c r="CX62" s="6"/>
      <c r="CY62" s="19"/>
      <c r="CZ62" s="6"/>
      <c r="DA62" s="40"/>
      <c r="DB62" s="6"/>
      <c r="DC62" s="6"/>
      <c r="DD62" s="6"/>
      <c r="DE62" s="6"/>
      <c r="DF62" s="6"/>
      <c r="DG62" s="6"/>
      <c r="DH62" s="42"/>
      <c r="DI62" s="42"/>
      <c r="DJ62" s="42"/>
      <c r="DK62" s="42"/>
      <c r="DL62" s="42"/>
      <c r="DM62" s="42"/>
      <c r="DN62" s="42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</row>
    <row r="63" spans="2:229">
      <c r="B63" s="6"/>
      <c r="C63" s="6"/>
      <c r="D63" s="6"/>
      <c r="E63" s="6"/>
      <c r="F63" s="84"/>
      <c r="G63" s="55"/>
      <c r="H63" s="6"/>
      <c r="I63" s="6"/>
      <c r="J63" s="6"/>
      <c r="K63" s="6"/>
      <c r="L63" s="88"/>
      <c r="M63" s="83"/>
      <c r="N63" s="89"/>
      <c r="O63" s="89"/>
      <c r="P63" s="89"/>
      <c r="Q63" s="89"/>
      <c r="R63" s="89"/>
      <c r="S63" s="6"/>
      <c r="T63" s="90"/>
      <c r="U63" s="84"/>
      <c r="V63" s="6"/>
      <c r="W63" s="6"/>
      <c r="X63" s="6"/>
      <c r="Y63" s="91"/>
      <c r="Z63" s="6"/>
      <c r="AA63" s="92"/>
      <c r="AB63" s="92"/>
      <c r="AC63" s="87"/>
      <c r="AD63" s="87"/>
      <c r="AE63" s="87"/>
      <c r="AF63" s="87"/>
      <c r="AG63" s="87"/>
      <c r="AH63" s="87"/>
      <c r="AI63" s="87"/>
      <c r="AJ63" s="87"/>
      <c r="AK63" s="87"/>
      <c r="AL63" s="93"/>
      <c r="AM63" s="94"/>
      <c r="AN63" s="94"/>
      <c r="AO63" s="6"/>
      <c r="AP63" s="6"/>
      <c r="AQ63" s="6"/>
      <c r="AR63" s="6"/>
      <c r="AS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20"/>
      <c r="CV63" s="43"/>
      <c r="CW63" s="43"/>
      <c r="CX63" s="6"/>
      <c r="CY63" s="19"/>
      <c r="CZ63" s="6"/>
      <c r="DA63" s="40"/>
      <c r="DB63" s="6"/>
      <c r="DC63" s="6"/>
      <c r="DD63" s="6"/>
      <c r="DE63" s="6"/>
      <c r="DF63" s="6"/>
      <c r="DG63" s="6"/>
      <c r="DH63" s="42"/>
      <c r="DI63" s="42"/>
      <c r="DJ63" s="42"/>
      <c r="DK63" s="42"/>
      <c r="DL63" s="42"/>
      <c r="DM63" s="42"/>
      <c r="DN63" s="42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</row>
    <row r="64" spans="2:229">
      <c r="E64" s="6"/>
      <c r="F64" s="6"/>
      <c r="G64" s="55"/>
      <c r="H64" s="6"/>
      <c r="I64" s="6"/>
      <c r="J64" s="6"/>
      <c r="K64" s="6"/>
      <c r="L64" s="88"/>
      <c r="M64" s="83"/>
      <c r="N64" s="89"/>
      <c r="O64" s="89"/>
      <c r="P64" s="89"/>
      <c r="Q64" s="89"/>
      <c r="R64" s="89"/>
      <c r="S64" s="6"/>
      <c r="T64" s="90"/>
      <c r="U64" s="84"/>
      <c r="V64" s="6"/>
      <c r="W64" s="6"/>
      <c r="X64" s="6"/>
      <c r="Y64" s="91"/>
      <c r="Z64" s="6"/>
      <c r="AA64" s="92"/>
      <c r="AB64" s="92"/>
      <c r="AC64" s="87"/>
      <c r="AD64" s="87"/>
      <c r="AE64" s="87"/>
      <c r="AF64" s="87"/>
      <c r="AG64" s="87"/>
      <c r="AH64" s="87"/>
      <c r="AI64" s="87"/>
      <c r="AJ64" s="87"/>
      <c r="AK64" s="87"/>
      <c r="AL64" s="93"/>
      <c r="AM64" s="94"/>
      <c r="AN64" s="94"/>
      <c r="AO64" s="6"/>
      <c r="AP64" s="6"/>
      <c r="AQ64" s="6"/>
      <c r="AR64" s="6"/>
      <c r="AS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20"/>
      <c r="CV64" s="43"/>
      <c r="CW64" s="43"/>
      <c r="CX64" s="6"/>
      <c r="CY64" s="19"/>
      <c r="CZ64" s="6"/>
      <c r="DA64" s="40"/>
      <c r="DB64" s="6"/>
      <c r="DC64" s="6"/>
      <c r="DD64" s="6"/>
      <c r="DE64" s="6"/>
      <c r="DF64" s="6"/>
      <c r="DG64" s="6"/>
      <c r="DH64" s="42"/>
      <c r="DI64" s="42"/>
      <c r="DJ64" s="42"/>
      <c r="DK64" s="42"/>
      <c r="DL64" s="42"/>
      <c r="DM64" s="42"/>
      <c r="DN64" s="42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</row>
    <row r="65" spans="5:229">
      <c r="E65" s="6"/>
      <c r="F65" s="83"/>
      <c r="G65" s="55"/>
      <c r="H65" s="95"/>
      <c r="I65" s="6"/>
      <c r="J65" s="6"/>
      <c r="K65" s="6"/>
      <c r="L65" s="88"/>
      <c r="M65" s="83"/>
      <c r="N65" s="89"/>
      <c r="O65" s="89"/>
      <c r="P65" s="89"/>
      <c r="Q65" s="89"/>
      <c r="R65" s="89"/>
      <c r="S65" s="6"/>
      <c r="T65" s="90"/>
      <c r="U65" s="84"/>
      <c r="V65" s="6"/>
      <c r="W65" s="6"/>
      <c r="X65" s="6"/>
      <c r="Y65" s="91"/>
      <c r="Z65" s="6"/>
      <c r="AA65" s="92"/>
      <c r="AB65" s="92"/>
      <c r="AC65" s="87"/>
      <c r="AD65" s="87"/>
      <c r="AE65" s="87"/>
      <c r="AF65" s="87"/>
      <c r="AG65" s="87"/>
      <c r="AH65" s="87"/>
      <c r="AI65" s="87"/>
      <c r="AJ65" s="87"/>
      <c r="AK65" s="87"/>
      <c r="AL65" s="93"/>
      <c r="AM65" s="94"/>
      <c r="AN65" s="94"/>
      <c r="AO65" s="6"/>
      <c r="AP65" s="6"/>
      <c r="AQ65" s="6"/>
      <c r="AR65" s="6"/>
      <c r="AS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20"/>
      <c r="CV65" s="43"/>
      <c r="CW65" s="43"/>
      <c r="CX65" s="6"/>
      <c r="CY65" s="19"/>
      <c r="CZ65" s="6"/>
      <c r="DA65" s="40"/>
      <c r="DB65" s="6"/>
      <c r="DC65" s="6"/>
      <c r="DD65" s="6"/>
      <c r="DE65" s="6"/>
      <c r="DF65" s="6"/>
      <c r="DG65" s="6"/>
      <c r="DH65" s="42"/>
      <c r="DI65" s="42"/>
      <c r="DJ65" s="42"/>
      <c r="DK65" s="42"/>
      <c r="DL65" s="42"/>
      <c r="DM65" s="42"/>
      <c r="DN65" s="42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</row>
    <row r="66" spans="5:229">
      <c r="E66" s="6"/>
      <c r="F66" s="83"/>
      <c r="G66" s="55"/>
      <c r="H66" s="6"/>
      <c r="I66" s="6"/>
      <c r="J66" s="6"/>
      <c r="K66" s="6"/>
      <c r="L66" s="88"/>
      <c r="M66" s="83"/>
      <c r="N66" s="89"/>
      <c r="O66" s="89"/>
      <c r="P66" s="89"/>
      <c r="Q66" s="89"/>
      <c r="R66" s="89"/>
      <c r="S66" s="6"/>
      <c r="T66" s="90"/>
      <c r="U66" s="84"/>
      <c r="V66" s="6"/>
      <c r="W66" s="6"/>
      <c r="X66" s="6"/>
      <c r="Y66" s="91"/>
      <c r="Z66" s="6"/>
      <c r="AA66" s="92"/>
      <c r="AB66" s="92"/>
      <c r="AC66" s="87"/>
      <c r="AD66" s="87"/>
      <c r="AE66" s="87"/>
      <c r="AF66" s="87"/>
      <c r="AG66" s="87"/>
      <c r="AH66" s="87"/>
      <c r="AI66" s="87"/>
      <c r="AJ66" s="87"/>
      <c r="AK66" s="87"/>
      <c r="AL66" s="93"/>
      <c r="AM66" s="94"/>
      <c r="AN66" s="94"/>
      <c r="AO66" s="6"/>
      <c r="AP66" s="6"/>
      <c r="AQ66" s="6"/>
      <c r="AR66" s="6"/>
      <c r="AS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20"/>
      <c r="CV66" s="43"/>
      <c r="CW66" s="43"/>
      <c r="CX66" s="6"/>
      <c r="CY66" s="19"/>
      <c r="CZ66" s="6"/>
      <c r="DA66" s="40"/>
      <c r="DB66" s="6"/>
      <c r="DC66" s="6"/>
      <c r="DD66" s="6"/>
      <c r="DE66" s="6"/>
      <c r="DF66" s="6"/>
      <c r="DG66" s="6"/>
      <c r="DH66" s="42"/>
      <c r="DI66" s="42"/>
      <c r="DJ66" s="42"/>
      <c r="DK66" s="42"/>
      <c r="DL66" s="42"/>
      <c r="DM66" s="42"/>
      <c r="DN66" s="42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</row>
    <row r="67" spans="5:229">
      <c r="E67" s="6"/>
      <c r="F67" s="83"/>
      <c r="G67" s="6"/>
      <c r="H67" s="6"/>
      <c r="I67" s="6"/>
      <c r="J67" s="6"/>
      <c r="K67" s="6"/>
      <c r="L67" s="88"/>
      <c r="M67" s="83"/>
      <c r="N67" s="89"/>
      <c r="O67" s="89"/>
      <c r="P67" s="89"/>
      <c r="Q67" s="89"/>
      <c r="R67" s="89"/>
      <c r="S67" s="6"/>
      <c r="T67" s="90"/>
      <c r="U67" s="84"/>
      <c r="V67" s="6"/>
      <c r="W67" s="6"/>
      <c r="X67" s="6"/>
      <c r="Y67" s="91"/>
      <c r="Z67" s="6"/>
      <c r="AA67" s="92"/>
      <c r="AB67" s="92"/>
      <c r="AC67" s="87"/>
      <c r="AD67" s="87"/>
      <c r="AE67" s="87"/>
      <c r="AF67" s="87"/>
      <c r="AG67" s="87"/>
      <c r="AH67" s="87"/>
      <c r="AI67" s="87"/>
      <c r="AJ67" s="87"/>
      <c r="AK67" s="87"/>
      <c r="AL67" s="93"/>
      <c r="AM67" s="94"/>
      <c r="AN67" s="94"/>
      <c r="AO67" s="6"/>
      <c r="AP67" s="6"/>
      <c r="AQ67" s="6"/>
      <c r="AR67" s="6"/>
      <c r="AS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20"/>
      <c r="CV67" s="43"/>
      <c r="CW67" s="43"/>
      <c r="CX67" s="6"/>
      <c r="CY67" s="19"/>
      <c r="CZ67" s="6"/>
      <c r="DA67" s="40"/>
      <c r="DB67" s="6"/>
      <c r="DC67" s="6"/>
      <c r="DD67" s="6"/>
      <c r="DE67" s="6"/>
      <c r="DF67" s="6"/>
      <c r="DG67" s="6"/>
      <c r="DH67" s="42"/>
      <c r="DI67" s="42"/>
      <c r="DJ67" s="42"/>
      <c r="DK67" s="42"/>
      <c r="DL67" s="42"/>
      <c r="DM67" s="42"/>
      <c r="DN67" s="42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</row>
    <row r="68" spans="5:229">
      <c r="E68" s="6"/>
      <c r="F68" s="83"/>
      <c r="G68" s="55"/>
      <c r="H68" s="6"/>
      <c r="I68" s="6"/>
      <c r="J68" s="6"/>
      <c r="K68" s="6"/>
      <c r="L68" s="88"/>
      <c r="M68" s="83"/>
      <c r="N68" s="89"/>
      <c r="O68" s="89"/>
      <c r="P68" s="89"/>
      <c r="Q68" s="89"/>
      <c r="R68" s="89"/>
      <c r="S68" s="6"/>
      <c r="T68" s="90"/>
      <c r="U68" s="84"/>
      <c r="V68" s="6"/>
      <c r="W68" s="6"/>
      <c r="X68" s="6"/>
      <c r="Y68" s="91"/>
      <c r="Z68" s="6"/>
      <c r="AA68" s="92"/>
      <c r="AB68" s="92"/>
      <c r="AC68" s="87"/>
      <c r="AD68" s="87"/>
      <c r="AE68" s="87"/>
      <c r="AF68" s="87"/>
      <c r="AG68" s="87"/>
      <c r="AH68" s="87"/>
      <c r="AI68" s="87"/>
      <c r="AJ68" s="87"/>
      <c r="AK68" s="87"/>
      <c r="AL68" s="93"/>
      <c r="AM68" s="94"/>
      <c r="AN68" s="94"/>
      <c r="AO68" s="6"/>
      <c r="AP68" s="6"/>
      <c r="AQ68" s="6"/>
      <c r="AR68" s="6"/>
      <c r="AS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20"/>
      <c r="CV68" s="43"/>
      <c r="CW68" s="43"/>
      <c r="CX68" s="6"/>
      <c r="CY68" s="19"/>
      <c r="CZ68" s="6"/>
      <c r="DA68" s="40"/>
      <c r="DB68" s="6"/>
      <c r="DC68" s="6"/>
      <c r="DD68" s="6"/>
      <c r="DE68" s="6"/>
      <c r="DF68" s="6"/>
      <c r="DG68" s="6"/>
      <c r="DH68" s="42"/>
      <c r="DI68" s="42"/>
      <c r="DJ68" s="42"/>
      <c r="DK68" s="42"/>
      <c r="DL68" s="42"/>
      <c r="DM68" s="42"/>
      <c r="DN68" s="42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</row>
    <row r="69" spans="5:229">
      <c r="E69" s="6"/>
      <c r="F69" s="83"/>
      <c r="G69" s="55"/>
      <c r="H69" s="6"/>
      <c r="I69" s="6"/>
      <c r="J69" s="6"/>
      <c r="K69" s="6"/>
      <c r="L69" s="88"/>
      <c r="M69" s="83"/>
      <c r="N69" s="89"/>
      <c r="O69" s="89"/>
      <c r="P69" s="89"/>
      <c r="Q69" s="89"/>
      <c r="R69" s="89"/>
      <c r="S69" s="6"/>
      <c r="T69" s="90"/>
      <c r="U69" s="84"/>
      <c r="V69" s="6"/>
      <c r="W69" s="6"/>
      <c r="X69" s="6"/>
      <c r="Y69" s="91"/>
      <c r="Z69" s="6"/>
      <c r="AA69" s="92"/>
      <c r="AB69" s="92"/>
      <c r="AC69" s="87"/>
      <c r="AD69" s="87"/>
      <c r="AE69" s="87"/>
      <c r="AF69" s="87"/>
      <c r="AG69" s="87"/>
      <c r="AH69" s="87"/>
      <c r="AI69" s="87"/>
      <c r="AJ69" s="87"/>
      <c r="AK69" s="87"/>
      <c r="AL69" s="93"/>
      <c r="AM69" s="94"/>
      <c r="AN69" s="94"/>
      <c r="AO69" s="6"/>
      <c r="AP69" s="6"/>
      <c r="AQ69" s="6"/>
      <c r="AR69" s="6"/>
      <c r="AS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20"/>
      <c r="CV69" s="43"/>
      <c r="CW69" s="43"/>
      <c r="CX69" s="6"/>
      <c r="CY69" s="19"/>
      <c r="CZ69" s="6"/>
      <c r="DA69" s="40"/>
      <c r="DB69" s="6"/>
      <c r="DC69" s="6"/>
      <c r="DD69" s="6"/>
      <c r="DE69" s="6"/>
      <c r="DF69" s="6"/>
      <c r="DG69" s="6"/>
      <c r="DH69" s="42"/>
      <c r="DI69" s="42"/>
      <c r="DJ69" s="42"/>
      <c r="DK69" s="42"/>
      <c r="DL69" s="42"/>
      <c r="DM69" s="42"/>
      <c r="DN69" s="42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</row>
    <row r="70" spans="5:229">
      <c r="E70" s="6"/>
      <c r="F70" s="83"/>
      <c r="G70" s="55"/>
      <c r="H70" s="6"/>
      <c r="I70" s="6"/>
      <c r="J70" s="6"/>
      <c r="K70" s="6"/>
      <c r="L70" s="88"/>
      <c r="M70" s="83"/>
      <c r="N70" s="89"/>
      <c r="O70" s="89"/>
      <c r="P70" s="89"/>
      <c r="Q70" s="89"/>
      <c r="R70" s="89"/>
      <c r="S70" s="6"/>
      <c r="T70" s="90"/>
      <c r="U70" s="84"/>
      <c r="V70" s="6"/>
      <c r="W70" s="6"/>
      <c r="X70" s="6"/>
      <c r="Y70" s="91"/>
      <c r="Z70" s="6"/>
      <c r="AA70" s="92"/>
      <c r="AB70" s="92"/>
      <c r="AC70" s="87"/>
      <c r="AD70" s="87"/>
      <c r="AE70" s="87"/>
      <c r="AF70" s="87"/>
      <c r="AG70" s="87"/>
      <c r="AH70" s="87"/>
      <c r="AI70" s="87"/>
      <c r="AJ70" s="87"/>
      <c r="AK70" s="87"/>
      <c r="AL70" s="93"/>
      <c r="AM70" s="94"/>
      <c r="AN70" s="94"/>
      <c r="AO70" s="6"/>
      <c r="AP70" s="6"/>
      <c r="AQ70" s="6"/>
      <c r="AR70" s="6"/>
      <c r="AS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20"/>
      <c r="CV70" s="43"/>
      <c r="CW70" s="43"/>
      <c r="CX70" s="6"/>
      <c r="CY70" s="19"/>
      <c r="CZ70" s="6"/>
      <c r="DA70" s="40"/>
      <c r="DB70" s="6"/>
      <c r="DC70" s="6"/>
      <c r="DD70" s="6"/>
      <c r="DE70" s="6"/>
      <c r="DF70" s="6"/>
      <c r="DG70" s="6"/>
      <c r="DH70" s="42"/>
      <c r="DI70" s="42"/>
      <c r="DJ70" s="42"/>
      <c r="DK70" s="42"/>
      <c r="DL70" s="42"/>
      <c r="DM70" s="42"/>
      <c r="DN70" s="42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</row>
    <row r="71" spans="5:229">
      <c r="E71" s="6"/>
      <c r="F71" s="83"/>
      <c r="G71" s="55"/>
      <c r="H71" s="6"/>
      <c r="I71" s="6"/>
      <c r="J71" s="6"/>
      <c r="K71" s="6"/>
      <c r="L71" s="88"/>
      <c r="M71" s="83"/>
      <c r="N71" s="89"/>
      <c r="O71" s="89"/>
      <c r="P71" s="89"/>
      <c r="Q71" s="89"/>
      <c r="R71" s="89"/>
      <c r="S71" s="6"/>
      <c r="T71" s="90"/>
      <c r="U71" s="84"/>
      <c r="V71" s="6"/>
      <c r="W71" s="6"/>
      <c r="X71" s="6"/>
      <c r="Y71" s="91"/>
      <c r="Z71" s="6"/>
      <c r="AA71" s="92"/>
      <c r="AB71" s="92"/>
      <c r="AC71" s="87"/>
      <c r="AD71" s="87"/>
      <c r="AE71" s="87"/>
      <c r="AF71" s="87"/>
      <c r="AG71" s="87"/>
      <c r="AH71" s="87"/>
      <c r="AI71" s="87"/>
      <c r="AJ71" s="87"/>
      <c r="AK71" s="87"/>
      <c r="AL71" s="93"/>
      <c r="AM71" s="94"/>
      <c r="AN71" s="94"/>
      <c r="AO71" s="6"/>
      <c r="AP71" s="6"/>
      <c r="AQ71" s="6"/>
      <c r="AR71" s="6"/>
      <c r="AS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20"/>
      <c r="CV71" s="43"/>
      <c r="CW71" s="43"/>
      <c r="CX71" s="6"/>
      <c r="CY71" s="19"/>
      <c r="CZ71" s="6"/>
      <c r="DA71" s="40"/>
      <c r="DB71" s="6"/>
      <c r="DC71" s="6"/>
      <c r="DD71" s="6"/>
      <c r="DE71" s="6"/>
      <c r="DF71" s="6"/>
      <c r="DG71" s="6"/>
      <c r="DH71" s="42"/>
      <c r="DI71" s="42"/>
      <c r="DJ71" s="42"/>
      <c r="DK71" s="42"/>
      <c r="DL71" s="42"/>
      <c r="DM71" s="42"/>
      <c r="DN71" s="42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</row>
    <row r="72" spans="5:229">
      <c r="E72" s="6"/>
      <c r="F72" s="83"/>
      <c r="G72" s="55"/>
      <c r="H72" s="6"/>
      <c r="I72" s="6"/>
      <c r="J72" s="6"/>
      <c r="K72" s="6"/>
      <c r="L72" s="88"/>
      <c r="M72" s="83"/>
      <c r="N72" s="89"/>
      <c r="O72" s="89"/>
      <c r="P72" s="89"/>
      <c r="Q72" s="89"/>
      <c r="R72" s="89"/>
      <c r="S72" s="6"/>
      <c r="T72" s="90"/>
      <c r="U72" s="84"/>
      <c r="V72" s="6"/>
      <c r="W72" s="6"/>
      <c r="X72" s="6"/>
      <c r="Y72" s="91"/>
      <c r="Z72" s="6"/>
      <c r="AA72" s="92"/>
      <c r="AB72" s="92"/>
      <c r="AC72" s="87"/>
      <c r="AD72" s="87"/>
      <c r="AE72" s="87"/>
      <c r="AF72" s="87"/>
      <c r="AG72" s="87"/>
      <c r="AH72" s="87"/>
      <c r="AI72" s="87"/>
      <c r="AJ72" s="87"/>
      <c r="AK72" s="87"/>
      <c r="AL72" s="93"/>
      <c r="AM72" s="94"/>
      <c r="AN72" s="94"/>
      <c r="AO72" s="6"/>
      <c r="AP72" s="6"/>
      <c r="AQ72" s="6"/>
      <c r="AR72" s="6"/>
      <c r="AS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20"/>
      <c r="CV72" s="43"/>
      <c r="CW72" s="43"/>
      <c r="CX72" s="6"/>
      <c r="CY72" s="19"/>
      <c r="CZ72" s="6"/>
      <c r="DA72" s="40"/>
      <c r="DB72" s="6"/>
      <c r="DC72" s="6"/>
      <c r="DD72" s="6"/>
      <c r="DE72" s="6"/>
      <c r="DF72" s="6"/>
      <c r="DG72" s="6"/>
      <c r="DH72" s="42"/>
      <c r="DI72" s="42"/>
      <c r="DJ72" s="42"/>
      <c r="DK72" s="42"/>
      <c r="DL72" s="42"/>
      <c r="DM72" s="42"/>
      <c r="DN72" s="42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</row>
    <row r="73" spans="5:229">
      <c r="E73" s="6"/>
      <c r="F73" s="83"/>
      <c r="G73" s="55"/>
      <c r="H73" s="6"/>
      <c r="I73" s="6"/>
      <c r="J73" s="6"/>
      <c r="K73" s="6"/>
      <c r="L73" s="88"/>
      <c r="M73" s="83"/>
      <c r="N73" s="89"/>
      <c r="O73" s="89"/>
      <c r="P73" s="89"/>
      <c r="Q73" s="89"/>
      <c r="R73" s="89"/>
      <c r="S73" s="6"/>
      <c r="T73" s="90"/>
      <c r="U73" s="84"/>
      <c r="V73" s="6"/>
      <c r="W73" s="6"/>
      <c r="X73" s="6"/>
      <c r="Y73" s="91"/>
      <c r="Z73" s="6"/>
      <c r="AA73" s="92"/>
      <c r="AB73" s="92"/>
      <c r="AC73" s="87"/>
      <c r="AD73" s="87"/>
      <c r="AE73" s="87"/>
      <c r="AF73" s="87"/>
      <c r="AG73" s="87"/>
      <c r="AH73" s="87"/>
      <c r="AI73" s="87"/>
      <c r="AJ73" s="87"/>
      <c r="AK73" s="87"/>
      <c r="AL73" s="93"/>
      <c r="AM73" s="94"/>
      <c r="AN73" s="94"/>
      <c r="AO73" s="6"/>
      <c r="AP73" s="6"/>
      <c r="AQ73" s="6"/>
      <c r="AR73" s="6"/>
      <c r="AS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20"/>
      <c r="CV73" s="43"/>
      <c r="CW73" s="43"/>
      <c r="CX73" s="6"/>
      <c r="CY73" s="19"/>
      <c r="CZ73" s="6"/>
      <c r="DA73" s="40"/>
      <c r="DB73" s="6"/>
      <c r="DC73" s="6"/>
      <c r="DD73" s="6"/>
      <c r="DE73" s="6"/>
      <c r="DF73" s="6"/>
      <c r="DG73" s="6"/>
      <c r="DH73" s="42"/>
      <c r="DI73" s="42"/>
      <c r="DJ73" s="42"/>
      <c r="DK73" s="42"/>
      <c r="DL73" s="42"/>
      <c r="DM73" s="42"/>
      <c r="DN73" s="42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</row>
    <row r="74" spans="5:229">
      <c r="E74" s="6"/>
      <c r="F74" s="83"/>
      <c r="G74" s="55"/>
      <c r="H74" s="6"/>
      <c r="I74" s="6"/>
      <c r="J74" s="6"/>
      <c r="K74" s="6"/>
      <c r="L74" s="88"/>
      <c r="M74" s="83"/>
      <c r="N74" s="89"/>
      <c r="O74" s="89"/>
      <c r="P74" s="89"/>
      <c r="Q74" s="89"/>
      <c r="R74" s="89"/>
      <c r="S74" s="6"/>
      <c r="T74" s="90"/>
      <c r="U74" s="84"/>
      <c r="V74" s="6"/>
      <c r="W74" s="6"/>
      <c r="X74" s="6"/>
      <c r="Y74" s="91"/>
      <c r="Z74" s="6"/>
      <c r="AA74" s="92"/>
      <c r="AB74" s="92"/>
      <c r="AC74" s="87"/>
      <c r="AD74" s="87"/>
      <c r="AE74" s="87"/>
      <c r="AF74" s="87"/>
      <c r="AG74" s="87"/>
      <c r="AH74" s="87"/>
      <c r="AI74" s="87"/>
      <c r="AJ74" s="87"/>
      <c r="AK74" s="87"/>
      <c r="AL74" s="93"/>
      <c r="AM74" s="94"/>
      <c r="AN74" s="94"/>
      <c r="AO74" s="6"/>
      <c r="AP74" s="6"/>
      <c r="AQ74" s="6"/>
      <c r="AR74" s="6"/>
      <c r="AS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20"/>
      <c r="CV74" s="43"/>
      <c r="CW74" s="43"/>
      <c r="CX74" s="6"/>
      <c r="CY74" s="19"/>
      <c r="CZ74" s="6"/>
      <c r="DA74" s="40"/>
      <c r="DB74" s="6"/>
      <c r="DC74" s="6"/>
      <c r="DD74" s="6"/>
      <c r="DE74" s="6"/>
      <c r="DF74" s="6"/>
      <c r="DG74" s="6"/>
      <c r="DH74" s="42"/>
      <c r="DI74" s="42"/>
      <c r="DJ74" s="42"/>
      <c r="DK74" s="42"/>
      <c r="DL74" s="42"/>
      <c r="DM74" s="42"/>
      <c r="DN74" s="42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</row>
    <row r="75" spans="5:229">
      <c r="E75" s="6"/>
      <c r="F75" s="84"/>
      <c r="G75" s="55"/>
      <c r="H75" s="6"/>
      <c r="I75" s="6"/>
      <c r="J75" s="6"/>
      <c r="K75" s="6"/>
      <c r="L75" s="88"/>
      <c r="M75" s="83"/>
      <c r="N75" s="89"/>
      <c r="O75" s="89"/>
      <c r="P75" s="89"/>
      <c r="Q75" s="89"/>
      <c r="R75" s="89"/>
      <c r="S75" s="6"/>
      <c r="T75" s="90"/>
      <c r="U75" s="84"/>
      <c r="V75" s="6"/>
      <c r="W75" s="6"/>
      <c r="X75" s="6"/>
      <c r="Y75" s="91"/>
      <c r="Z75" s="6"/>
      <c r="AA75" s="92"/>
      <c r="AB75" s="92"/>
      <c r="AC75" s="87"/>
      <c r="AD75" s="87"/>
      <c r="AE75" s="87"/>
      <c r="AF75" s="87"/>
      <c r="AG75" s="87"/>
      <c r="AH75" s="87"/>
      <c r="AI75" s="87"/>
      <c r="AJ75" s="87"/>
      <c r="AK75" s="87"/>
      <c r="AL75" s="93"/>
      <c r="AM75" s="94"/>
      <c r="AN75" s="94"/>
      <c r="AO75" s="6"/>
      <c r="AP75" s="6"/>
      <c r="AQ75" s="6"/>
      <c r="AR75" s="6"/>
      <c r="AS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20"/>
      <c r="CV75" s="43"/>
      <c r="CW75" s="43"/>
      <c r="CX75" s="6"/>
      <c r="CY75" s="19"/>
      <c r="CZ75" s="6"/>
      <c r="DA75" s="40"/>
      <c r="DB75" s="6"/>
      <c r="DC75" s="6"/>
      <c r="DD75" s="6"/>
      <c r="DE75" s="6"/>
      <c r="DF75" s="6"/>
      <c r="DG75" s="6"/>
      <c r="DH75" s="42"/>
      <c r="DI75" s="42"/>
      <c r="DJ75" s="42"/>
      <c r="DK75" s="42"/>
      <c r="DL75" s="42"/>
      <c r="DM75" s="42"/>
      <c r="DN75" s="42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</row>
    <row r="76" spans="5:229">
      <c r="E76" s="6"/>
      <c r="F76" s="6"/>
      <c r="G76" s="6"/>
      <c r="H76" s="6"/>
      <c r="I76" s="6"/>
      <c r="J76" s="6"/>
      <c r="K76" s="6"/>
      <c r="L76" s="88"/>
      <c r="M76" s="83"/>
      <c r="N76" s="89"/>
      <c r="O76" s="89"/>
      <c r="P76" s="89"/>
      <c r="Q76" s="89"/>
      <c r="R76" s="89"/>
      <c r="S76" s="6"/>
      <c r="T76" s="90"/>
      <c r="U76" s="84"/>
      <c r="V76" s="6"/>
      <c r="W76" s="6"/>
      <c r="X76" s="6"/>
      <c r="Y76" s="91"/>
      <c r="Z76" s="6"/>
      <c r="AA76" s="92"/>
      <c r="AB76" s="92"/>
      <c r="AC76" s="87"/>
      <c r="AD76" s="87"/>
      <c r="AE76" s="87"/>
      <c r="AF76" s="87"/>
      <c r="AG76" s="87"/>
      <c r="AH76" s="87"/>
      <c r="AI76" s="87"/>
      <c r="AJ76" s="87"/>
      <c r="AK76" s="87"/>
      <c r="AL76" s="93"/>
      <c r="AM76" s="94"/>
      <c r="AN76" s="94"/>
      <c r="AO76" s="6"/>
      <c r="AP76" s="6"/>
      <c r="AQ76" s="6"/>
      <c r="AR76" s="6"/>
      <c r="AS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20"/>
      <c r="CV76" s="43"/>
      <c r="CW76" s="43"/>
      <c r="CX76" s="6"/>
      <c r="CY76" s="19"/>
      <c r="CZ76" s="6"/>
      <c r="DA76" s="40"/>
      <c r="DB76" s="6"/>
      <c r="DC76" s="25"/>
      <c r="DD76" s="6"/>
      <c r="DE76" s="6"/>
      <c r="DF76" s="6"/>
      <c r="DG76" s="6"/>
      <c r="DH76" s="42"/>
      <c r="DI76" s="42"/>
      <c r="DJ76" s="42"/>
      <c r="DK76" s="42"/>
      <c r="DL76" s="42"/>
      <c r="DM76" s="42"/>
      <c r="DN76" s="42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</row>
    <row r="77" spans="5:229">
      <c r="E77" s="6"/>
      <c r="F77" s="83"/>
      <c r="G77" s="55"/>
      <c r="H77" s="95"/>
      <c r="I77" s="6"/>
      <c r="J77" s="6"/>
      <c r="K77" s="6"/>
      <c r="L77" s="88"/>
      <c r="M77" s="83"/>
      <c r="N77" s="89"/>
      <c r="O77" s="89"/>
      <c r="P77" s="89"/>
      <c r="Q77" s="89"/>
      <c r="R77" s="89"/>
      <c r="S77" s="6"/>
      <c r="T77" s="90"/>
      <c r="U77" s="84"/>
      <c r="V77" s="6"/>
      <c r="W77" s="6"/>
      <c r="X77" s="6"/>
      <c r="Y77" s="91"/>
      <c r="Z77" s="6"/>
      <c r="AA77" s="92"/>
      <c r="AB77" s="92"/>
      <c r="AC77" s="87"/>
      <c r="AD77" s="87"/>
      <c r="AE77" s="87"/>
      <c r="AF77" s="87"/>
      <c r="AG77" s="87"/>
      <c r="AH77" s="87"/>
      <c r="AI77" s="87"/>
      <c r="AJ77" s="87"/>
      <c r="AK77" s="87"/>
      <c r="AL77" s="93"/>
      <c r="AM77" s="94"/>
      <c r="AN77" s="94"/>
      <c r="AO77" s="6"/>
      <c r="AP77" s="6"/>
      <c r="AQ77" s="6"/>
      <c r="AR77" s="6"/>
      <c r="AS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20"/>
      <c r="CV77" s="43"/>
      <c r="CW77" s="43"/>
      <c r="CX77" s="6"/>
      <c r="CY77" s="19"/>
      <c r="CZ77" s="6"/>
      <c r="DA77" s="40"/>
      <c r="DB77" s="6"/>
      <c r="DC77" s="6"/>
      <c r="DD77" s="6"/>
      <c r="DE77" s="6"/>
      <c r="DF77" s="6"/>
      <c r="DG77" s="6"/>
      <c r="DH77" s="42"/>
      <c r="DI77" s="42"/>
      <c r="DJ77" s="42"/>
      <c r="DK77" s="42"/>
      <c r="DL77" s="42"/>
      <c r="DM77" s="42"/>
      <c r="DN77" s="42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</row>
    <row r="78" spans="5:229">
      <c r="E78" s="6"/>
      <c r="F78" s="83"/>
      <c r="G78" s="55"/>
      <c r="H78" s="6"/>
      <c r="I78" s="6"/>
      <c r="J78" s="6"/>
      <c r="K78" s="6"/>
      <c r="L78" s="88"/>
      <c r="M78" s="83"/>
      <c r="N78" s="89"/>
      <c r="O78" s="89"/>
      <c r="P78" s="89"/>
      <c r="Q78" s="89"/>
      <c r="R78" s="89"/>
      <c r="S78" s="6"/>
      <c r="T78" s="90"/>
      <c r="U78" s="84"/>
      <c r="V78" s="6"/>
      <c r="W78" s="6"/>
      <c r="X78" s="6"/>
      <c r="Y78" s="91"/>
      <c r="Z78" s="6"/>
      <c r="AA78" s="92"/>
      <c r="AB78" s="92"/>
      <c r="AC78" s="87"/>
      <c r="AD78" s="87"/>
      <c r="AE78" s="87"/>
      <c r="AF78" s="87"/>
      <c r="AG78" s="87"/>
      <c r="AH78" s="87"/>
      <c r="AI78" s="87"/>
      <c r="AJ78" s="87"/>
      <c r="AK78" s="87"/>
      <c r="AL78" s="93"/>
      <c r="AM78" s="94"/>
      <c r="AN78" s="94"/>
      <c r="AO78" s="6"/>
      <c r="AP78" s="6"/>
      <c r="AQ78" s="6"/>
      <c r="AR78" s="6"/>
      <c r="AS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20"/>
      <c r="CV78" s="43"/>
      <c r="CW78" s="43"/>
      <c r="CX78" s="6"/>
      <c r="CY78" s="19"/>
      <c r="CZ78" s="6"/>
      <c r="DA78" s="40"/>
      <c r="DB78" s="6"/>
      <c r="DC78" s="6"/>
      <c r="DD78" s="6"/>
      <c r="DE78" s="6"/>
      <c r="DF78" s="6"/>
      <c r="DG78" s="6"/>
      <c r="DH78" s="42"/>
      <c r="DI78" s="42"/>
      <c r="DJ78" s="42"/>
      <c r="DK78" s="42"/>
      <c r="DL78" s="42"/>
      <c r="DM78" s="42"/>
      <c r="DN78" s="42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</row>
    <row r="79" spans="5:229">
      <c r="E79" s="6"/>
      <c r="F79" s="83"/>
      <c r="G79" s="6"/>
      <c r="H79" s="6"/>
      <c r="I79" s="6"/>
      <c r="J79" s="6"/>
      <c r="K79" s="6"/>
      <c r="L79" s="88"/>
      <c r="M79" s="83"/>
      <c r="N79" s="89"/>
      <c r="O79" s="89"/>
      <c r="P79" s="89"/>
      <c r="Q79" s="89"/>
      <c r="R79" s="89"/>
      <c r="S79" s="6"/>
      <c r="T79" s="90"/>
      <c r="U79" s="84"/>
      <c r="V79" s="6"/>
      <c r="W79" s="6"/>
      <c r="X79" s="6"/>
      <c r="Y79" s="91"/>
      <c r="Z79" s="6"/>
      <c r="AA79" s="92"/>
      <c r="AB79" s="92"/>
      <c r="AC79" s="87"/>
      <c r="AD79" s="87"/>
      <c r="AE79" s="87"/>
      <c r="AF79" s="87"/>
      <c r="AG79" s="87"/>
      <c r="AH79" s="87"/>
      <c r="AI79" s="87"/>
      <c r="AJ79" s="87"/>
      <c r="AK79" s="87"/>
      <c r="AL79" s="93"/>
      <c r="AM79" s="94"/>
      <c r="AN79" s="94"/>
      <c r="AO79" s="6"/>
      <c r="AP79" s="6"/>
      <c r="AQ79" s="6"/>
      <c r="AR79" s="6"/>
      <c r="AS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20"/>
      <c r="CV79" s="43"/>
      <c r="CW79" s="43"/>
      <c r="CX79" s="6"/>
      <c r="CY79" s="19"/>
      <c r="CZ79" s="6"/>
      <c r="DA79" s="40"/>
      <c r="DB79" s="6"/>
      <c r="DC79" s="6"/>
      <c r="DD79" s="6"/>
      <c r="DE79" s="6"/>
      <c r="DF79" s="6"/>
      <c r="DG79" s="6"/>
      <c r="DH79" s="42"/>
      <c r="DI79" s="42"/>
      <c r="DJ79" s="42"/>
      <c r="DK79" s="42"/>
      <c r="DL79" s="42"/>
      <c r="DM79" s="42"/>
      <c r="DN79" s="42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</row>
    <row r="80" spans="5:229">
      <c r="E80" s="6"/>
      <c r="F80" s="83"/>
      <c r="G80" s="55"/>
      <c r="H80" s="6"/>
      <c r="I80" s="6"/>
      <c r="J80" s="6"/>
      <c r="K80" s="6"/>
      <c r="L80" s="88"/>
      <c r="M80" s="83"/>
      <c r="N80" s="89"/>
      <c r="O80" s="89"/>
      <c r="P80" s="89"/>
      <c r="Q80" s="89"/>
      <c r="R80" s="89"/>
      <c r="S80" s="6"/>
      <c r="T80" s="90"/>
      <c r="U80" s="84"/>
      <c r="V80" s="6"/>
      <c r="W80" s="6"/>
      <c r="X80" s="6"/>
      <c r="Y80" s="91"/>
      <c r="Z80" s="6"/>
      <c r="AA80" s="92"/>
      <c r="AB80" s="92"/>
      <c r="AC80" s="87"/>
      <c r="AD80" s="87"/>
      <c r="AE80" s="87"/>
      <c r="AF80" s="87"/>
      <c r="AG80" s="87"/>
      <c r="AH80" s="87"/>
      <c r="AI80" s="87"/>
      <c r="AJ80" s="87"/>
      <c r="AK80" s="87"/>
      <c r="AL80" s="93"/>
      <c r="AM80" s="94"/>
      <c r="AN80" s="94"/>
      <c r="AO80" s="6"/>
      <c r="AP80" s="6"/>
      <c r="AQ80" s="6"/>
      <c r="AR80" s="6"/>
      <c r="AS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20"/>
      <c r="CV80" s="43"/>
      <c r="CW80" s="43"/>
      <c r="CX80" s="6"/>
      <c r="CY80" s="19"/>
      <c r="CZ80" s="6"/>
      <c r="DA80" s="40"/>
      <c r="DB80" s="6"/>
      <c r="DC80" s="6"/>
      <c r="DD80" s="6"/>
      <c r="DE80" s="6"/>
      <c r="DF80" s="6"/>
      <c r="DG80" s="6"/>
      <c r="DH80" s="42"/>
      <c r="DI80" s="42"/>
      <c r="DJ80" s="42"/>
      <c r="DK80" s="42"/>
      <c r="DL80" s="42"/>
      <c r="DM80" s="42"/>
      <c r="DN80" s="42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</row>
    <row r="81" spans="5:229">
      <c r="E81" s="6"/>
      <c r="F81" s="83"/>
      <c r="G81" s="55"/>
      <c r="H81" s="6"/>
      <c r="I81" s="6"/>
      <c r="J81" s="6"/>
      <c r="K81" s="6"/>
      <c r="L81" s="88"/>
      <c r="M81" s="83"/>
      <c r="N81" s="89"/>
      <c r="O81" s="89"/>
      <c r="P81" s="89"/>
      <c r="Q81" s="89"/>
      <c r="R81" s="89"/>
      <c r="S81" s="6"/>
      <c r="T81" s="90"/>
      <c r="U81" s="84"/>
      <c r="V81" s="6"/>
      <c r="W81" s="6"/>
      <c r="X81" s="6"/>
      <c r="Y81" s="91"/>
      <c r="Z81" s="6"/>
      <c r="AA81" s="92"/>
      <c r="AB81" s="92"/>
      <c r="AC81" s="87"/>
      <c r="AD81" s="87"/>
      <c r="AE81" s="87"/>
      <c r="AF81" s="87"/>
      <c r="AG81" s="87"/>
      <c r="AH81" s="87"/>
      <c r="AI81" s="87"/>
      <c r="AJ81" s="87"/>
      <c r="AK81" s="87"/>
      <c r="AL81" s="93"/>
      <c r="AM81" s="94"/>
      <c r="AN81" s="94"/>
      <c r="AO81" s="6"/>
      <c r="AP81" s="6"/>
      <c r="AQ81" s="6"/>
      <c r="AR81" s="6"/>
      <c r="AS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20"/>
      <c r="CV81" s="43"/>
      <c r="CW81" s="43"/>
      <c r="CX81" s="6"/>
      <c r="CY81" s="19"/>
      <c r="CZ81" s="6"/>
      <c r="DA81" s="40"/>
      <c r="DB81" s="6"/>
      <c r="DC81" s="6"/>
      <c r="DD81" s="6"/>
      <c r="DE81" s="6"/>
      <c r="DF81" s="6"/>
      <c r="DG81" s="6"/>
      <c r="DH81" s="42"/>
      <c r="DI81" s="42"/>
      <c r="DJ81" s="42"/>
      <c r="DK81" s="42"/>
      <c r="DL81" s="42"/>
      <c r="DM81" s="42"/>
      <c r="DN81" s="42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</row>
    <row r="82" spans="5:229">
      <c r="E82" s="6"/>
      <c r="F82" s="83"/>
      <c r="G82" s="55"/>
      <c r="H82" s="6"/>
      <c r="I82" s="6"/>
      <c r="J82" s="6"/>
      <c r="K82" s="6"/>
      <c r="L82" s="88"/>
      <c r="M82" s="83"/>
      <c r="N82" s="89"/>
      <c r="O82" s="89"/>
      <c r="P82" s="89"/>
      <c r="Q82" s="89"/>
      <c r="R82" s="89"/>
      <c r="S82" s="6"/>
      <c r="T82" s="90"/>
      <c r="U82" s="84"/>
      <c r="V82" s="6"/>
      <c r="W82" s="6"/>
      <c r="X82" s="6"/>
      <c r="Y82" s="91"/>
      <c r="Z82" s="6"/>
      <c r="AA82" s="92"/>
      <c r="AB82" s="92"/>
      <c r="AC82" s="87"/>
      <c r="AD82" s="87"/>
      <c r="AE82" s="87"/>
      <c r="AF82" s="87"/>
      <c r="AG82" s="87"/>
      <c r="AH82" s="87"/>
      <c r="AI82" s="87"/>
      <c r="AJ82" s="87"/>
      <c r="AK82" s="87"/>
      <c r="AL82" s="93"/>
      <c r="AM82" s="94"/>
      <c r="AN82" s="94"/>
      <c r="AO82" s="6"/>
      <c r="AP82" s="6"/>
      <c r="AQ82" s="6"/>
      <c r="AR82" s="6"/>
      <c r="AS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20"/>
      <c r="CV82" s="43"/>
      <c r="CW82" s="43"/>
      <c r="CX82" s="6"/>
      <c r="CY82" s="19"/>
      <c r="CZ82" s="6"/>
      <c r="DA82" s="40"/>
      <c r="DB82" s="6"/>
      <c r="DC82" s="6"/>
      <c r="DD82" s="6"/>
      <c r="DE82" s="6"/>
      <c r="DF82" s="6"/>
      <c r="DG82" s="6"/>
      <c r="DH82" s="42"/>
      <c r="DI82" s="42"/>
      <c r="DJ82" s="42"/>
      <c r="DK82" s="42"/>
      <c r="DL82" s="42"/>
      <c r="DM82" s="42"/>
      <c r="DN82" s="42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</row>
    <row r="83" spans="5:229">
      <c r="E83" s="6"/>
      <c r="F83" s="83"/>
      <c r="G83" s="55"/>
      <c r="H83" s="6"/>
      <c r="I83" s="6"/>
      <c r="J83" s="6"/>
      <c r="K83" s="6"/>
      <c r="L83" s="88"/>
      <c r="M83" s="83"/>
      <c r="N83" s="89"/>
      <c r="O83" s="89"/>
      <c r="P83" s="89"/>
      <c r="Q83" s="89"/>
      <c r="R83" s="89"/>
      <c r="S83" s="6"/>
      <c r="T83" s="90"/>
      <c r="U83" s="84"/>
      <c r="V83" s="6"/>
      <c r="W83" s="6"/>
      <c r="X83" s="6"/>
      <c r="Y83" s="91"/>
      <c r="Z83" s="6"/>
      <c r="AA83" s="92"/>
      <c r="AB83" s="92"/>
      <c r="AC83" s="87"/>
      <c r="AD83" s="87"/>
      <c r="AE83" s="87"/>
      <c r="AF83" s="87"/>
      <c r="AG83" s="87"/>
      <c r="AH83" s="87"/>
      <c r="AI83" s="87"/>
      <c r="AJ83" s="87"/>
      <c r="AK83" s="87"/>
      <c r="AL83" s="93"/>
      <c r="AM83" s="94"/>
      <c r="AN83" s="94"/>
      <c r="AO83" s="6"/>
      <c r="AP83" s="6"/>
      <c r="AQ83" s="6"/>
      <c r="AR83" s="6"/>
      <c r="AS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20"/>
      <c r="CV83" s="43"/>
      <c r="CW83" s="43"/>
      <c r="CX83" s="6"/>
      <c r="CY83" s="19"/>
      <c r="CZ83" s="6"/>
      <c r="DA83" s="40"/>
      <c r="DB83" s="6"/>
      <c r="DC83" s="6"/>
      <c r="DD83" s="6"/>
      <c r="DE83" s="6"/>
      <c r="DF83" s="6"/>
      <c r="DG83" s="6"/>
      <c r="DH83" s="42"/>
      <c r="DI83" s="42"/>
      <c r="DJ83" s="42"/>
      <c r="DK83" s="42"/>
      <c r="DL83" s="42"/>
      <c r="DM83" s="42"/>
      <c r="DN83" s="42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</row>
    <row r="84" spans="5:229">
      <c r="E84" s="6"/>
      <c r="F84" s="83"/>
      <c r="G84" s="55"/>
      <c r="H84" s="6"/>
      <c r="I84" s="6"/>
      <c r="J84" s="6"/>
      <c r="K84" s="6"/>
      <c r="L84" s="88"/>
      <c r="M84" s="83"/>
      <c r="N84" s="89"/>
      <c r="O84" s="89"/>
      <c r="P84" s="89"/>
      <c r="Q84" s="89"/>
      <c r="R84" s="89"/>
      <c r="S84" s="6"/>
      <c r="T84" s="90"/>
      <c r="U84" s="84"/>
      <c r="V84" s="6"/>
      <c r="W84" s="6"/>
      <c r="X84" s="6"/>
      <c r="Y84" s="91"/>
      <c r="Z84" s="6"/>
      <c r="AA84" s="92"/>
      <c r="AB84" s="92"/>
      <c r="AC84" s="87"/>
      <c r="AD84" s="87"/>
      <c r="AE84" s="87"/>
      <c r="AF84" s="87"/>
      <c r="AG84" s="87"/>
      <c r="AH84" s="87"/>
      <c r="AI84" s="87"/>
      <c r="AJ84" s="87"/>
      <c r="AK84" s="87"/>
      <c r="AL84" s="93"/>
      <c r="AM84" s="94"/>
      <c r="AN84" s="94"/>
      <c r="AO84" s="6"/>
      <c r="AP84" s="6"/>
      <c r="AQ84" s="6"/>
      <c r="AR84" s="6"/>
      <c r="AS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20"/>
      <c r="CV84" s="43"/>
      <c r="CW84" s="43"/>
      <c r="CX84" s="6"/>
      <c r="CY84" s="19"/>
      <c r="CZ84" s="6"/>
      <c r="DA84" s="40"/>
      <c r="DB84" s="6"/>
      <c r="DC84" s="6"/>
      <c r="DD84" s="6"/>
      <c r="DE84" s="6"/>
      <c r="DF84" s="6"/>
      <c r="DG84" s="6"/>
      <c r="DH84" s="42"/>
      <c r="DI84" s="42"/>
      <c r="DJ84" s="42"/>
      <c r="DK84" s="42"/>
      <c r="DL84" s="42"/>
      <c r="DM84" s="42"/>
      <c r="DN84" s="42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</row>
    <row r="85" spans="5:229">
      <c r="E85" s="6"/>
      <c r="F85" s="83"/>
      <c r="G85" s="55"/>
      <c r="H85" s="6"/>
      <c r="I85" s="6"/>
      <c r="J85" s="6"/>
      <c r="K85" s="6"/>
      <c r="L85" s="88"/>
      <c r="M85" s="83"/>
      <c r="N85" s="89"/>
      <c r="O85" s="89"/>
      <c r="P85" s="89"/>
      <c r="Q85" s="89"/>
      <c r="R85" s="89"/>
      <c r="S85" s="6"/>
      <c r="T85" s="90"/>
      <c r="U85" s="84"/>
      <c r="V85" s="6"/>
      <c r="W85" s="6"/>
      <c r="X85" s="6"/>
      <c r="Y85" s="91"/>
      <c r="Z85" s="6"/>
      <c r="AA85" s="92"/>
      <c r="AB85" s="92"/>
      <c r="AC85" s="87"/>
      <c r="AD85" s="87"/>
      <c r="AE85" s="87"/>
      <c r="AF85" s="87"/>
      <c r="AG85" s="87"/>
      <c r="AH85" s="87"/>
      <c r="AI85" s="87"/>
      <c r="AJ85" s="87"/>
      <c r="AK85" s="87"/>
      <c r="AL85" s="93"/>
      <c r="AM85" s="94"/>
      <c r="AN85" s="94"/>
      <c r="AO85" s="6"/>
      <c r="AP85" s="6"/>
      <c r="AQ85" s="6"/>
      <c r="AR85" s="6"/>
      <c r="AS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20"/>
      <c r="CV85" s="43"/>
      <c r="CW85" s="43"/>
      <c r="CX85" s="6"/>
      <c r="CY85" s="19"/>
      <c r="CZ85" s="6"/>
      <c r="DA85" s="40"/>
      <c r="DB85" s="6"/>
      <c r="DC85" s="6"/>
      <c r="DD85" s="6"/>
      <c r="DE85" s="6"/>
      <c r="DF85" s="6"/>
      <c r="DG85" s="6"/>
      <c r="DH85" s="42"/>
      <c r="DI85" s="42"/>
      <c r="DJ85" s="42"/>
      <c r="DK85" s="42"/>
      <c r="DL85" s="42"/>
      <c r="DM85" s="42"/>
      <c r="DN85" s="42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</row>
    <row r="86" spans="5:229">
      <c r="E86" s="6"/>
      <c r="F86" s="83"/>
      <c r="G86" s="55"/>
      <c r="H86" s="6"/>
      <c r="I86" s="6"/>
      <c r="J86" s="6"/>
      <c r="K86" s="6"/>
      <c r="L86" s="88"/>
      <c r="M86" s="83"/>
      <c r="N86" s="89"/>
      <c r="O86" s="89"/>
      <c r="P86" s="89"/>
      <c r="Q86" s="89"/>
      <c r="R86" s="89"/>
      <c r="S86" s="6"/>
      <c r="T86" s="90"/>
      <c r="U86" s="84"/>
      <c r="V86" s="6"/>
      <c r="W86" s="6"/>
      <c r="X86" s="6"/>
      <c r="Y86" s="91"/>
      <c r="Z86" s="6"/>
      <c r="AA86" s="92"/>
      <c r="AB86" s="92"/>
      <c r="AC86" s="87"/>
      <c r="AD86" s="87"/>
      <c r="AE86" s="87"/>
      <c r="AF86" s="87"/>
      <c r="AG86" s="87"/>
      <c r="AH86" s="87"/>
      <c r="AI86" s="87"/>
      <c r="AJ86" s="87"/>
      <c r="AK86" s="87"/>
      <c r="AL86" s="93"/>
      <c r="AM86" s="94"/>
      <c r="AN86" s="94"/>
      <c r="AO86" s="6"/>
      <c r="AP86" s="6"/>
      <c r="AQ86" s="6"/>
      <c r="AR86" s="6"/>
      <c r="AS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20"/>
      <c r="CV86" s="43"/>
      <c r="CW86" s="43"/>
      <c r="CX86" s="6"/>
      <c r="CY86" s="19"/>
      <c r="CZ86" s="6"/>
      <c r="DA86" s="40"/>
      <c r="DB86" s="6"/>
      <c r="DC86" s="6"/>
      <c r="DD86" s="6"/>
      <c r="DE86" s="6"/>
      <c r="DF86" s="6"/>
      <c r="DG86" s="6"/>
      <c r="DH86" s="42"/>
      <c r="DI86" s="42"/>
      <c r="DJ86" s="42"/>
      <c r="DK86" s="42"/>
      <c r="DL86" s="42"/>
      <c r="DM86" s="42"/>
      <c r="DN86" s="42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</row>
    <row r="87" spans="5:229">
      <c r="E87" s="6"/>
      <c r="F87" s="84"/>
      <c r="G87" s="55"/>
      <c r="H87" s="6"/>
      <c r="I87" s="6"/>
      <c r="J87" s="6"/>
      <c r="K87" s="6"/>
      <c r="L87" s="88"/>
      <c r="M87" s="83"/>
      <c r="N87" s="89"/>
      <c r="O87" s="89"/>
      <c r="P87" s="89"/>
      <c r="Q87" s="89"/>
      <c r="R87" s="89"/>
      <c r="S87" s="6"/>
      <c r="T87" s="90"/>
      <c r="U87" s="84"/>
      <c r="V87" s="6"/>
      <c r="W87" s="6"/>
      <c r="X87" s="6"/>
      <c r="Y87" s="91"/>
      <c r="Z87" s="6"/>
      <c r="AA87" s="92"/>
      <c r="AB87" s="92"/>
      <c r="AC87" s="87"/>
      <c r="AD87" s="87"/>
      <c r="AE87" s="87"/>
      <c r="AF87" s="87"/>
      <c r="AG87" s="87"/>
      <c r="AH87" s="87"/>
      <c r="AI87" s="87"/>
      <c r="AJ87" s="87"/>
      <c r="AK87" s="87"/>
      <c r="AL87" s="93"/>
      <c r="AM87" s="94"/>
      <c r="AN87" s="94"/>
      <c r="AO87" s="6"/>
      <c r="AP87" s="6"/>
      <c r="AQ87" s="6"/>
      <c r="AR87" s="6"/>
      <c r="AS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20"/>
      <c r="CV87" s="43"/>
      <c r="CW87" s="43"/>
      <c r="CX87" s="6"/>
      <c r="CY87" s="19"/>
      <c r="CZ87" s="6"/>
      <c r="DA87" s="40"/>
      <c r="DB87" s="6"/>
      <c r="DC87" s="6"/>
      <c r="DD87" s="6"/>
      <c r="DE87" s="6"/>
      <c r="DF87" s="6"/>
      <c r="DG87" s="6"/>
      <c r="DH87" s="42"/>
      <c r="DI87" s="42"/>
      <c r="DJ87" s="42"/>
      <c r="DK87" s="42"/>
      <c r="DL87" s="42"/>
      <c r="DM87" s="42"/>
      <c r="DN87" s="42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</row>
    <row r="88" spans="5:229">
      <c r="E88" s="6"/>
      <c r="F88" s="6"/>
      <c r="G88" s="6"/>
      <c r="H88" s="6"/>
      <c r="I88" s="6"/>
      <c r="J88" s="6"/>
      <c r="K88" s="6"/>
      <c r="L88" s="88"/>
      <c r="M88" s="83"/>
      <c r="N88" s="89"/>
      <c r="O88" s="89"/>
      <c r="P88" s="89"/>
      <c r="Q88" s="89"/>
      <c r="R88" s="89"/>
      <c r="S88" s="6"/>
      <c r="T88" s="90"/>
      <c r="U88" s="84"/>
      <c r="V88" s="6"/>
      <c r="W88" s="6"/>
      <c r="X88" s="6"/>
      <c r="Y88" s="91"/>
      <c r="Z88" s="6"/>
      <c r="AA88" s="92"/>
      <c r="AB88" s="92"/>
      <c r="AC88" s="87"/>
      <c r="AD88" s="87"/>
      <c r="AE88" s="87"/>
      <c r="AF88" s="87"/>
      <c r="AG88" s="87"/>
      <c r="AH88" s="87"/>
      <c r="AI88" s="87"/>
      <c r="AJ88" s="87"/>
      <c r="AK88" s="87"/>
      <c r="AL88" s="93"/>
      <c r="AM88" s="94"/>
      <c r="AN88" s="94"/>
      <c r="AO88" s="6"/>
      <c r="AP88" s="6"/>
      <c r="AQ88" s="6"/>
      <c r="AR88" s="6"/>
      <c r="AS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20"/>
      <c r="CV88" s="43"/>
      <c r="CW88" s="43"/>
      <c r="CX88" s="6"/>
      <c r="CY88" s="19"/>
      <c r="CZ88" s="6"/>
      <c r="DA88" s="40"/>
      <c r="DB88" s="6"/>
      <c r="DC88" s="6"/>
      <c r="DD88" s="6"/>
      <c r="DE88" s="6"/>
      <c r="DF88" s="6"/>
      <c r="DG88" s="6"/>
      <c r="DH88" s="42"/>
      <c r="DI88" s="42"/>
      <c r="DJ88" s="42"/>
      <c r="DK88" s="42"/>
      <c r="DL88" s="42"/>
      <c r="DM88" s="42"/>
      <c r="DN88" s="42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</row>
    <row r="89" spans="5:229">
      <c r="E89" s="6"/>
      <c r="F89" s="83"/>
      <c r="G89" s="55"/>
      <c r="H89" s="95"/>
      <c r="I89" s="6"/>
      <c r="J89" s="6"/>
      <c r="K89" s="6"/>
      <c r="L89" s="88"/>
      <c r="M89" s="83"/>
      <c r="N89" s="89"/>
      <c r="O89" s="89"/>
      <c r="P89" s="89"/>
      <c r="Q89" s="89"/>
      <c r="R89" s="89"/>
      <c r="S89" s="6"/>
      <c r="T89" s="90"/>
      <c r="U89" s="84"/>
      <c r="V89" s="6"/>
      <c r="W89" s="6"/>
      <c r="X89" s="6"/>
      <c r="Y89" s="91"/>
      <c r="Z89" s="6"/>
      <c r="AA89" s="92"/>
      <c r="AB89" s="92"/>
      <c r="AC89" s="87"/>
      <c r="AD89" s="87"/>
      <c r="AE89" s="87"/>
      <c r="AF89" s="87"/>
      <c r="AG89" s="87"/>
      <c r="AH89" s="87"/>
      <c r="AI89" s="87"/>
      <c r="AJ89" s="87"/>
      <c r="AK89" s="87"/>
      <c r="AL89" s="93"/>
      <c r="AM89" s="94"/>
      <c r="AN89" s="94"/>
      <c r="AO89" s="6"/>
      <c r="AP89" s="6"/>
      <c r="AQ89" s="6"/>
      <c r="AR89" s="6"/>
      <c r="AS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20"/>
      <c r="CV89" s="43"/>
      <c r="CW89" s="43"/>
      <c r="CX89" s="6"/>
      <c r="CY89" s="19"/>
      <c r="CZ89" s="6"/>
      <c r="DA89" s="40"/>
      <c r="DB89" s="6"/>
      <c r="DC89" s="6"/>
      <c r="DD89" s="6"/>
      <c r="DE89" s="6"/>
      <c r="DF89" s="6"/>
      <c r="DG89" s="6"/>
      <c r="DH89" s="42"/>
      <c r="DI89" s="42"/>
      <c r="DJ89" s="42"/>
      <c r="DK89" s="42"/>
      <c r="DL89" s="42"/>
      <c r="DM89" s="42"/>
      <c r="DN89" s="42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</row>
    <row r="90" spans="5:229">
      <c r="E90" s="6"/>
      <c r="F90" s="83"/>
      <c r="G90" s="55"/>
      <c r="H90" s="6"/>
      <c r="I90" s="6"/>
      <c r="J90" s="6"/>
      <c r="K90" s="6"/>
      <c r="L90" s="88"/>
      <c r="M90" s="83"/>
      <c r="N90" s="89"/>
      <c r="O90" s="89"/>
      <c r="P90" s="89"/>
      <c r="Q90" s="89"/>
      <c r="R90" s="89"/>
      <c r="S90" s="6"/>
      <c r="T90" s="90"/>
      <c r="U90" s="84"/>
      <c r="V90" s="6"/>
      <c r="W90" s="6"/>
      <c r="X90" s="6"/>
      <c r="Y90" s="91"/>
      <c r="Z90" s="6"/>
      <c r="AA90" s="92"/>
      <c r="AB90" s="92"/>
      <c r="AC90" s="87"/>
      <c r="AD90" s="87"/>
      <c r="AE90" s="87"/>
      <c r="AF90" s="87"/>
      <c r="AG90" s="87"/>
      <c r="AH90" s="87"/>
      <c r="AI90" s="87"/>
      <c r="AJ90" s="87"/>
      <c r="AK90" s="87"/>
      <c r="AL90" s="93"/>
      <c r="AM90" s="94"/>
      <c r="AN90" s="94"/>
      <c r="AO90" s="6"/>
      <c r="AP90" s="6"/>
      <c r="AQ90" s="6"/>
      <c r="AR90" s="6"/>
      <c r="AS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20"/>
      <c r="CV90" s="43"/>
      <c r="CW90" s="43"/>
      <c r="CX90" s="6"/>
      <c r="CY90" s="19"/>
      <c r="CZ90" s="6"/>
      <c r="DA90" s="40"/>
      <c r="DB90" s="6"/>
      <c r="DC90" s="6"/>
      <c r="DD90" s="6"/>
      <c r="DE90" s="6"/>
      <c r="DF90" s="6"/>
      <c r="DG90" s="6"/>
      <c r="DH90" s="42"/>
      <c r="DI90" s="42"/>
      <c r="DJ90" s="42"/>
      <c r="DK90" s="42"/>
      <c r="DL90" s="42"/>
      <c r="DM90" s="42"/>
      <c r="DN90" s="42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</row>
    <row r="91" spans="5:229">
      <c r="E91" s="6"/>
      <c r="F91" s="83"/>
      <c r="G91" s="6"/>
      <c r="H91" s="6"/>
      <c r="I91" s="6"/>
      <c r="J91" s="6"/>
      <c r="K91" s="6"/>
      <c r="L91" s="88"/>
      <c r="M91" s="83"/>
      <c r="N91" s="89"/>
      <c r="O91" s="89"/>
      <c r="P91" s="89"/>
      <c r="Q91" s="89"/>
      <c r="R91" s="89"/>
      <c r="S91" s="6"/>
      <c r="T91" s="90"/>
      <c r="U91" s="84"/>
      <c r="V91" s="6"/>
      <c r="W91" s="6"/>
      <c r="X91" s="6"/>
      <c r="Y91" s="91"/>
      <c r="Z91" s="6"/>
      <c r="AA91" s="92"/>
      <c r="AB91" s="92"/>
      <c r="AC91" s="87"/>
      <c r="AD91" s="87"/>
      <c r="AE91" s="87"/>
      <c r="AF91" s="87"/>
      <c r="AG91" s="87"/>
      <c r="AH91" s="87"/>
      <c r="AI91" s="87"/>
      <c r="AJ91" s="87"/>
      <c r="AK91" s="87"/>
      <c r="AL91" s="93"/>
      <c r="AM91" s="94"/>
      <c r="AN91" s="94"/>
      <c r="AO91" s="6"/>
      <c r="AP91" s="6"/>
      <c r="AQ91" s="6"/>
      <c r="AR91" s="6"/>
      <c r="AS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20"/>
      <c r="CV91" s="43"/>
      <c r="CW91" s="43"/>
      <c r="CX91" s="6"/>
      <c r="CY91" s="19"/>
      <c r="CZ91" s="6"/>
      <c r="DA91" s="40"/>
      <c r="DB91" s="6"/>
      <c r="DC91" s="6"/>
      <c r="DD91" s="6"/>
      <c r="DE91" s="6"/>
      <c r="DF91" s="6"/>
      <c r="DG91" s="6"/>
      <c r="DH91" s="42"/>
      <c r="DI91" s="42"/>
      <c r="DJ91" s="42"/>
      <c r="DK91" s="42"/>
      <c r="DL91" s="42"/>
      <c r="DM91" s="42"/>
      <c r="DN91" s="42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</row>
    <row r="92" spans="5:229">
      <c r="E92" s="6"/>
      <c r="F92" s="83"/>
      <c r="G92" s="55"/>
      <c r="H92" s="6"/>
      <c r="I92" s="6"/>
      <c r="J92" s="6"/>
      <c r="K92" s="6"/>
      <c r="L92" s="88"/>
      <c r="M92" s="83"/>
      <c r="N92" s="89"/>
      <c r="O92" s="89"/>
      <c r="P92" s="89"/>
      <c r="Q92" s="89"/>
      <c r="R92" s="89"/>
      <c r="S92" s="6"/>
      <c r="T92" s="90"/>
      <c r="U92" s="84"/>
      <c r="V92" s="6"/>
      <c r="W92" s="6"/>
      <c r="X92" s="6"/>
      <c r="Y92" s="91"/>
      <c r="Z92" s="6"/>
      <c r="AA92" s="92"/>
      <c r="AB92" s="92"/>
      <c r="AC92" s="87"/>
      <c r="AD92" s="87"/>
      <c r="AE92" s="87"/>
      <c r="AF92" s="87"/>
      <c r="AG92" s="87"/>
      <c r="AH92" s="87"/>
      <c r="AI92" s="87"/>
      <c r="AJ92" s="87"/>
      <c r="AK92" s="87"/>
      <c r="AL92" s="93"/>
      <c r="AM92" s="94"/>
      <c r="AN92" s="94"/>
      <c r="AO92" s="6"/>
      <c r="AP92" s="6"/>
      <c r="AQ92" s="6"/>
      <c r="AR92" s="6"/>
      <c r="AS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20"/>
      <c r="CV92" s="43"/>
      <c r="CW92" s="43"/>
      <c r="CX92" s="6"/>
      <c r="CY92" s="19"/>
      <c r="CZ92" s="6"/>
      <c r="DA92" s="40"/>
      <c r="DB92" s="6"/>
      <c r="DC92" s="6"/>
      <c r="DD92" s="6"/>
      <c r="DE92" s="6"/>
      <c r="DF92" s="6"/>
      <c r="DG92" s="6"/>
      <c r="DH92" s="42"/>
      <c r="DI92" s="42"/>
      <c r="DJ92" s="42"/>
      <c r="DK92" s="42"/>
      <c r="DL92" s="42"/>
      <c r="DM92" s="42"/>
      <c r="DN92" s="42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</row>
    <row r="93" spans="5:229">
      <c r="E93" s="6"/>
      <c r="F93" s="83"/>
      <c r="G93" s="55"/>
      <c r="H93" s="6"/>
      <c r="I93" s="6"/>
      <c r="J93" s="6"/>
      <c r="K93" s="6"/>
      <c r="L93" s="88"/>
      <c r="M93" s="83"/>
      <c r="N93" s="89"/>
      <c r="O93" s="89"/>
      <c r="P93" s="89"/>
      <c r="Q93" s="89"/>
      <c r="R93" s="89"/>
      <c r="S93" s="6"/>
      <c r="T93" s="90"/>
      <c r="U93" s="84"/>
      <c r="V93" s="6"/>
      <c r="W93" s="6"/>
      <c r="X93" s="6"/>
      <c r="Y93" s="91"/>
      <c r="Z93" s="6"/>
      <c r="AA93" s="92"/>
      <c r="AB93" s="92"/>
      <c r="AC93" s="87"/>
      <c r="AD93" s="87"/>
      <c r="AE93" s="87"/>
      <c r="AF93" s="87"/>
      <c r="AG93" s="87"/>
      <c r="AH93" s="87"/>
      <c r="AI93" s="87"/>
      <c r="AJ93" s="87"/>
      <c r="AK93" s="87"/>
      <c r="AL93" s="93"/>
      <c r="AM93" s="94"/>
      <c r="AN93" s="94"/>
      <c r="AO93" s="6"/>
      <c r="AP93" s="6"/>
      <c r="AQ93" s="6"/>
      <c r="AR93" s="6"/>
      <c r="AS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20"/>
      <c r="CV93" s="43"/>
      <c r="CW93" s="43"/>
      <c r="CX93" s="6"/>
      <c r="CY93" s="19"/>
      <c r="CZ93" s="6"/>
      <c r="DA93" s="40"/>
      <c r="DB93" s="6"/>
      <c r="DC93" s="6"/>
      <c r="DD93" s="6"/>
      <c r="DE93" s="6"/>
      <c r="DF93" s="6"/>
      <c r="DG93" s="6"/>
      <c r="DH93" s="42"/>
      <c r="DI93" s="42"/>
      <c r="DJ93" s="42"/>
      <c r="DK93" s="42"/>
      <c r="DL93" s="42"/>
      <c r="DM93" s="42"/>
      <c r="DN93" s="42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</row>
    <row r="94" spans="5:229">
      <c r="E94" s="6"/>
      <c r="F94" s="83"/>
      <c r="G94" s="55"/>
      <c r="H94" s="6"/>
      <c r="I94" s="6"/>
      <c r="J94" s="6"/>
      <c r="K94" s="6"/>
      <c r="L94" s="88"/>
      <c r="M94" s="83"/>
      <c r="N94" s="89"/>
      <c r="O94" s="89"/>
      <c r="P94" s="89"/>
      <c r="Q94" s="89"/>
      <c r="R94" s="89"/>
      <c r="S94" s="6"/>
      <c r="T94" s="90"/>
      <c r="U94" s="84"/>
      <c r="V94" s="6"/>
      <c r="W94" s="6"/>
      <c r="X94" s="6"/>
      <c r="Y94" s="91"/>
      <c r="Z94" s="6"/>
      <c r="AA94" s="92"/>
      <c r="AB94" s="92"/>
      <c r="AC94" s="87"/>
      <c r="AD94" s="87"/>
      <c r="AE94" s="87"/>
      <c r="AF94" s="87"/>
      <c r="AG94" s="87"/>
      <c r="AH94" s="87"/>
      <c r="AI94" s="87"/>
      <c r="AJ94" s="87"/>
      <c r="AK94" s="87"/>
      <c r="AL94" s="93"/>
      <c r="AM94" s="94"/>
      <c r="AN94" s="94"/>
      <c r="AO94" s="6"/>
      <c r="AP94" s="6"/>
      <c r="AQ94" s="6"/>
      <c r="AR94" s="6"/>
      <c r="AS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20"/>
      <c r="CV94" s="43"/>
      <c r="CW94" s="43"/>
      <c r="CX94" s="6"/>
      <c r="CY94" s="19"/>
      <c r="CZ94" s="6"/>
      <c r="DA94" s="40"/>
      <c r="DB94" s="6"/>
      <c r="DC94" s="6"/>
      <c r="DD94" s="6"/>
      <c r="DE94" s="6"/>
      <c r="DF94" s="6"/>
      <c r="DG94" s="6"/>
      <c r="DH94" s="42"/>
      <c r="DI94" s="42"/>
      <c r="DJ94" s="42"/>
      <c r="DK94" s="42"/>
      <c r="DL94" s="42"/>
      <c r="DM94" s="42"/>
      <c r="DN94" s="42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</row>
    <row r="95" spans="5:229">
      <c r="E95" s="6"/>
      <c r="F95" s="83"/>
      <c r="G95" s="55"/>
      <c r="H95" s="6"/>
      <c r="I95" s="6"/>
      <c r="J95" s="6"/>
      <c r="K95" s="6"/>
      <c r="L95" s="88"/>
      <c r="M95" s="83"/>
      <c r="N95" s="89"/>
      <c r="O95" s="89"/>
      <c r="P95" s="89"/>
      <c r="Q95" s="89"/>
      <c r="R95" s="89"/>
      <c r="S95" s="6"/>
      <c r="T95" s="90"/>
      <c r="U95" s="84"/>
      <c r="V95" s="6"/>
      <c r="W95" s="6"/>
      <c r="X95" s="6"/>
      <c r="Y95" s="91"/>
      <c r="Z95" s="6"/>
      <c r="AA95" s="92"/>
      <c r="AB95" s="92"/>
      <c r="AC95" s="87"/>
      <c r="AD95" s="87"/>
      <c r="AE95" s="87"/>
      <c r="AF95" s="87"/>
      <c r="AG95" s="87"/>
      <c r="AH95" s="87"/>
      <c r="AI95" s="87"/>
      <c r="AJ95" s="87"/>
      <c r="AK95" s="87"/>
      <c r="AL95" s="93"/>
      <c r="AM95" s="94"/>
      <c r="AN95" s="94"/>
      <c r="AO95" s="6"/>
      <c r="AP95" s="6"/>
      <c r="AQ95" s="6"/>
      <c r="AR95" s="6"/>
      <c r="AS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20"/>
      <c r="CV95" s="43"/>
      <c r="CW95" s="43"/>
      <c r="CX95" s="6"/>
      <c r="CY95" s="19"/>
      <c r="CZ95" s="6"/>
      <c r="DA95" s="40"/>
      <c r="DB95" s="6"/>
      <c r="DC95" s="6"/>
      <c r="DD95" s="6"/>
      <c r="DE95" s="6"/>
      <c r="DF95" s="6"/>
      <c r="DG95" s="6"/>
      <c r="DH95" s="42"/>
      <c r="DI95" s="42"/>
      <c r="DJ95" s="42"/>
      <c r="DK95" s="42"/>
      <c r="DL95" s="42"/>
      <c r="DM95" s="42"/>
      <c r="DN95" s="42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</row>
    <row r="96" spans="5:229">
      <c r="E96" s="6"/>
      <c r="F96" s="83"/>
      <c r="G96" s="55"/>
      <c r="H96" s="6"/>
      <c r="I96" s="6"/>
      <c r="J96" s="6"/>
      <c r="K96" s="6"/>
      <c r="L96" s="88"/>
      <c r="M96" s="83"/>
      <c r="N96" s="89"/>
      <c r="O96" s="89"/>
      <c r="P96" s="89"/>
      <c r="Q96" s="89"/>
      <c r="R96" s="89"/>
      <c r="S96" s="6"/>
      <c r="T96" s="90"/>
      <c r="U96" s="84"/>
      <c r="V96" s="6"/>
      <c r="W96" s="6"/>
      <c r="X96" s="6"/>
      <c r="Y96" s="91"/>
      <c r="Z96" s="6"/>
      <c r="AA96" s="92"/>
      <c r="AB96" s="92"/>
      <c r="AC96" s="87"/>
      <c r="AD96" s="87"/>
      <c r="AE96" s="87"/>
      <c r="AF96" s="87"/>
      <c r="AG96" s="87"/>
      <c r="AH96" s="87"/>
      <c r="AI96" s="87"/>
      <c r="AJ96" s="87"/>
      <c r="AK96" s="87"/>
      <c r="AL96" s="93"/>
      <c r="AM96" s="94"/>
      <c r="AN96" s="94"/>
      <c r="AO96" s="6"/>
      <c r="AP96" s="6"/>
      <c r="AQ96" s="6"/>
      <c r="AR96" s="6"/>
      <c r="AS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20"/>
      <c r="CV96" s="43"/>
      <c r="CW96" s="43"/>
      <c r="CX96" s="6"/>
      <c r="CY96" s="19"/>
      <c r="CZ96" s="6"/>
      <c r="DA96" s="40"/>
      <c r="DB96" s="6"/>
      <c r="DC96" s="6"/>
      <c r="DD96" s="6"/>
      <c r="DE96" s="6"/>
      <c r="DF96" s="6"/>
      <c r="DG96" s="6"/>
      <c r="DH96" s="42"/>
      <c r="DI96" s="42"/>
      <c r="DJ96" s="42"/>
      <c r="DK96" s="42"/>
      <c r="DL96" s="42"/>
      <c r="DM96" s="42"/>
      <c r="DN96" s="42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</row>
    <row r="97" spans="5:229">
      <c r="E97" s="6"/>
      <c r="F97" s="83"/>
      <c r="G97" s="55"/>
      <c r="H97" s="6"/>
      <c r="I97" s="6"/>
      <c r="J97" s="6"/>
      <c r="K97" s="6"/>
      <c r="L97" s="88"/>
      <c r="M97" s="83"/>
      <c r="N97" s="89"/>
      <c r="O97" s="89"/>
      <c r="P97" s="89"/>
      <c r="Q97" s="89"/>
      <c r="R97" s="89"/>
      <c r="S97" s="6"/>
      <c r="T97" s="90"/>
      <c r="U97" s="84"/>
      <c r="V97" s="6"/>
      <c r="W97" s="6"/>
      <c r="X97" s="6"/>
      <c r="Y97" s="91"/>
      <c r="Z97" s="6"/>
      <c r="AA97" s="92"/>
      <c r="AB97" s="92"/>
      <c r="AC97" s="87"/>
      <c r="AD97" s="87"/>
      <c r="AE97" s="87"/>
      <c r="AF97" s="87"/>
      <c r="AG97" s="87"/>
      <c r="AH97" s="87"/>
      <c r="AI97" s="87"/>
      <c r="AJ97" s="87"/>
      <c r="AK97" s="87"/>
      <c r="AL97" s="93"/>
      <c r="AM97" s="94"/>
      <c r="AN97" s="94"/>
      <c r="AO97" s="6"/>
      <c r="AP97" s="6"/>
      <c r="AQ97" s="6"/>
      <c r="AR97" s="6"/>
      <c r="AS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20"/>
      <c r="CV97" s="43"/>
      <c r="CW97" s="43"/>
      <c r="CX97" s="6"/>
      <c r="CY97" s="19"/>
      <c r="CZ97" s="6"/>
      <c r="DA97" s="40"/>
      <c r="DB97" s="6"/>
      <c r="DC97" s="6"/>
      <c r="DD97" s="6"/>
      <c r="DE97" s="6"/>
      <c r="DF97" s="6"/>
      <c r="DG97" s="6"/>
      <c r="DH97" s="42"/>
      <c r="DI97" s="42"/>
      <c r="DJ97" s="42"/>
      <c r="DK97" s="42"/>
      <c r="DL97" s="42"/>
      <c r="DM97" s="42"/>
      <c r="DN97" s="42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</row>
    <row r="98" spans="5:229">
      <c r="E98" s="6"/>
      <c r="F98" s="83"/>
      <c r="G98" s="55"/>
      <c r="H98" s="6"/>
      <c r="I98" s="6"/>
      <c r="J98" s="6"/>
      <c r="K98" s="6"/>
      <c r="L98" s="88"/>
      <c r="M98" s="83"/>
      <c r="N98" s="89"/>
      <c r="O98" s="89"/>
      <c r="P98" s="89"/>
      <c r="Q98" s="89"/>
      <c r="R98" s="89"/>
      <c r="S98" s="6"/>
      <c r="T98" s="90"/>
      <c r="U98" s="84"/>
      <c r="V98" s="6"/>
      <c r="W98" s="6"/>
      <c r="X98" s="6"/>
      <c r="Y98" s="91"/>
      <c r="Z98" s="6"/>
      <c r="AA98" s="92"/>
      <c r="AB98" s="92"/>
      <c r="AC98" s="87"/>
      <c r="AD98" s="87"/>
      <c r="AE98" s="87"/>
      <c r="AF98" s="87"/>
      <c r="AG98" s="87"/>
      <c r="AH98" s="87"/>
      <c r="AI98" s="87"/>
      <c r="AJ98" s="87"/>
      <c r="AK98" s="87"/>
      <c r="AL98" s="93"/>
      <c r="AM98" s="94"/>
      <c r="AN98" s="94"/>
      <c r="AO98" s="6"/>
      <c r="AP98" s="6"/>
      <c r="AQ98" s="6"/>
      <c r="AR98" s="6"/>
      <c r="AS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20"/>
      <c r="CV98" s="43"/>
      <c r="CW98" s="43"/>
      <c r="CX98" s="6"/>
      <c r="CY98" s="19"/>
      <c r="CZ98" s="6"/>
      <c r="DA98" s="40"/>
      <c r="DB98" s="6"/>
      <c r="DC98" s="6"/>
      <c r="DD98" s="6"/>
      <c r="DE98" s="6"/>
      <c r="DF98" s="6"/>
      <c r="DG98" s="6"/>
      <c r="DH98" s="42"/>
      <c r="DI98" s="42"/>
      <c r="DJ98" s="42"/>
      <c r="DK98" s="42"/>
      <c r="DL98" s="42"/>
      <c r="DM98" s="42"/>
      <c r="DN98" s="42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</row>
    <row r="99" spans="5:229">
      <c r="E99" s="6"/>
      <c r="F99" s="84"/>
      <c r="G99" s="55"/>
      <c r="H99" s="6"/>
      <c r="I99" s="6"/>
      <c r="J99" s="6"/>
      <c r="K99" s="6"/>
      <c r="L99" s="88"/>
      <c r="M99" s="83"/>
      <c r="N99" s="89"/>
      <c r="O99" s="89"/>
      <c r="P99" s="89"/>
      <c r="Q99" s="89"/>
      <c r="R99" s="89"/>
      <c r="S99" s="6"/>
      <c r="T99" s="90"/>
      <c r="U99" s="84"/>
      <c r="V99" s="6"/>
      <c r="W99" s="6"/>
      <c r="X99" s="6"/>
      <c r="Y99" s="91"/>
      <c r="Z99" s="6"/>
      <c r="AA99" s="92"/>
      <c r="AB99" s="92"/>
      <c r="AC99" s="87"/>
      <c r="AD99" s="87"/>
      <c r="AE99" s="87"/>
      <c r="AF99" s="87"/>
      <c r="AG99" s="87"/>
      <c r="AH99" s="87"/>
      <c r="AI99" s="87"/>
      <c r="AJ99" s="87"/>
      <c r="AK99" s="87"/>
      <c r="AL99" s="93"/>
      <c r="AM99" s="94"/>
      <c r="AN99" s="94"/>
      <c r="AO99" s="6"/>
      <c r="AP99" s="6"/>
      <c r="AQ99" s="6"/>
      <c r="AR99" s="6"/>
      <c r="AS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20"/>
      <c r="CV99" s="43"/>
      <c r="CW99" s="43"/>
      <c r="CX99" s="6"/>
      <c r="CY99" s="19"/>
      <c r="CZ99" s="6"/>
      <c r="DA99" s="40"/>
      <c r="DB99" s="6"/>
      <c r="DC99" s="6"/>
      <c r="DD99" s="6"/>
      <c r="DE99" s="6"/>
      <c r="DF99" s="6"/>
      <c r="DG99" s="6"/>
      <c r="DH99" s="42"/>
      <c r="DI99" s="42"/>
      <c r="DJ99" s="42"/>
      <c r="DK99" s="42"/>
      <c r="DL99" s="42"/>
      <c r="DM99" s="42"/>
      <c r="DN99" s="42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</row>
    <row r="100" spans="5:229">
      <c r="E100" s="6"/>
      <c r="F100" s="6"/>
      <c r="G100" s="6"/>
      <c r="H100" s="6"/>
      <c r="I100" s="6"/>
      <c r="J100" s="6"/>
      <c r="K100" s="6"/>
      <c r="L100" s="88"/>
      <c r="M100" s="83"/>
      <c r="N100" s="89"/>
      <c r="O100" s="89"/>
      <c r="P100" s="89"/>
      <c r="Q100" s="89"/>
      <c r="R100" s="89"/>
      <c r="S100" s="6"/>
      <c r="T100" s="90"/>
      <c r="U100" s="84"/>
      <c r="V100" s="6"/>
      <c r="W100" s="6"/>
      <c r="X100" s="6"/>
      <c r="Y100" s="91"/>
      <c r="Z100" s="6"/>
      <c r="AA100" s="92"/>
      <c r="AB100" s="92"/>
      <c r="AC100" s="87"/>
      <c r="AD100" s="87"/>
      <c r="AE100" s="87"/>
      <c r="AF100" s="87"/>
      <c r="AG100" s="87"/>
      <c r="AH100" s="87"/>
      <c r="AI100" s="87"/>
      <c r="AJ100" s="87"/>
      <c r="AK100" s="87"/>
      <c r="AL100" s="93"/>
      <c r="AM100" s="94"/>
      <c r="AN100" s="94"/>
      <c r="AO100" s="6"/>
      <c r="AP100" s="6"/>
      <c r="AQ100" s="6"/>
      <c r="AR100" s="6"/>
      <c r="AS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20"/>
      <c r="CV100" s="43"/>
      <c r="CW100" s="43"/>
      <c r="CX100" s="6"/>
      <c r="CY100" s="19"/>
      <c r="CZ100" s="6"/>
      <c r="DA100" s="40"/>
      <c r="DB100" s="6"/>
      <c r="DC100" s="6"/>
      <c r="DD100" s="6"/>
      <c r="DE100" s="6"/>
      <c r="DF100" s="6"/>
      <c r="DG100" s="6"/>
      <c r="DH100" s="42"/>
      <c r="DI100" s="42"/>
      <c r="DJ100" s="42"/>
      <c r="DK100" s="42"/>
      <c r="DL100" s="42"/>
      <c r="DM100" s="42"/>
      <c r="DN100" s="42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</row>
    <row r="101" spans="5:229">
      <c r="E101" s="6"/>
      <c r="F101" s="83"/>
      <c r="G101" s="55"/>
      <c r="H101" s="95"/>
      <c r="I101" s="6"/>
      <c r="J101" s="6"/>
      <c r="K101" s="6"/>
      <c r="L101" s="88"/>
      <c r="M101" s="83"/>
      <c r="N101" s="89"/>
      <c r="O101" s="89"/>
      <c r="P101" s="89"/>
      <c r="Q101" s="89"/>
      <c r="R101" s="89"/>
      <c r="S101" s="6"/>
      <c r="T101" s="90"/>
      <c r="U101" s="84"/>
      <c r="V101" s="6"/>
      <c r="W101" s="6"/>
      <c r="X101" s="6"/>
      <c r="Y101" s="91"/>
      <c r="Z101" s="6"/>
      <c r="AA101" s="92"/>
      <c r="AB101" s="92"/>
      <c r="AC101" s="87"/>
      <c r="AD101" s="87"/>
      <c r="AE101" s="87"/>
      <c r="AF101" s="87"/>
      <c r="AG101" s="87"/>
      <c r="AH101" s="87"/>
      <c r="AI101" s="87"/>
      <c r="AJ101" s="87"/>
      <c r="AK101" s="87"/>
      <c r="AL101" s="93"/>
      <c r="AM101" s="94"/>
      <c r="AN101" s="94"/>
      <c r="AO101" s="6"/>
      <c r="AP101" s="6"/>
      <c r="AQ101" s="6"/>
      <c r="AR101" s="6"/>
      <c r="AS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20"/>
      <c r="CV101" s="43"/>
      <c r="CW101" s="43"/>
      <c r="CX101" s="6"/>
      <c r="CY101" s="19"/>
      <c r="CZ101" s="6"/>
      <c r="DA101" s="40"/>
      <c r="DB101" s="6"/>
      <c r="DC101" s="6"/>
      <c r="DD101" s="6"/>
      <c r="DE101" s="6"/>
      <c r="DF101" s="6"/>
      <c r="DG101" s="6"/>
      <c r="DH101" s="42"/>
      <c r="DI101" s="42"/>
      <c r="DJ101" s="42"/>
      <c r="DK101" s="42"/>
      <c r="DL101" s="42"/>
      <c r="DM101" s="42"/>
      <c r="DN101" s="42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</row>
    <row r="102" spans="5:229">
      <c r="E102" s="6"/>
      <c r="F102" s="83"/>
      <c r="G102" s="55"/>
      <c r="H102" s="6"/>
      <c r="I102" s="6"/>
      <c r="J102" s="6"/>
      <c r="K102" s="6"/>
      <c r="L102" s="88"/>
      <c r="M102" s="83"/>
      <c r="N102" s="89"/>
      <c r="O102" s="89"/>
      <c r="P102" s="89"/>
      <c r="Q102" s="89"/>
      <c r="R102" s="89"/>
      <c r="S102" s="6"/>
      <c r="T102" s="90"/>
      <c r="U102" s="84"/>
      <c r="V102" s="6"/>
      <c r="W102" s="6"/>
      <c r="X102" s="6"/>
      <c r="Y102" s="91"/>
      <c r="Z102" s="6"/>
      <c r="AA102" s="92"/>
      <c r="AB102" s="92"/>
      <c r="AC102" s="87"/>
      <c r="AD102" s="87"/>
      <c r="AE102" s="87"/>
      <c r="AF102" s="87"/>
      <c r="AG102" s="87"/>
      <c r="AH102" s="87"/>
      <c r="AI102" s="87"/>
      <c r="AJ102" s="87"/>
      <c r="AK102" s="87"/>
      <c r="AL102" s="93"/>
      <c r="AM102" s="94"/>
      <c r="AN102" s="94"/>
      <c r="AO102" s="6"/>
      <c r="AP102" s="6"/>
      <c r="AQ102" s="6"/>
      <c r="AR102" s="6"/>
      <c r="AS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20"/>
      <c r="CV102" s="43"/>
      <c r="CW102" s="43"/>
      <c r="CX102" s="6"/>
      <c r="CY102" s="19"/>
      <c r="CZ102" s="6"/>
      <c r="DA102" s="40"/>
      <c r="DB102" s="6"/>
      <c r="DC102" s="6"/>
      <c r="DD102" s="6"/>
      <c r="DE102" s="6"/>
      <c r="DF102" s="6"/>
      <c r="DG102" s="6"/>
      <c r="DH102" s="42"/>
      <c r="DI102" s="42"/>
      <c r="DJ102" s="42"/>
      <c r="DK102" s="42"/>
      <c r="DL102" s="42"/>
      <c r="DM102" s="42"/>
      <c r="DN102" s="42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</row>
    <row r="103" spans="5:229">
      <c r="E103" s="6"/>
      <c r="F103" s="83"/>
      <c r="G103" s="6"/>
      <c r="H103" s="6"/>
      <c r="I103" s="6"/>
      <c r="J103" s="6"/>
      <c r="K103" s="6"/>
      <c r="L103" s="88"/>
      <c r="M103" s="83"/>
      <c r="N103" s="89"/>
      <c r="O103" s="89"/>
      <c r="P103" s="89"/>
      <c r="Q103" s="89"/>
      <c r="R103" s="89"/>
      <c r="S103" s="6"/>
      <c r="T103" s="90"/>
      <c r="U103" s="84"/>
      <c r="V103" s="6"/>
      <c r="W103" s="6"/>
      <c r="X103" s="6"/>
      <c r="Y103" s="91"/>
      <c r="Z103" s="6"/>
      <c r="AA103" s="92"/>
      <c r="AB103" s="92"/>
      <c r="AC103" s="87"/>
      <c r="AD103" s="87"/>
      <c r="AE103" s="87"/>
      <c r="AF103" s="87"/>
      <c r="AG103" s="87"/>
      <c r="AH103" s="87"/>
      <c r="AI103" s="87"/>
      <c r="AJ103" s="87"/>
      <c r="AK103" s="87"/>
      <c r="AL103" s="93"/>
      <c r="AM103" s="94"/>
      <c r="AN103" s="94"/>
      <c r="AO103" s="6"/>
      <c r="AP103" s="6"/>
      <c r="AQ103" s="6"/>
      <c r="AR103" s="6"/>
      <c r="AS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20"/>
      <c r="CV103" s="43"/>
      <c r="CW103" s="43"/>
      <c r="CX103" s="6"/>
      <c r="CY103" s="19"/>
      <c r="CZ103" s="6"/>
      <c r="DA103" s="40"/>
      <c r="DB103" s="6"/>
      <c r="DC103" s="6"/>
      <c r="DD103" s="6"/>
      <c r="DE103" s="6"/>
      <c r="DF103" s="6"/>
      <c r="DG103" s="6"/>
      <c r="DH103" s="42"/>
      <c r="DI103" s="42"/>
      <c r="DJ103" s="42"/>
      <c r="DK103" s="42"/>
      <c r="DL103" s="42"/>
      <c r="DM103" s="42"/>
      <c r="DN103" s="42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</row>
    <row r="104" spans="5:229">
      <c r="E104" s="6"/>
      <c r="F104" s="83"/>
      <c r="G104" s="55"/>
      <c r="H104" s="6"/>
      <c r="I104" s="6"/>
      <c r="J104" s="6"/>
      <c r="K104" s="6"/>
      <c r="L104" s="88"/>
      <c r="M104" s="83"/>
      <c r="N104" s="89"/>
      <c r="O104" s="89"/>
      <c r="P104" s="89"/>
      <c r="Q104" s="89"/>
      <c r="R104" s="89"/>
      <c r="S104" s="6"/>
      <c r="T104" s="90"/>
      <c r="U104" s="84"/>
      <c r="V104" s="6"/>
      <c r="W104" s="6"/>
      <c r="X104" s="6"/>
      <c r="Y104" s="91"/>
      <c r="Z104" s="6"/>
      <c r="AA104" s="92"/>
      <c r="AB104" s="92"/>
      <c r="AC104" s="87"/>
      <c r="AD104" s="87"/>
      <c r="AE104" s="87"/>
      <c r="AF104" s="87"/>
      <c r="AG104" s="87"/>
      <c r="AH104" s="87"/>
      <c r="AI104" s="87"/>
      <c r="AJ104" s="87"/>
      <c r="AK104" s="87"/>
      <c r="AL104" s="93"/>
      <c r="AM104" s="94"/>
      <c r="AN104" s="94"/>
      <c r="AO104" s="6"/>
      <c r="AP104" s="6"/>
      <c r="AQ104" s="6"/>
      <c r="AR104" s="6"/>
      <c r="AS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20"/>
      <c r="CV104" s="43"/>
      <c r="CW104" s="43"/>
      <c r="CX104" s="6"/>
      <c r="CY104" s="19"/>
      <c r="CZ104" s="6"/>
      <c r="DA104" s="40"/>
      <c r="DB104" s="6"/>
      <c r="DC104" s="6"/>
      <c r="DD104" s="6"/>
      <c r="DE104" s="6"/>
      <c r="DF104" s="6"/>
      <c r="DG104" s="6"/>
      <c r="DH104" s="42"/>
      <c r="DI104" s="42"/>
      <c r="DJ104" s="42"/>
      <c r="DK104" s="42"/>
      <c r="DL104" s="42"/>
      <c r="DM104" s="42"/>
      <c r="DN104" s="42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</row>
    <row r="105" spans="5:229">
      <c r="E105" s="6"/>
      <c r="F105" s="83"/>
      <c r="G105" s="55"/>
      <c r="H105" s="6"/>
      <c r="I105" s="6"/>
      <c r="J105" s="6"/>
      <c r="K105" s="6"/>
      <c r="L105" s="88"/>
      <c r="M105" s="83"/>
      <c r="N105" s="89"/>
      <c r="O105" s="89"/>
      <c r="P105" s="89"/>
      <c r="Q105" s="89"/>
      <c r="R105" s="89"/>
      <c r="S105" s="6"/>
      <c r="T105" s="90"/>
      <c r="U105" s="84"/>
      <c r="V105" s="6"/>
      <c r="W105" s="6"/>
      <c r="X105" s="6"/>
      <c r="Y105" s="91"/>
      <c r="Z105" s="6"/>
      <c r="AA105" s="92"/>
      <c r="AB105" s="92"/>
      <c r="AC105" s="87"/>
      <c r="AD105" s="87"/>
      <c r="AE105" s="87"/>
      <c r="AF105" s="87"/>
      <c r="AG105" s="87"/>
      <c r="AH105" s="87"/>
      <c r="AI105" s="87"/>
      <c r="AJ105" s="87"/>
      <c r="AK105" s="87"/>
      <c r="AL105" s="93"/>
      <c r="AM105" s="94"/>
      <c r="AN105" s="94"/>
      <c r="AO105" s="6"/>
      <c r="AP105" s="6"/>
      <c r="AQ105" s="6"/>
      <c r="AR105" s="6"/>
      <c r="AS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20"/>
      <c r="CV105" s="43"/>
      <c r="CW105" s="43"/>
      <c r="CX105" s="6"/>
      <c r="CY105" s="19"/>
      <c r="CZ105" s="6"/>
      <c r="DA105" s="40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</row>
    <row r="106" spans="5:229">
      <c r="E106" s="6"/>
      <c r="F106" s="83"/>
      <c r="G106" s="55"/>
      <c r="H106" s="6"/>
      <c r="I106" s="6"/>
      <c r="J106" s="6"/>
      <c r="K106" s="6"/>
      <c r="L106" s="88"/>
      <c r="M106" s="83"/>
      <c r="N106" s="89"/>
      <c r="O106" s="89"/>
      <c r="P106" s="89"/>
      <c r="Q106" s="89"/>
      <c r="R106" s="89"/>
      <c r="S106" s="6"/>
      <c r="T106" s="90"/>
      <c r="U106" s="84"/>
      <c r="V106" s="6"/>
      <c r="W106" s="6"/>
      <c r="X106" s="6"/>
      <c r="Y106" s="91"/>
      <c r="Z106" s="6"/>
      <c r="AA106" s="92"/>
      <c r="AB106" s="92"/>
      <c r="AC106" s="87"/>
      <c r="AD106" s="87"/>
      <c r="AE106" s="87"/>
      <c r="AF106" s="87"/>
      <c r="AG106" s="87"/>
      <c r="AH106" s="87"/>
      <c r="AI106" s="87"/>
      <c r="AJ106" s="87"/>
      <c r="AK106" s="87"/>
      <c r="AL106" s="93"/>
      <c r="AM106" s="94"/>
      <c r="AN106" s="94"/>
      <c r="AO106" s="6"/>
      <c r="AP106" s="6"/>
      <c r="AQ106" s="6"/>
      <c r="AR106" s="6"/>
      <c r="AS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20"/>
      <c r="CV106" s="43"/>
      <c r="CW106" s="43"/>
      <c r="CX106" s="6"/>
      <c r="CY106" s="19"/>
      <c r="CZ106" s="6"/>
      <c r="DA106" s="40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24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18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  <c r="HB106" s="6"/>
      <c r="HC106" s="6"/>
      <c r="HD106" s="6"/>
      <c r="HE106" s="6"/>
      <c r="HF106" s="6"/>
      <c r="HG106" s="6"/>
      <c r="HH106" s="6"/>
      <c r="HI106" s="6"/>
      <c r="HJ106" s="6"/>
      <c r="HK106" s="6"/>
      <c r="HL106" s="6"/>
      <c r="HM106" s="6"/>
      <c r="HN106" s="6"/>
      <c r="HO106" s="6"/>
      <c r="HP106" s="6"/>
      <c r="HQ106" s="6"/>
      <c r="HR106" s="6"/>
      <c r="HS106" s="6"/>
      <c r="HT106" s="6"/>
      <c r="HU106" s="6"/>
    </row>
    <row r="107" spans="5:229">
      <c r="E107" s="6"/>
      <c r="F107" s="83"/>
      <c r="G107" s="55"/>
      <c r="H107" s="6"/>
      <c r="I107" s="6"/>
      <c r="J107" s="6"/>
      <c r="K107" s="6"/>
      <c r="L107" s="88"/>
      <c r="M107" s="83"/>
      <c r="N107" s="89"/>
      <c r="O107" s="89"/>
      <c r="P107" s="89"/>
      <c r="Q107" s="89"/>
      <c r="R107" s="89"/>
      <c r="S107" s="6"/>
      <c r="T107" s="90"/>
      <c r="U107" s="84"/>
      <c r="V107" s="6"/>
      <c r="W107" s="6"/>
      <c r="X107" s="6"/>
      <c r="Y107" s="91"/>
      <c r="Z107" s="6"/>
      <c r="AA107" s="92"/>
      <c r="AB107" s="92"/>
      <c r="AC107" s="87"/>
      <c r="AD107" s="87"/>
      <c r="AE107" s="87"/>
      <c r="AF107" s="87"/>
      <c r="AG107" s="87"/>
      <c r="AH107" s="87"/>
      <c r="AI107" s="87"/>
      <c r="AJ107" s="87"/>
      <c r="AK107" s="87"/>
      <c r="AL107" s="93"/>
      <c r="AM107" s="94"/>
      <c r="AN107" s="94"/>
      <c r="AO107" s="6"/>
      <c r="AP107" s="6"/>
      <c r="AQ107" s="6"/>
      <c r="AR107" s="6"/>
      <c r="AS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20"/>
      <c r="CV107" s="43"/>
      <c r="CW107" s="43"/>
      <c r="CX107" s="6"/>
      <c r="CY107" s="19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</row>
    <row r="108" spans="5:229">
      <c r="E108" s="6"/>
      <c r="F108" s="83"/>
      <c r="G108" s="55"/>
      <c r="H108" s="6"/>
      <c r="I108" s="6"/>
      <c r="J108" s="6"/>
      <c r="K108" s="6"/>
      <c r="L108" s="88"/>
      <c r="M108" s="83"/>
      <c r="N108" s="89"/>
      <c r="O108" s="89"/>
      <c r="P108" s="89"/>
      <c r="Q108" s="89"/>
      <c r="R108" s="89"/>
      <c r="S108" s="6"/>
      <c r="T108" s="90"/>
      <c r="U108" s="84"/>
      <c r="V108" s="6"/>
      <c r="W108" s="6"/>
      <c r="X108" s="6"/>
      <c r="Y108" s="91"/>
      <c r="Z108" s="6"/>
      <c r="AA108" s="92"/>
      <c r="AB108" s="92"/>
      <c r="AC108" s="87"/>
      <c r="AD108" s="87"/>
      <c r="AE108" s="87"/>
      <c r="AF108" s="87"/>
      <c r="AG108" s="87"/>
      <c r="AH108" s="87"/>
      <c r="AI108" s="87"/>
      <c r="AJ108" s="87"/>
      <c r="AK108" s="87"/>
      <c r="AL108" s="93"/>
      <c r="AM108" s="94"/>
      <c r="AN108" s="94"/>
      <c r="AO108" s="6"/>
      <c r="AP108" s="6"/>
      <c r="AQ108" s="6"/>
      <c r="AR108" s="6"/>
      <c r="AS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20"/>
      <c r="CV108" s="43"/>
      <c r="CW108" s="43"/>
      <c r="CX108" s="6"/>
      <c r="CY108" s="19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/>
      <c r="HI108" s="6"/>
      <c r="HJ108" s="6"/>
      <c r="HK108" s="6"/>
      <c r="HL108" s="6"/>
      <c r="HM108" s="6"/>
      <c r="HN108" s="6"/>
      <c r="HO108" s="6"/>
      <c r="HP108" s="6"/>
      <c r="HQ108" s="6"/>
      <c r="HR108" s="6"/>
      <c r="HS108" s="6"/>
      <c r="HT108" s="6"/>
      <c r="HU108" s="6"/>
    </row>
    <row r="109" spans="5:229">
      <c r="E109" s="6"/>
      <c r="F109" s="83"/>
      <c r="G109" s="55"/>
      <c r="H109" s="6"/>
      <c r="I109" s="6"/>
      <c r="J109" s="6"/>
      <c r="K109" s="6"/>
      <c r="L109" s="88"/>
      <c r="M109" s="83"/>
      <c r="N109" s="89"/>
      <c r="O109" s="89"/>
      <c r="P109" s="89"/>
      <c r="Q109" s="89"/>
      <c r="R109" s="89"/>
      <c r="S109" s="6"/>
      <c r="T109" s="90"/>
      <c r="U109" s="84"/>
      <c r="V109" s="6"/>
      <c r="W109" s="6"/>
      <c r="X109" s="6"/>
      <c r="Y109" s="91"/>
      <c r="Z109" s="6"/>
      <c r="AA109" s="92"/>
      <c r="AB109" s="92"/>
      <c r="AC109" s="87"/>
      <c r="AD109" s="87"/>
      <c r="AE109" s="87"/>
      <c r="AF109" s="87"/>
      <c r="AG109" s="87"/>
      <c r="AH109" s="87"/>
      <c r="AI109" s="87"/>
      <c r="AJ109" s="87"/>
      <c r="AK109" s="87"/>
      <c r="AL109" s="93"/>
      <c r="AM109" s="94"/>
      <c r="AN109" s="94"/>
      <c r="AO109" s="6"/>
      <c r="AP109" s="6"/>
      <c r="AQ109" s="6"/>
      <c r="AR109" s="6"/>
      <c r="AS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20"/>
      <c r="CV109" s="43"/>
      <c r="CW109" s="43"/>
      <c r="CX109" s="6"/>
      <c r="CY109" s="19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</row>
    <row r="110" spans="5:229">
      <c r="E110" s="6"/>
      <c r="F110" s="83"/>
      <c r="G110" s="55"/>
      <c r="H110" s="6"/>
      <c r="I110" s="6"/>
      <c r="J110" s="6"/>
      <c r="K110" s="6"/>
      <c r="L110" s="88"/>
      <c r="M110" s="83"/>
      <c r="N110" s="89"/>
      <c r="O110" s="89"/>
      <c r="P110" s="89"/>
      <c r="Q110" s="89"/>
      <c r="R110" s="89"/>
      <c r="S110" s="6"/>
      <c r="T110" s="90"/>
      <c r="U110" s="84"/>
      <c r="V110" s="6"/>
      <c r="W110" s="6"/>
      <c r="X110" s="6"/>
      <c r="Y110" s="91"/>
      <c r="Z110" s="6"/>
      <c r="AA110" s="92"/>
      <c r="AB110" s="92"/>
      <c r="AC110" s="87"/>
      <c r="AD110" s="87"/>
      <c r="AE110" s="87"/>
      <c r="AF110" s="87"/>
      <c r="AG110" s="87"/>
      <c r="AH110" s="87"/>
      <c r="AI110" s="87"/>
      <c r="AJ110" s="87"/>
      <c r="AK110" s="87"/>
      <c r="AL110" s="93"/>
      <c r="AM110" s="94"/>
      <c r="AN110" s="94"/>
      <c r="AO110" s="6"/>
      <c r="AP110" s="6"/>
      <c r="AQ110" s="6"/>
      <c r="AR110" s="6"/>
      <c r="AS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20"/>
      <c r="CV110" s="43"/>
      <c r="CW110" s="43"/>
      <c r="CX110" s="6"/>
      <c r="CY110" s="19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</row>
    <row r="111" spans="5:229">
      <c r="E111" s="6"/>
      <c r="F111" s="84"/>
      <c r="G111" s="55"/>
      <c r="H111" s="6"/>
      <c r="I111" s="6"/>
      <c r="J111" s="6"/>
      <c r="K111" s="6"/>
      <c r="L111" s="88"/>
      <c r="M111" s="83"/>
      <c r="N111" s="89"/>
      <c r="O111" s="89"/>
      <c r="P111" s="89"/>
      <c r="Q111" s="89"/>
      <c r="R111" s="89"/>
      <c r="S111" s="6"/>
      <c r="T111" s="90"/>
      <c r="U111" s="84"/>
      <c r="V111" s="6"/>
      <c r="W111" s="6"/>
      <c r="X111" s="6"/>
      <c r="Y111" s="91"/>
      <c r="Z111" s="6"/>
      <c r="AA111" s="92"/>
      <c r="AB111" s="92"/>
      <c r="AC111" s="87"/>
      <c r="AD111" s="87"/>
      <c r="AE111" s="87"/>
      <c r="AF111" s="87"/>
      <c r="AG111" s="87"/>
      <c r="AH111" s="87"/>
      <c r="AI111" s="87"/>
      <c r="AJ111" s="87"/>
      <c r="AK111" s="87"/>
      <c r="AL111" s="93"/>
      <c r="AM111" s="94"/>
      <c r="AN111" s="94"/>
      <c r="AO111" s="6"/>
      <c r="AP111" s="6"/>
      <c r="AQ111" s="6"/>
      <c r="AR111" s="6"/>
      <c r="AS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20"/>
      <c r="CV111" s="43"/>
      <c r="CW111" s="43"/>
      <c r="CX111" s="6"/>
      <c r="CY111" s="19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</row>
    <row r="112" spans="5:229">
      <c r="E112" s="6"/>
      <c r="F112" s="6"/>
      <c r="G112" s="6"/>
      <c r="H112" s="6"/>
      <c r="I112" s="6"/>
      <c r="J112" s="6"/>
      <c r="K112" s="6"/>
      <c r="L112" s="88"/>
      <c r="M112" s="83"/>
      <c r="N112" s="89"/>
      <c r="O112" s="89"/>
      <c r="P112" s="89"/>
      <c r="Q112" s="89"/>
      <c r="R112" s="89"/>
      <c r="S112" s="6"/>
      <c r="T112" s="90"/>
      <c r="U112" s="84"/>
      <c r="V112" s="6"/>
      <c r="W112" s="6"/>
      <c r="X112" s="6"/>
      <c r="Y112" s="91"/>
      <c r="Z112" s="6"/>
      <c r="AA112" s="92"/>
      <c r="AB112" s="92"/>
      <c r="AC112" s="87"/>
      <c r="AD112" s="87"/>
      <c r="AE112" s="87"/>
      <c r="AF112" s="87"/>
      <c r="AG112" s="87"/>
      <c r="AH112" s="87"/>
      <c r="AI112" s="87"/>
      <c r="AJ112" s="87"/>
      <c r="AK112" s="87"/>
      <c r="AL112" s="93"/>
      <c r="AM112" s="94"/>
      <c r="AN112" s="94"/>
      <c r="AO112" s="6"/>
      <c r="AP112" s="6"/>
      <c r="AQ112" s="6"/>
      <c r="AR112" s="6"/>
      <c r="AS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20"/>
      <c r="CV112" s="43"/>
      <c r="CW112" s="43"/>
      <c r="CX112" s="6"/>
      <c r="CY112" s="19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  <c r="HE112" s="6"/>
      <c r="HF112" s="6"/>
      <c r="HG112" s="6"/>
      <c r="HH112" s="6"/>
      <c r="HI112" s="6"/>
      <c r="HJ112" s="6"/>
      <c r="HK112" s="6"/>
      <c r="HL112" s="6"/>
      <c r="HM112" s="6"/>
      <c r="HN112" s="6"/>
      <c r="HO112" s="6"/>
      <c r="HP112" s="6"/>
      <c r="HQ112" s="6"/>
      <c r="HR112" s="6"/>
      <c r="HS112" s="6"/>
      <c r="HT112" s="6"/>
      <c r="HU112" s="6"/>
    </row>
    <row r="113" spans="5:229">
      <c r="E113" s="6"/>
      <c r="F113" s="83"/>
      <c r="G113" s="55"/>
      <c r="H113" s="95"/>
      <c r="I113" s="6"/>
      <c r="J113" s="6"/>
      <c r="K113" s="6"/>
      <c r="L113" s="88"/>
      <c r="M113" s="83"/>
      <c r="N113" s="89"/>
      <c r="O113" s="89"/>
      <c r="P113" s="89"/>
      <c r="Q113" s="89"/>
      <c r="R113" s="89"/>
      <c r="S113" s="6"/>
      <c r="T113" s="90"/>
      <c r="U113" s="84"/>
      <c r="V113" s="6"/>
      <c r="W113" s="6"/>
      <c r="X113" s="6"/>
      <c r="Y113" s="91"/>
      <c r="Z113" s="6"/>
      <c r="AA113" s="92"/>
      <c r="AB113" s="92"/>
      <c r="AC113" s="87"/>
      <c r="AD113" s="87"/>
      <c r="AE113" s="87"/>
      <c r="AF113" s="87"/>
      <c r="AG113" s="87"/>
      <c r="AH113" s="87"/>
      <c r="AI113" s="87"/>
      <c r="AJ113" s="87"/>
      <c r="AK113" s="87"/>
      <c r="AL113" s="93"/>
      <c r="AM113" s="94"/>
      <c r="AN113" s="94"/>
      <c r="AO113" s="6"/>
      <c r="AP113" s="6"/>
      <c r="AQ113" s="6"/>
      <c r="AR113" s="6"/>
      <c r="AS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20"/>
      <c r="CV113" s="43"/>
      <c r="CW113" s="43"/>
      <c r="CX113" s="6"/>
      <c r="CY113" s="19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</row>
    <row r="114" spans="5:229">
      <c r="E114" s="6"/>
      <c r="F114" s="83"/>
      <c r="G114" s="55"/>
      <c r="H114" s="6"/>
      <c r="I114" s="6"/>
      <c r="J114" s="6"/>
      <c r="K114" s="6"/>
      <c r="L114" s="88"/>
      <c r="M114" s="83"/>
      <c r="N114" s="89"/>
      <c r="O114" s="89"/>
      <c r="P114" s="89"/>
      <c r="Q114" s="89"/>
      <c r="R114" s="89"/>
      <c r="S114" s="6"/>
      <c r="T114" s="90"/>
      <c r="U114" s="84"/>
      <c r="V114" s="6"/>
      <c r="W114" s="6"/>
      <c r="X114" s="6"/>
      <c r="Y114" s="91"/>
      <c r="Z114" s="6"/>
      <c r="AA114" s="92"/>
      <c r="AB114" s="92"/>
      <c r="AC114" s="87"/>
      <c r="AD114" s="87"/>
      <c r="AE114" s="87"/>
      <c r="AF114" s="87"/>
      <c r="AG114" s="87"/>
      <c r="AH114" s="87"/>
      <c r="AI114" s="87"/>
      <c r="AJ114" s="87"/>
      <c r="AK114" s="87"/>
      <c r="AL114" s="93"/>
      <c r="AM114" s="94"/>
      <c r="AN114" s="94"/>
      <c r="AO114" s="6"/>
      <c r="AP114" s="6"/>
      <c r="AQ114" s="6"/>
      <c r="AR114" s="6"/>
      <c r="AS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20"/>
      <c r="CV114" s="43"/>
      <c r="CW114" s="43"/>
      <c r="CX114" s="6"/>
      <c r="CY114" s="19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"/>
      <c r="HA114" s="6"/>
      <c r="HB114" s="6"/>
      <c r="HC114" s="6"/>
      <c r="HD114" s="6"/>
      <c r="HE114" s="6"/>
      <c r="HF114" s="6"/>
      <c r="HG114" s="6"/>
      <c r="HH114" s="6"/>
      <c r="HI114" s="6"/>
      <c r="HJ114" s="6"/>
      <c r="HK114" s="6"/>
      <c r="HL114" s="6"/>
      <c r="HM114" s="6"/>
      <c r="HN114" s="6"/>
      <c r="HO114" s="6"/>
      <c r="HP114" s="6"/>
      <c r="HQ114" s="6"/>
      <c r="HR114" s="6"/>
      <c r="HS114" s="6"/>
      <c r="HT114" s="6"/>
      <c r="HU114" s="6"/>
    </row>
    <row r="115" spans="5:229">
      <c r="E115" s="6"/>
      <c r="F115" s="83"/>
      <c r="G115" s="6"/>
      <c r="H115" s="6"/>
      <c r="I115" s="6"/>
      <c r="J115" s="6"/>
      <c r="K115" s="6"/>
      <c r="L115" s="88"/>
      <c r="M115" s="83"/>
      <c r="N115" s="89"/>
      <c r="O115" s="89"/>
      <c r="P115" s="89"/>
      <c r="Q115" s="89"/>
      <c r="R115" s="89"/>
      <c r="S115" s="6"/>
      <c r="T115" s="90"/>
      <c r="U115" s="84"/>
      <c r="V115" s="6"/>
      <c r="W115" s="6"/>
      <c r="X115" s="6"/>
      <c r="Y115" s="91"/>
      <c r="Z115" s="6"/>
      <c r="AA115" s="92"/>
      <c r="AB115" s="92"/>
      <c r="AC115" s="87"/>
      <c r="AD115" s="87"/>
      <c r="AE115" s="87"/>
      <c r="AF115" s="87"/>
      <c r="AG115" s="87"/>
      <c r="AH115" s="87"/>
      <c r="AI115" s="87"/>
      <c r="AJ115" s="87"/>
      <c r="AK115" s="87"/>
      <c r="AL115" s="93"/>
      <c r="AM115" s="94"/>
      <c r="AN115" s="94"/>
      <c r="AO115" s="6"/>
      <c r="AP115" s="6"/>
      <c r="AQ115" s="6"/>
      <c r="AR115" s="6"/>
      <c r="AS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20"/>
      <c r="CV115" s="43"/>
      <c r="CW115" s="43"/>
      <c r="CX115" s="6"/>
      <c r="CY115" s="19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</row>
    <row r="116" spans="5:229">
      <c r="E116" s="6"/>
      <c r="F116" s="83"/>
      <c r="G116" s="55"/>
      <c r="H116" s="6"/>
      <c r="I116" s="6"/>
      <c r="J116" s="6"/>
      <c r="K116" s="6"/>
      <c r="L116" s="88"/>
      <c r="M116" s="83"/>
      <c r="N116" s="89"/>
      <c r="O116" s="89"/>
      <c r="P116" s="89"/>
      <c r="Q116" s="89"/>
      <c r="R116" s="89"/>
      <c r="S116" s="6"/>
      <c r="T116" s="90"/>
      <c r="U116" s="84"/>
      <c r="V116" s="6"/>
      <c r="W116" s="6"/>
      <c r="X116" s="6"/>
      <c r="Y116" s="91"/>
      <c r="Z116" s="6"/>
      <c r="AA116" s="92"/>
      <c r="AB116" s="92"/>
      <c r="AC116" s="87"/>
      <c r="AD116" s="87"/>
      <c r="AE116" s="87"/>
      <c r="AF116" s="87"/>
      <c r="AG116" s="87"/>
      <c r="AH116" s="87"/>
      <c r="AI116" s="87"/>
      <c r="AJ116" s="87"/>
      <c r="AK116" s="87"/>
      <c r="AL116" s="93"/>
      <c r="AM116" s="94"/>
      <c r="AN116" s="94"/>
      <c r="AO116" s="6"/>
      <c r="AP116" s="6"/>
      <c r="AQ116" s="6"/>
      <c r="AR116" s="6"/>
      <c r="AS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20"/>
      <c r="CV116" s="43"/>
      <c r="CW116" s="43"/>
      <c r="CX116" s="6"/>
      <c r="CY116" s="19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</row>
    <row r="117" spans="5:229">
      <c r="E117" s="6"/>
      <c r="F117" s="83"/>
      <c r="G117" s="55"/>
      <c r="H117" s="6"/>
      <c r="I117" s="6"/>
      <c r="J117" s="6"/>
      <c r="K117" s="6"/>
      <c r="L117" s="88"/>
      <c r="M117" s="83"/>
      <c r="N117" s="89"/>
      <c r="O117" s="89"/>
      <c r="P117" s="89"/>
      <c r="Q117" s="89"/>
      <c r="R117" s="89"/>
      <c r="S117" s="6"/>
      <c r="T117" s="90"/>
      <c r="U117" s="84"/>
      <c r="V117" s="6"/>
      <c r="W117" s="6"/>
      <c r="X117" s="6"/>
      <c r="Y117" s="91"/>
      <c r="Z117" s="6"/>
      <c r="AA117" s="92"/>
      <c r="AB117" s="92"/>
      <c r="AC117" s="87"/>
      <c r="AD117" s="87"/>
      <c r="AE117" s="87"/>
      <c r="AF117" s="87"/>
      <c r="AG117" s="87"/>
      <c r="AH117" s="87"/>
      <c r="AI117" s="87"/>
      <c r="AJ117" s="87"/>
      <c r="AK117" s="87"/>
      <c r="AL117" s="93"/>
      <c r="AM117" s="94"/>
      <c r="AN117" s="94"/>
      <c r="AO117" s="6"/>
      <c r="AP117" s="6"/>
      <c r="AQ117" s="6"/>
      <c r="AR117" s="6"/>
      <c r="AS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20"/>
      <c r="CV117" s="43"/>
      <c r="CW117" s="43"/>
      <c r="CX117" s="6"/>
      <c r="CY117" s="19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</row>
    <row r="118" spans="5:229">
      <c r="E118" s="6"/>
      <c r="F118" s="83"/>
      <c r="G118" s="55"/>
      <c r="H118" s="6"/>
      <c r="I118" s="6"/>
      <c r="J118" s="6"/>
      <c r="K118" s="6"/>
      <c r="L118" s="88"/>
      <c r="M118" s="83"/>
      <c r="N118" s="89"/>
      <c r="O118" s="89"/>
      <c r="P118" s="89"/>
      <c r="Q118" s="89"/>
      <c r="R118" s="89"/>
      <c r="S118" s="6"/>
      <c r="T118" s="90"/>
      <c r="U118" s="84"/>
      <c r="V118" s="6"/>
      <c r="W118" s="6"/>
      <c r="X118" s="6"/>
      <c r="Y118" s="91"/>
      <c r="Z118" s="6"/>
      <c r="AA118" s="92"/>
      <c r="AB118" s="92"/>
      <c r="AC118" s="87"/>
      <c r="AD118" s="87"/>
      <c r="AE118" s="87"/>
      <c r="AF118" s="87"/>
      <c r="AG118" s="87"/>
      <c r="AH118" s="87"/>
      <c r="AI118" s="87"/>
      <c r="AJ118" s="87"/>
      <c r="AK118" s="87"/>
      <c r="AL118" s="93"/>
      <c r="AM118" s="94"/>
      <c r="AN118" s="94"/>
      <c r="AO118" s="6"/>
      <c r="AP118" s="6"/>
      <c r="AQ118" s="6"/>
      <c r="AR118" s="6"/>
      <c r="AS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20"/>
      <c r="CV118" s="43"/>
      <c r="CW118" s="43"/>
      <c r="CX118" s="6"/>
      <c r="CY118" s="19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"/>
      <c r="GY118" s="6"/>
      <c r="GZ118" s="6"/>
      <c r="HA118" s="6"/>
      <c r="HB118" s="6"/>
      <c r="HC118" s="6"/>
      <c r="HD118" s="6"/>
      <c r="HE118" s="6"/>
      <c r="HF118" s="6"/>
      <c r="HG118" s="6"/>
      <c r="HH118" s="6"/>
      <c r="HI118" s="6"/>
      <c r="HJ118" s="6"/>
      <c r="HK118" s="6"/>
      <c r="HL118" s="6"/>
      <c r="HM118" s="6"/>
      <c r="HN118" s="6"/>
      <c r="HO118" s="6"/>
      <c r="HP118" s="6"/>
      <c r="HQ118" s="6"/>
      <c r="HR118" s="6"/>
      <c r="HS118" s="6"/>
      <c r="HT118" s="6"/>
      <c r="HU118" s="6"/>
    </row>
    <row r="119" spans="5:229">
      <c r="E119" s="6"/>
      <c r="F119" s="83"/>
      <c r="G119" s="55"/>
      <c r="H119" s="6"/>
      <c r="I119" s="6"/>
      <c r="J119" s="6"/>
      <c r="K119" s="6"/>
      <c r="L119" s="88"/>
      <c r="M119" s="83"/>
      <c r="N119" s="89"/>
      <c r="O119" s="89"/>
      <c r="P119" s="89"/>
      <c r="Q119" s="89"/>
      <c r="R119" s="89"/>
      <c r="S119" s="6"/>
      <c r="T119" s="90"/>
      <c r="U119" s="84"/>
      <c r="V119" s="6"/>
      <c r="W119" s="6"/>
      <c r="X119" s="6"/>
      <c r="Y119" s="91"/>
      <c r="Z119" s="6"/>
      <c r="AA119" s="92"/>
      <c r="AB119" s="92"/>
      <c r="AC119" s="87"/>
      <c r="AD119" s="87"/>
      <c r="AE119" s="87"/>
      <c r="AF119" s="87"/>
      <c r="AG119" s="87"/>
      <c r="AH119" s="87"/>
      <c r="AI119" s="87"/>
      <c r="AJ119" s="87"/>
      <c r="AK119" s="87"/>
      <c r="AL119" s="93"/>
      <c r="AM119" s="94"/>
      <c r="AN119" s="94"/>
      <c r="AO119" s="6"/>
      <c r="AP119" s="6"/>
      <c r="AQ119" s="6"/>
      <c r="AR119" s="6"/>
      <c r="AS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20"/>
      <c r="CV119" s="43"/>
      <c r="CW119" s="43"/>
      <c r="CX119" s="6"/>
      <c r="CY119" s="19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</row>
    <row r="120" spans="5:229">
      <c r="E120" s="6"/>
      <c r="F120" s="83"/>
      <c r="G120" s="55"/>
      <c r="H120" s="6"/>
      <c r="I120" s="6"/>
      <c r="J120" s="6"/>
      <c r="K120" s="6"/>
      <c r="L120" s="88"/>
      <c r="M120" s="83"/>
      <c r="N120" s="89"/>
      <c r="O120" s="89"/>
      <c r="P120" s="89"/>
      <c r="Q120" s="89"/>
      <c r="R120" s="89"/>
      <c r="S120" s="6"/>
      <c r="T120" s="90"/>
      <c r="U120" s="84"/>
      <c r="V120" s="6"/>
      <c r="W120" s="6"/>
      <c r="X120" s="6"/>
      <c r="Y120" s="91"/>
      <c r="Z120" s="6"/>
      <c r="AA120" s="92"/>
      <c r="AB120" s="92"/>
      <c r="AC120" s="87"/>
      <c r="AD120" s="87"/>
      <c r="AE120" s="87"/>
      <c r="AF120" s="87"/>
      <c r="AG120" s="87"/>
      <c r="AH120" s="87"/>
      <c r="AI120" s="87"/>
      <c r="AJ120" s="87"/>
      <c r="AK120" s="87"/>
      <c r="AL120" s="93"/>
      <c r="AM120" s="94"/>
      <c r="AN120" s="94"/>
      <c r="AO120" s="6"/>
      <c r="AP120" s="6"/>
      <c r="AQ120" s="6"/>
      <c r="AR120" s="6"/>
      <c r="AS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20"/>
      <c r="CV120" s="43"/>
      <c r="CW120" s="43"/>
      <c r="CX120" s="6"/>
      <c r="CY120" s="19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  <c r="GX120" s="6"/>
      <c r="GY120" s="6"/>
      <c r="GZ120" s="6"/>
      <c r="HA120" s="6"/>
      <c r="HB120" s="6"/>
      <c r="HC120" s="6"/>
      <c r="HD120" s="6"/>
      <c r="HE120" s="6"/>
      <c r="HF120" s="6"/>
      <c r="HG120" s="6"/>
      <c r="HH120" s="6"/>
      <c r="HI120" s="6"/>
      <c r="HJ120" s="6"/>
      <c r="HK120" s="6"/>
      <c r="HL120" s="6"/>
      <c r="HM120" s="6"/>
      <c r="HN120" s="6"/>
      <c r="HO120" s="6"/>
      <c r="HP120" s="6"/>
      <c r="HQ120" s="6"/>
      <c r="HR120" s="6"/>
      <c r="HS120" s="6"/>
      <c r="HT120" s="6"/>
      <c r="HU120" s="6"/>
    </row>
    <row r="121" spans="5:229">
      <c r="E121" s="6"/>
      <c r="F121" s="83"/>
      <c r="G121" s="55"/>
      <c r="H121" s="6"/>
      <c r="I121" s="6"/>
      <c r="J121" s="6"/>
      <c r="K121" s="6"/>
      <c r="L121" s="88"/>
      <c r="M121" s="83"/>
      <c r="N121" s="89"/>
      <c r="O121" s="89"/>
      <c r="P121" s="89"/>
      <c r="Q121" s="89"/>
      <c r="R121" s="89"/>
      <c r="S121" s="6"/>
      <c r="T121" s="90"/>
      <c r="U121" s="84"/>
      <c r="V121" s="6"/>
      <c r="W121" s="6"/>
      <c r="X121" s="6"/>
      <c r="Y121" s="91"/>
      <c r="Z121" s="6"/>
      <c r="AA121" s="92"/>
      <c r="AB121" s="92"/>
      <c r="AC121" s="87"/>
      <c r="AD121" s="87"/>
      <c r="AE121" s="87"/>
      <c r="AF121" s="87"/>
      <c r="AG121" s="87"/>
      <c r="AH121" s="87"/>
      <c r="AI121" s="87"/>
      <c r="AJ121" s="87"/>
      <c r="AK121" s="87"/>
      <c r="AL121" s="93"/>
      <c r="AM121" s="94"/>
      <c r="AN121" s="94"/>
      <c r="AO121" s="6"/>
      <c r="AP121" s="6"/>
      <c r="AQ121" s="6"/>
      <c r="AR121" s="6"/>
      <c r="AS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20"/>
      <c r="CV121" s="43"/>
      <c r="CW121" s="43"/>
      <c r="CX121" s="6"/>
      <c r="CY121" s="19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/>
      <c r="HS121" s="6"/>
      <c r="HT121" s="6"/>
      <c r="HU121" s="6"/>
    </row>
    <row r="122" spans="5:229">
      <c r="E122" s="6"/>
      <c r="F122" s="83"/>
      <c r="G122" s="55"/>
      <c r="H122" s="6"/>
      <c r="I122" s="6"/>
      <c r="J122" s="6"/>
      <c r="K122" s="6"/>
      <c r="L122" s="88"/>
      <c r="M122" s="83"/>
      <c r="N122" s="89"/>
      <c r="O122" s="89"/>
      <c r="P122" s="89"/>
      <c r="Q122" s="89"/>
      <c r="R122" s="89"/>
      <c r="S122" s="6"/>
      <c r="T122" s="90"/>
      <c r="U122" s="84"/>
      <c r="V122" s="6"/>
      <c r="W122" s="6"/>
      <c r="X122" s="6"/>
      <c r="Y122" s="91"/>
      <c r="Z122" s="6"/>
      <c r="AA122" s="92"/>
      <c r="AB122" s="92"/>
      <c r="AC122" s="87"/>
      <c r="AD122" s="87"/>
      <c r="AE122" s="87"/>
      <c r="AF122" s="87"/>
      <c r="AG122" s="87"/>
      <c r="AH122" s="87"/>
      <c r="AI122" s="87"/>
      <c r="AJ122" s="87"/>
      <c r="AK122" s="87"/>
      <c r="AL122" s="93"/>
      <c r="AM122" s="94"/>
      <c r="AN122" s="94"/>
      <c r="AO122" s="6"/>
      <c r="AP122" s="6"/>
      <c r="AQ122" s="6"/>
      <c r="AR122" s="6"/>
      <c r="AS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20"/>
      <c r="CV122" s="43"/>
      <c r="CW122" s="43"/>
      <c r="CX122" s="6"/>
      <c r="CY122" s="19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  <c r="GX122" s="6"/>
      <c r="GY122" s="6"/>
      <c r="GZ122" s="6"/>
      <c r="HA122" s="6"/>
      <c r="HB122" s="6"/>
      <c r="HC122" s="6"/>
      <c r="HD122" s="6"/>
      <c r="HE122" s="6"/>
      <c r="HF122" s="6"/>
      <c r="HG122" s="6"/>
      <c r="HH122" s="6"/>
      <c r="HI122" s="6"/>
      <c r="HJ122" s="6"/>
      <c r="HK122" s="6"/>
      <c r="HL122" s="6"/>
      <c r="HM122" s="6"/>
      <c r="HN122" s="6"/>
      <c r="HO122" s="6"/>
      <c r="HP122" s="6"/>
      <c r="HQ122" s="6"/>
      <c r="HR122" s="6"/>
      <c r="HS122" s="6"/>
      <c r="HT122" s="6"/>
      <c r="HU122" s="6"/>
    </row>
    <row r="123" spans="5:229">
      <c r="E123" s="6"/>
      <c r="F123" s="84"/>
      <c r="G123" s="55"/>
      <c r="H123" s="6"/>
      <c r="I123" s="6"/>
      <c r="J123" s="6"/>
      <c r="K123" s="6"/>
      <c r="L123" s="88"/>
      <c r="M123" s="83"/>
      <c r="N123" s="89"/>
      <c r="O123" s="89"/>
      <c r="P123" s="89"/>
      <c r="Q123" s="89"/>
      <c r="R123" s="89"/>
      <c r="S123" s="6"/>
      <c r="T123" s="90"/>
      <c r="U123" s="84"/>
      <c r="V123" s="6"/>
      <c r="W123" s="6"/>
      <c r="X123" s="6"/>
      <c r="Y123" s="91"/>
      <c r="Z123" s="6"/>
      <c r="AA123" s="92"/>
      <c r="AB123" s="92"/>
      <c r="AC123" s="87"/>
      <c r="AD123" s="87"/>
      <c r="AE123" s="87"/>
      <c r="AF123" s="87"/>
      <c r="AG123" s="87"/>
      <c r="AH123" s="87"/>
      <c r="AI123" s="87"/>
      <c r="AJ123" s="87"/>
      <c r="AK123" s="87"/>
      <c r="AL123" s="93"/>
      <c r="AM123" s="94"/>
      <c r="AN123" s="94"/>
      <c r="AO123" s="6"/>
      <c r="AP123" s="6"/>
      <c r="AQ123" s="6"/>
      <c r="AR123" s="6"/>
      <c r="AS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20"/>
      <c r="CV123" s="43"/>
      <c r="CW123" s="43"/>
      <c r="CX123" s="6"/>
      <c r="CY123" s="19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  <c r="GX123" s="6"/>
      <c r="GY123" s="6"/>
      <c r="GZ123" s="6"/>
      <c r="HA123" s="6"/>
      <c r="HB123" s="6"/>
      <c r="HC123" s="6"/>
      <c r="HD123" s="6"/>
      <c r="HE123" s="6"/>
      <c r="HF123" s="6"/>
      <c r="HG123" s="6"/>
      <c r="HH123" s="6"/>
      <c r="HI123" s="6"/>
      <c r="HJ123" s="6"/>
      <c r="HK123" s="6"/>
      <c r="HL123" s="6"/>
      <c r="HM123" s="6"/>
      <c r="HN123" s="6"/>
      <c r="HO123" s="6"/>
      <c r="HP123" s="6"/>
      <c r="HQ123" s="6"/>
      <c r="HR123" s="6"/>
      <c r="HS123" s="6"/>
      <c r="HT123" s="6"/>
      <c r="HU123" s="6"/>
    </row>
    <row r="124" spans="5:229">
      <c r="E124" s="6"/>
      <c r="F124" s="6"/>
      <c r="G124" s="6"/>
      <c r="H124" s="6"/>
      <c r="I124" s="6"/>
      <c r="J124" s="6"/>
      <c r="K124" s="6"/>
      <c r="L124" s="88"/>
      <c r="M124" s="83"/>
      <c r="N124" s="89"/>
      <c r="O124" s="89"/>
      <c r="P124" s="89"/>
      <c r="Q124" s="89"/>
      <c r="R124" s="89"/>
      <c r="S124" s="6"/>
      <c r="T124" s="90"/>
      <c r="U124" s="84"/>
      <c r="V124" s="6"/>
      <c r="W124" s="6"/>
      <c r="X124" s="6"/>
      <c r="Y124" s="91"/>
      <c r="Z124" s="6"/>
      <c r="AA124" s="92"/>
      <c r="AB124" s="92"/>
      <c r="AC124" s="87"/>
      <c r="AD124" s="87"/>
      <c r="AE124" s="87"/>
      <c r="AF124" s="87"/>
      <c r="AG124" s="87"/>
      <c r="AH124" s="87"/>
      <c r="AI124" s="87"/>
      <c r="AJ124" s="87"/>
      <c r="AK124" s="87"/>
      <c r="AL124" s="93"/>
      <c r="AM124" s="94"/>
      <c r="AN124" s="94"/>
      <c r="AO124" s="6"/>
      <c r="AP124" s="6"/>
      <c r="AQ124" s="6"/>
      <c r="AR124" s="6"/>
      <c r="AS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20"/>
      <c r="CV124" s="43"/>
      <c r="CW124" s="43"/>
      <c r="CX124" s="6"/>
      <c r="CY124" s="19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  <c r="HN124" s="6"/>
      <c r="HO124" s="6"/>
      <c r="HP124" s="6"/>
      <c r="HQ124" s="6"/>
      <c r="HR124" s="6"/>
      <c r="HS124" s="6"/>
      <c r="HT124" s="6"/>
      <c r="HU124" s="6"/>
    </row>
    <row r="125" spans="5:229">
      <c r="E125" s="6"/>
      <c r="F125" s="83"/>
      <c r="G125" s="55"/>
      <c r="H125" s="95"/>
      <c r="I125" s="6"/>
      <c r="J125" s="6"/>
      <c r="K125" s="6"/>
      <c r="L125" s="88"/>
      <c r="M125" s="83"/>
      <c r="N125" s="89"/>
      <c r="O125" s="89"/>
      <c r="P125" s="89"/>
      <c r="Q125" s="89"/>
      <c r="R125" s="89"/>
      <c r="S125" s="6"/>
      <c r="T125" s="90"/>
      <c r="U125" s="84"/>
      <c r="V125" s="6"/>
      <c r="W125" s="6"/>
      <c r="X125" s="6"/>
      <c r="Y125" s="91"/>
      <c r="Z125" s="6"/>
      <c r="AA125" s="92"/>
      <c r="AB125" s="92"/>
      <c r="AC125" s="87"/>
      <c r="AD125" s="87"/>
      <c r="AE125" s="87"/>
      <c r="AF125" s="87"/>
      <c r="AG125" s="87"/>
      <c r="AH125" s="87"/>
      <c r="AI125" s="87"/>
      <c r="AJ125" s="87"/>
      <c r="AK125" s="87"/>
      <c r="AL125" s="93"/>
      <c r="AM125" s="94"/>
      <c r="AN125" s="94"/>
      <c r="AO125" s="6"/>
      <c r="AP125" s="6"/>
      <c r="AQ125" s="6"/>
      <c r="AR125" s="6"/>
      <c r="AS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20"/>
      <c r="CV125" s="43"/>
      <c r="CW125" s="43"/>
      <c r="CX125" s="6"/>
      <c r="CY125" s="19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  <c r="HN125" s="6"/>
      <c r="HO125" s="6"/>
      <c r="HP125" s="6"/>
      <c r="HQ125" s="6"/>
      <c r="HR125" s="6"/>
      <c r="HS125" s="6"/>
      <c r="HT125" s="6"/>
      <c r="HU125" s="6"/>
    </row>
    <row r="126" spans="5:229">
      <c r="E126" s="6"/>
      <c r="F126" s="83"/>
      <c r="G126" s="55"/>
      <c r="H126" s="6"/>
      <c r="I126" s="6"/>
      <c r="J126" s="6"/>
      <c r="K126" s="6"/>
      <c r="L126" s="88"/>
      <c r="M126" s="83"/>
      <c r="N126" s="89"/>
      <c r="O126" s="89"/>
      <c r="P126" s="89"/>
      <c r="Q126" s="89"/>
      <c r="R126" s="89"/>
      <c r="S126" s="6"/>
      <c r="T126" s="90"/>
      <c r="U126" s="84"/>
      <c r="V126" s="6"/>
      <c r="W126" s="6"/>
      <c r="X126" s="6"/>
      <c r="Y126" s="91"/>
      <c r="Z126" s="6"/>
      <c r="AA126" s="92"/>
      <c r="AB126" s="92"/>
      <c r="AC126" s="87"/>
      <c r="AD126" s="87"/>
      <c r="AE126" s="87"/>
      <c r="AF126" s="87"/>
      <c r="AG126" s="87"/>
      <c r="AH126" s="87"/>
      <c r="AI126" s="87"/>
      <c r="AJ126" s="87"/>
      <c r="AK126" s="87"/>
      <c r="AL126" s="93"/>
      <c r="AM126" s="94"/>
      <c r="AN126" s="94"/>
      <c r="AO126" s="6"/>
      <c r="AP126" s="6"/>
      <c r="AQ126" s="6"/>
      <c r="AR126" s="6"/>
      <c r="AS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20"/>
      <c r="CV126" s="43"/>
      <c r="CW126" s="43"/>
      <c r="CX126" s="6"/>
      <c r="CY126" s="19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</row>
    <row r="127" spans="5:229">
      <c r="E127" s="6"/>
      <c r="F127" s="83"/>
      <c r="G127" s="6"/>
      <c r="H127" s="6"/>
      <c r="I127" s="6"/>
      <c r="J127" s="6"/>
      <c r="K127" s="6"/>
      <c r="L127" s="88"/>
      <c r="M127" s="83"/>
      <c r="N127" s="89"/>
      <c r="O127" s="89"/>
      <c r="P127" s="89"/>
      <c r="Q127" s="89"/>
      <c r="R127" s="89"/>
      <c r="S127" s="6"/>
      <c r="T127" s="90"/>
      <c r="U127" s="84"/>
      <c r="V127" s="6"/>
      <c r="W127" s="6"/>
      <c r="X127" s="6"/>
      <c r="Y127" s="91"/>
      <c r="Z127" s="6"/>
      <c r="AA127" s="92"/>
      <c r="AB127" s="92"/>
      <c r="AC127" s="87"/>
      <c r="AD127" s="87"/>
      <c r="AE127" s="87"/>
      <c r="AF127" s="87"/>
      <c r="AG127" s="87"/>
      <c r="AH127" s="87"/>
      <c r="AI127" s="87"/>
      <c r="AJ127" s="87"/>
      <c r="AK127" s="87"/>
      <c r="AL127" s="93"/>
      <c r="AM127" s="94"/>
      <c r="AN127" s="94"/>
      <c r="AO127" s="6"/>
      <c r="AP127" s="6"/>
      <c r="AQ127" s="6"/>
      <c r="AR127" s="6"/>
      <c r="AS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  <c r="HN127" s="6"/>
      <c r="HO127" s="6"/>
      <c r="HP127" s="6"/>
      <c r="HQ127" s="6"/>
      <c r="HR127" s="6"/>
      <c r="HS127" s="6"/>
      <c r="HT127" s="6"/>
      <c r="HU127" s="6"/>
    </row>
    <row r="128" spans="5:229">
      <c r="E128" s="6"/>
      <c r="F128" s="83"/>
      <c r="G128" s="55"/>
      <c r="H128" s="6"/>
      <c r="I128" s="6"/>
      <c r="J128" s="6"/>
      <c r="K128" s="6"/>
      <c r="L128" s="88"/>
      <c r="M128" s="83"/>
      <c r="N128" s="89"/>
      <c r="O128" s="89"/>
      <c r="P128" s="89"/>
      <c r="Q128" s="89"/>
      <c r="R128" s="89"/>
      <c r="S128" s="6"/>
      <c r="T128" s="90"/>
      <c r="U128" s="84"/>
      <c r="V128" s="6"/>
      <c r="W128" s="6"/>
      <c r="X128" s="6"/>
      <c r="Y128" s="91"/>
      <c r="Z128" s="6"/>
      <c r="AA128" s="92"/>
      <c r="AB128" s="92"/>
      <c r="AC128" s="87"/>
      <c r="AD128" s="87"/>
      <c r="AE128" s="87"/>
      <c r="AF128" s="87"/>
      <c r="AG128" s="87"/>
      <c r="AH128" s="87"/>
      <c r="AI128" s="87"/>
      <c r="AJ128" s="87"/>
      <c r="AK128" s="87"/>
      <c r="AL128" s="93"/>
      <c r="AM128" s="94"/>
      <c r="AN128" s="94"/>
      <c r="AO128" s="6"/>
      <c r="AP128" s="6"/>
      <c r="AQ128" s="6"/>
      <c r="AR128" s="6"/>
      <c r="AS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  <c r="HN128" s="6"/>
      <c r="HO128" s="6"/>
      <c r="HP128" s="6"/>
      <c r="HQ128" s="6"/>
      <c r="HR128" s="6"/>
      <c r="HS128" s="6"/>
      <c r="HT128" s="6"/>
      <c r="HU128" s="6"/>
    </row>
    <row r="129" spans="5:229">
      <c r="E129" s="6"/>
      <c r="F129" s="83"/>
      <c r="G129" s="55"/>
      <c r="H129" s="6"/>
      <c r="I129" s="6"/>
      <c r="J129" s="6"/>
      <c r="K129" s="6"/>
      <c r="L129" s="88"/>
      <c r="M129" s="83"/>
      <c r="N129" s="89"/>
      <c r="O129" s="89"/>
      <c r="P129" s="89"/>
      <c r="Q129" s="89"/>
      <c r="R129" s="89"/>
      <c r="S129" s="6"/>
      <c r="T129" s="90"/>
      <c r="U129" s="84"/>
      <c r="V129" s="6"/>
      <c r="W129" s="6"/>
      <c r="X129" s="6"/>
      <c r="Y129" s="91"/>
      <c r="Z129" s="6"/>
      <c r="AA129" s="92"/>
      <c r="AB129" s="92"/>
      <c r="AC129" s="87"/>
      <c r="AD129" s="87"/>
      <c r="AE129" s="87"/>
      <c r="AF129" s="87"/>
      <c r="AG129" s="87"/>
      <c r="AH129" s="87"/>
      <c r="AI129" s="87"/>
      <c r="AJ129" s="87"/>
      <c r="AK129" s="87"/>
      <c r="AL129" s="93"/>
      <c r="AM129" s="94"/>
      <c r="AN129" s="94"/>
      <c r="AO129" s="6"/>
      <c r="AP129" s="6"/>
      <c r="AQ129" s="6"/>
      <c r="AR129" s="6"/>
      <c r="AS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</row>
    <row r="130" spans="5:229">
      <c r="E130" s="6"/>
      <c r="F130" s="83"/>
      <c r="G130" s="55"/>
      <c r="H130" s="6"/>
      <c r="I130" s="6"/>
      <c r="J130" s="6"/>
      <c r="K130" s="6"/>
      <c r="L130" s="88"/>
      <c r="M130" s="83"/>
      <c r="N130" s="89"/>
      <c r="O130" s="89"/>
      <c r="P130" s="89"/>
      <c r="Q130" s="89"/>
      <c r="R130" s="89"/>
      <c r="S130" s="6"/>
      <c r="T130" s="90"/>
      <c r="U130" s="84"/>
      <c r="V130" s="6"/>
      <c r="W130" s="6"/>
      <c r="X130" s="6"/>
      <c r="Y130" s="91"/>
      <c r="Z130" s="6"/>
      <c r="AA130" s="92"/>
      <c r="AB130" s="92"/>
      <c r="AC130" s="87"/>
      <c r="AD130" s="87"/>
      <c r="AE130" s="87"/>
      <c r="AF130" s="87"/>
      <c r="AG130" s="87"/>
      <c r="AH130" s="87"/>
      <c r="AI130" s="87"/>
      <c r="AJ130" s="87"/>
      <c r="AK130" s="87"/>
      <c r="AL130" s="93"/>
      <c r="AM130" s="94"/>
      <c r="AN130" s="94"/>
      <c r="AO130" s="6"/>
      <c r="AP130" s="6"/>
      <c r="AQ130" s="6"/>
      <c r="AR130" s="6"/>
      <c r="AS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  <c r="HL130" s="6"/>
      <c r="HM130" s="6"/>
      <c r="HN130" s="6"/>
      <c r="HO130" s="6"/>
      <c r="HP130" s="6"/>
      <c r="HQ130" s="6"/>
      <c r="HR130" s="6"/>
      <c r="HS130" s="6"/>
      <c r="HT130" s="6"/>
      <c r="HU130" s="6"/>
    </row>
    <row r="131" spans="5:229">
      <c r="E131" s="6"/>
      <c r="F131" s="83"/>
      <c r="G131" s="55"/>
      <c r="H131" s="6"/>
      <c r="I131" s="6"/>
      <c r="J131" s="6"/>
      <c r="K131" s="6"/>
      <c r="L131" s="88"/>
      <c r="M131" s="83"/>
      <c r="N131" s="89"/>
      <c r="O131" s="89"/>
      <c r="P131" s="89"/>
      <c r="Q131" s="89"/>
      <c r="R131" s="89"/>
      <c r="S131" s="6"/>
      <c r="T131" s="90"/>
      <c r="U131" s="84"/>
      <c r="V131" s="6"/>
      <c r="W131" s="6"/>
      <c r="X131" s="6"/>
      <c r="Y131" s="91"/>
      <c r="Z131" s="6"/>
      <c r="AA131" s="92"/>
      <c r="AB131" s="92"/>
      <c r="AC131" s="87"/>
      <c r="AD131" s="87"/>
      <c r="AE131" s="87"/>
      <c r="AF131" s="87"/>
      <c r="AG131" s="87"/>
      <c r="AH131" s="87"/>
      <c r="AI131" s="87"/>
      <c r="AJ131" s="87"/>
      <c r="AK131" s="87"/>
      <c r="AL131" s="93"/>
      <c r="AM131" s="94"/>
      <c r="AN131" s="94"/>
      <c r="AO131" s="6"/>
      <c r="AP131" s="6"/>
      <c r="AQ131" s="6"/>
      <c r="AR131" s="6"/>
      <c r="AS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</row>
    <row r="132" spans="5:229">
      <c r="E132" s="6"/>
      <c r="F132" s="83"/>
      <c r="G132" s="55"/>
      <c r="H132" s="6"/>
      <c r="I132" s="6"/>
      <c r="J132" s="6"/>
      <c r="K132" s="6"/>
      <c r="L132" s="88"/>
      <c r="M132" s="83"/>
      <c r="N132" s="89"/>
      <c r="O132" s="89"/>
      <c r="P132" s="89"/>
      <c r="Q132" s="89"/>
      <c r="R132" s="89"/>
      <c r="S132" s="6"/>
      <c r="T132" s="90"/>
      <c r="U132" s="84"/>
      <c r="V132" s="6"/>
      <c r="W132" s="6"/>
      <c r="X132" s="6"/>
      <c r="Y132" s="91"/>
      <c r="Z132" s="6"/>
      <c r="AA132" s="92"/>
      <c r="AB132" s="92"/>
      <c r="AC132" s="87"/>
      <c r="AD132" s="87"/>
      <c r="AE132" s="87"/>
      <c r="AF132" s="87"/>
      <c r="AG132" s="87"/>
      <c r="AH132" s="87"/>
      <c r="AI132" s="87"/>
      <c r="AJ132" s="87"/>
      <c r="AK132" s="87"/>
      <c r="AL132" s="93"/>
      <c r="AM132" s="94"/>
      <c r="AN132" s="94"/>
      <c r="AO132" s="6"/>
      <c r="AP132" s="6"/>
      <c r="AQ132" s="6"/>
      <c r="AR132" s="6"/>
      <c r="AS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</row>
    <row r="133" spans="5:229">
      <c r="E133" s="6"/>
      <c r="F133" s="83"/>
      <c r="G133" s="55"/>
      <c r="H133" s="6"/>
      <c r="I133" s="6"/>
      <c r="J133" s="6"/>
      <c r="K133" s="6"/>
      <c r="L133" s="88"/>
      <c r="M133" s="83"/>
      <c r="N133" s="89"/>
      <c r="O133" s="89"/>
      <c r="P133" s="89"/>
      <c r="Q133" s="89"/>
      <c r="R133" s="89"/>
      <c r="S133" s="6"/>
      <c r="T133" s="90"/>
      <c r="U133" s="84"/>
      <c r="V133" s="6"/>
      <c r="W133" s="6"/>
      <c r="X133" s="6"/>
      <c r="Y133" s="91"/>
      <c r="Z133" s="6"/>
      <c r="AA133" s="92"/>
      <c r="AB133" s="92"/>
      <c r="AC133" s="87"/>
      <c r="AD133" s="87"/>
      <c r="AE133" s="87"/>
      <c r="AF133" s="87"/>
      <c r="AG133" s="87"/>
      <c r="AH133" s="87"/>
      <c r="AI133" s="87"/>
      <c r="AJ133" s="87"/>
      <c r="AK133" s="87"/>
      <c r="AL133" s="93"/>
      <c r="AM133" s="94"/>
      <c r="AN133" s="94"/>
      <c r="AO133" s="6"/>
      <c r="AP133" s="6"/>
      <c r="AQ133" s="6"/>
      <c r="AR133" s="6"/>
      <c r="AS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</row>
    <row r="134" spans="5:229">
      <c r="E134" s="6"/>
      <c r="F134" s="83"/>
      <c r="G134" s="55"/>
      <c r="H134" s="6"/>
      <c r="I134" s="6"/>
      <c r="J134" s="6"/>
      <c r="K134" s="6"/>
      <c r="L134" s="88"/>
      <c r="M134" s="83"/>
      <c r="N134" s="89"/>
      <c r="O134" s="89"/>
      <c r="P134" s="89"/>
      <c r="Q134" s="89"/>
      <c r="R134" s="89"/>
      <c r="S134" s="6"/>
      <c r="T134" s="90"/>
      <c r="U134" s="84"/>
      <c r="V134" s="6"/>
      <c r="W134" s="6"/>
      <c r="X134" s="6"/>
      <c r="Y134" s="91"/>
      <c r="Z134" s="6"/>
      <c r="AA134" s="92"/>
      <c r="AB134" s="92"/>
      <c r="AC134" s="87"/>
      <c r="AD134" s="87"/>
      <c r="AE134" s="87"/>
      <c r="AF134" s="87"/>
      <c r="AG134" s="87"/>
      <c r="AH134" s="87"/>
      <c r="AI134" s="87"/>
      <c r="AJ134" s="87"/>
      <c r="AK134" s="87"/>
      <c r="AL134" s="93"/>
      <c r="AM134" s="94"/>
      <c r="AN134" s="94"/>
      <c r="AO134" s="6"/>
      <c r="AP134" s="6"/>
      <c r="AQ134" s="6"/>
      <c r="AR134" s="6"/>
      <c r="AS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</row>
    <row r="135" spans="5:229">
      <c r="E135" s="6"/>
      <c r="F135" s="84"/>
      <c r="G135" s="55"/>
      <c r="H135" s="6"/>
      <c r="I135" s="6"/>
      <c r="J135" s="6"/>
      <c r="K135" s="6"/>
      <c r="L135" s="88"/>
      <c r="M135" s="83"/>
      <c r="N135" s="89"/>
      <c r="O135" s="89"/>
      <c r="P135" s="89"/>
      <c r="Q135" s="89"/>
      <c r="R135" s="89"/>
      <c r="S135" s="6"/>
      <c r="T135" s="90"/>
      <c r="U135" s="84"/>
      <c r="V135" s="6"/>
      <c r="W135" s="6"/>
      <c r="X135" s="6"/>
      <c r="Y135" s="91"/>
      <c r="Z135" s="6"/>
      <c r="AA135" s="92"/>
      <c r="AB135" s="92"/>
      <c r="AC135" s="87"/>
      <c r="AD135" s="87"/>
      <c r="AE135" s="87"/>
      <c r="AF135" s="87"/>
      <c r="AG135" s="87"/>
      <c r="AH135" s="87"/>
      <c r="AI135" s="87"/>
      <c r="AJ135" s="87"/>
      <c r="AK135" s="87"/>
      <c r="AL135" s="93"/>
      <c r="AM135" s="94"/>
      <c r="AN135" s="94"/>
      <c r="AO135" s="6"/>
      <c r="AP135" s="6"/>
      <c r="AQ135" s="6"/>
      <c r="AR135" s="6"/>
      <c r="AS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  <c r="HN135" s="6"/>
      <c r="HO135" s="6"/>
      <c r="HP135" s="6"/>
      <c r="HQ135" s="6"/>
      <c r="HR135" s="6"/>
      <c r="HS135" s="6"/>
      <c r="HT135" s="6"/>
      <c r="HU135" s="6"/>
    </row>
    <row r="136" spans="5:229">
      <c r="E136" s="6"/>
      <c r="F136" s="6"/>
      <c r="G136" s="6"/>
      <c r="H136" s="6"/>
      <c r="I136" s="6"/>
      <c r="J136" s="6"/>
      <c r="K136" s="6"/>
      <c r="L136" s="88"/>
      <c r="M136" s="83"/>
      <c r="N136" s="89"/>
      <c r="O136" s="89"/>
      <c r="P136" s="89"/>
      <c r="Q136" s="89"/>
      <c r="R136" s="89"/>
      <c r="S136" s="6"/>
      <c r="T136" s="90"/>
      <c r="U136" s="84"/>
      <c r="V136" s="6"/>
      <c r="W136" s="6"/>
      <c r="X136" s="6"/>
      <c r="Y136" s="91"/>
      <c r="Z136" s="6"/>
      <c r="AA136" s="92"/>
      <c r="AB136" s="92"/>
      <c r="AC136" s="87"/>
      <c r="AD136" s="87"/>
      <c r="AE136" s="87"/>
      <c r="AF136" s="87"/>
      <c r="AG136" s="87"/>
      <c r="AH136" s="87"/>
      <c r="AI136" s="87"/>
      <c r="AJ136" s="87"/>
      <c r="AK136" s="87"/>
      <c r="AL136" s="93"/>
      <c r="AM136" s="94"/>
      <c r="AN136" s="94"/>
      <c r="AO136" s="6"/>
      <c r="AP136" s="6"/>
      <c r="AQ136" s="6"/>
      <c r="AR136" s="6"/>
      <c r="AS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  <c r="GS136" s="6"/>
      <c r="GT136" s="6"/>
      <c r="GU136" s="6"/>
      <c r="GV136" s="6"/>
      <c r="GW136" s="6"/>
      <c r="GX136" s="6"/>
      <c r="GY136" s="6"/>
      <c r="GZ136" s="6"/>
      <c r="HA136" s="6"/>
      <c r="HB136" s="6"/>
      <c r="HC136" s="6"/>
      <c r="HD136" s="6"/>
      <c r="HE136" s="6"/>
      <c r="HF136" s="6"/>
      <c r="HG136" s="6"/>
      <c r="HH136" s="6"/>
      <c r="HI136" s="6"/>
      <c r="HJ136" s="6"/>
      <c r="HK136" s="6"/>
      <c r="HL136" s="6"/>
      <c r="HM136" s="6"/>
      <c r="HN136" s="6"/>
      <c r="HO136" s="6"/>
      <c r="HP136" s="6"/>
      <c r="HQ136" s="6"/>
      <c r="HR136" s="6"/>
      <c r="HS136" s="6"/>
      <c r="HT136" s="6"/>
      <c r="HU136" s="6"/>
    </row>
    <row r="137" spans="5:229">
      <c r="E137" s="6"/>
      <c r="F137" s="83"/>
      <c r="G137" s="55"/>
      <c r="H137" s="95"/>
      <c r="I137" s="6"/>
      <c r="J137" s="6"/>
      <c r="K137" s="6"/>
      <c r="L137" s="88"/>
      <c r="M137" s="83"/>
      <c r="N137" s="89"/>
      <c r="O137" s="89"/>
      <c r="P137" s="89"/>
      <c r="Q137" s="89"/>
      <c r="R137" s="89"/>
      <c r="S137" s="6"/>
      <c r="T137" s="90"/>
      <c r="U137" s="84"/>
      <c r="V137" s="6"/>
      <c r="W137" s="6"/>
      <c r="X137" s="6"/>
      <c r="Y137" s="91"/>
      <c r="Z137" s="6"/>
      <c r="AA137" s="92"/>
      <c r="AB137" s="92"/>
      <c r="AC137" s="87"/>
      <c r="AD137" s="87"/>
      <c r="AE137" s="87"/>
      <c r="AF137" s="87"/>
      <c r="AG137" s="87"/>
      <c r="AH137" s="87"/>
      <c r="AI137" s="87"/>
      <c r="AJ137" s="87"/>
      <c r="AK137" s="87"/>
      <c r="AL137" s="93"/>
      <c r="AM137" s="94"/>
      <c r="AN137" s="94"/>
      <c r="AO137" s="6"/>
      <c r="AP137" s="6"/>
      <c r="AQ137" s="6"/>
      <c r="AR137" s="6"/>
      <c r="AS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  <c r="HA137" s="6"/>
      <c r="HB137" s="6"/>
      <c r="HC137" s="6"/>
      <c r="HD137" s="6"/>
      <c r="HE137" s="6"/>
      <c r="HF137" s="6"/>
      <c r="HG137" s="6"/>
      <c r="HH137" s="6"/>
      <c r="HI137" s="6"/>
      <c r="HJ137" s="6"/>
      <c r="HK137" s="6"/>
      <c r="HL137" s="6"/>
      <c r="HM137" s="6"/>
      <c r="HN137" s="6"/>
      <c r="HO137" s="6"/>
      <c r="HP137" s="6"/>
      <c r="HQ137" s="6"/>
      <c r="HR137" s="6"/>
      <c r="HS137" s="6"/>
      <c r="HT137" s="6"/>
      <c r="HU137" s="6"/>
    </row>
    <row r="138" spans="5:229">
      <c r="E138" s="6"/>
      <c r="F138" s="83"/>
      <c r="G138" s="55"/>
      <c r="H138" s="6"/>
      <c r="I138" s="6"/>
      <c r="J138" s="6"/>
      <c r="K138" s="6"/>
      <c r="L138" s="88"/>
      <c r="M138" s="83"/>
      <c r="N138" s="89"/>
      <c r="O138" s="89"/>
      <c r="P138" s="89"/>
      <c r="Q138" s="89"/>
      <c r="R138" s="89"/>
      <c r="S138" s="6"/>
      <c r="T138" s="90"/>
      <c r="U138" s="84"/>
      <c r="V138" s="6"/>
      <c r="W138" s="6"/>
      <c r="X138" s="6"/>
      <c r="Y138" s="91"/>
      <c r="Z138" s="6"/>
      <c r="AA138" s="92"/>
      <c r="AB138" s="92"/>
      <c r="AC138" s="87"/>
      <c r="AD138" s="87"/>
      <c r="AE138" s="87"/>
      <c r="AF138" s="87"/>
      <c r="AG138" s="87"/>
      <c r="AH138" s="87"/>
      <c r="AI138" s="87"/>
      <c r="AJ138" s="87"/>
      <c r="AK138" s="87"/>
      <c r="AL138" s="93"/>
      <c r="AM138" s="94"/>
      <c r="AN138" s="94"/>
      <c r="AO138" s="6"/>
      <c r="AP138" s="6"/>
      <c r="AQ138" s="6"/>
      <c r="AR138" s="6"/>
      <c r="AS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  <c r="HN138" s="6"/>
      <c r="HO138" s="6"/>
      <c r="HP138" s="6"/>
      <c r="HQ138" s="6"/>
      <c r="HR138" s="6"/>
      <c r="HS138" s="6"/>
      <c r="HT138" s="6"/>
      <c r="HU138" s="6"/>
    </row>
    <row r="139" spans="5:229">
      <c r="E139" s="6"/>
      <c r="F139" s="83"/>
      <c r="G139" s="6"/>
      <c r="H139" s="6"/>
      <c r="I139" s="6"/>
      <c r="J139" s="6"/>
      <c r="K139" s="6"/>
      <c r="L139" s="88"/>
      <c r="M139" s="83"/>
      <c r="N139" s="89"/>
      <c r="O139" s="89"/>
      <c r="P139" s="89"/>
      <c r="Q139" s="89"/>
      <c r="R139" s="89"/>
      <c r="S139" s="6"/>
      <c r="T139" s="90"/>
      <c r="U139" s="84"/>
      <c r="V139" s="6"/>
      <c r="W139" s="6"/>
      <c r="X139" s="6"/>
      <c r="Y139" s="91"/>
      <c r="Z139" s="6"/>
      <c r="AA139" s="92"/>
      <c r="AB139" s="92"/>
      <c r="AC139" s="87"/>
      <c r="AD139" s="87"/>
      <c r="AE139" s="87"/>
      <c r="AF139" s="87"/>
      <c r="AG139" s="87"/>
      <c r="AH139" s="87"/>
      <c r="AI139" s="87"/>
      <c r="AJ139" s="87"/>
      <c r="AK139" s="87"/>
      <c r="AL139" s="93"/>
      <c r="AM139" s="94"/>
      <c r="AN139" s="94"/>
      <c r="AO139" s="6"/>
      <c r="AP139" s="6"/>
      <c r="AQ139" s="6"/>
      <c r="AR139" s="6"/>
      <c r="AS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</row>
    <row r="140" spans="5:229">
      <c r="E140" s="6"/>
      <c r="F140" s="83"/>
      <c r="G140" s="55"/>
      <c r="H140" s="6"/>
      <c r="I140" s="6"/>
      <c r="J140" s="6"/>
      <c r="K140" s="6"/>
      <c r="L140" s="88"/>
      <c r="M140" s="83"/>
      <c r="N140" s="89"/>
      <c r="O140" s="89"/>
      <c r="P140" s="89"/>
      <c r="Q140" s="89"/>
      <c r="R140" s="89"/>
      <c r="S140" s="6"/>
      <c r="T140" s="90"/>
      <c r="U140" s="84"/>
      <c r="V140" s="6"/>
      <c r="W140" s="6"/>
      <c r="X140" s="6"/>
      <c r="Y140" s="91"/>
      <c r="Z140" s="6"/>
      <c r="AA140" s="92"/>
      <c r="AB140" s="92"/>
      <c r="AC140" s="87"/>
      <c r="AD140" s="87"/>
      <c r="AE140" s="87"/>
      <c r="AF140" s="87"/>
      <c r="AG140" s="87"/>
      <c r="AH140" s="87"/>
      <c r="AI140" s="87"/>
      <c r="AJ140" s="87"/>
      <c r="AK140" s="87"/>
      <c r="AL140" s="93"/>
      <c r="AM140" s="94"/>
      <c r="AN140" s="94"/>
      <c r="AO140" s="6"/>
      <c r="AP140" s="6"/>
      <c r="AQ140" s="6"/>
      <c r="AR140" s="6"/>
      <c r="AS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  <c r="HN140" s="6"/>
      <c r="HO140" s="6"/>
      <c r="HP140" s="6"/>
      <c r="HQ140" s="6"/>
      <c r="HR140" s="6"/>
      <c r="HS140" s="6"/>
      <c r="HT140" s="6"/>
      <c r="HU140" s="6"/>
    </row>
    <row r="141" spans="5:229">
      <c r="E141" s="6"/>
      <c r="F141" s="83"/>
      <c r="G141" s="55"/>
      <c r="H141" s="6"/>
      <c r="I141" s="6"/>
      <c r="J141" s="6"/>
      <c r="K141" s="6"/>
      <c r="L141" s="88"/>
      <c r="M141" s="83"/>
      <c r="N141" s="89"/>
      <c r="O141" s="89"/>
      <c r="P141" s="89"/>
      <c r="Q141" s="89"/>
      <c r="R141" s="89"/>
      <c r="S141" s="6"/>
      <c r="T141" s="90"/>
      <c r="U141" s="84"/>
      <c r="V141" s="6"/>
      <c r="W141" s="6"/>
      <c r="X141" s="6"/>
      <c r="Y141" s="91"/>
      <c r="Z141" s="6"/>
      <c r="AA141" s="92"/>
      <c r="AB141" s="92"/>
      <c r="AC141" s="87"/>
      <c r="AD141" s="87"/>
      <c r="AE141" s="87"/>
      <c r="AF141" s="87"/>
      <c r="AG141" s="87"/>
      <c r="AH141" s="87"/>
      <c r="AI141" s="87"/>
      <c r="AJ141" s="87"/>
      <c r="AK141" s="87"/>
      <c r="AL141" s="93"/>
      <c r="AM141" s="94"/>
      <c r="AN141" s="94"/>
      <c r="AO141" s="6"/>
      <c r="AP141" s="6"/>
      <c r="AQ141" s="6"/>
      <c r="AR141" s="6"/>
      <c r="AS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  <c r="HN141" s="6"/>
      <c r="HO141" s="6"/>
      <c r="HP141" s="6"/>
      <c r="HQ141" s="6"/>
      <c r="HR141" s="6"/>
      <c r="HS141" s="6"/>
      <c r="HT141" s="6"/>
      <c r="HU141" s="6"/>
    </row>
    <row r="142" spans="5:229">
      <c r="E142" s="6"/>
      <c r="F142" s="83"/>
      <c r="G142" s="55"/>
      <c r="H142" s="6"/>
      <c r="I142" s="6"/>
      <c r="J142" s="6"/>
      <c r="K142" s="6"/>
      <c r="L142" s="88"/>
      <c r="M142" s="83"/>
      <c r="N142" s="89"/>
      <c r="O142" s="89"/>
      <c r="P142" s="89"/>
      <c r="Q142" s="89"/>
      <c r="R142" s="89"/>
      <c r="S142" s="6"/>
      <c r="T142" s="90"/>
      <c r="U142" s="84"/>
      <c r="V142" s="6"/>
      <c r="W142" s="6"/>
      <c r="X142" s="6"/>
      <c r="Y142" s="91"/>
      <c r="Z142" s="6"/>
      <c r="AA142" s="92"/>
      <c r="AB142" s="92"/>
      <c r="AC142" s="87"/>
      <c r="AD142" s="87"/>
      <c r="AE142" s="87"/>
      <c r="AF142" s="87"/>
      <c r="AG142" s="87"/>
      <c r="AH142" s="87"/>
      <c r="AI142" s="87"/>
      <c r="AJ142" s="87"/>
      <c r="AK142" s="87"/>
      <c r="AL142" s="93"/>
      <c r="AM142" s="94"/>
      <c r="AN142" s="94"/>
      <c r="AO142" s="6"/>
      <c r="AP142" s="6"/>
      <c r="AQ142" s="6"/>
      <c r="AR142" s="6"/>
      <c r="AS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  <c r="HN142" s="6"/>
      <c r="HO142" s="6"/>
      <c r="HP142" s="6"/>
      <c r="HQ142" s="6"/>
      <c r="HR142" s="6"/>
      <c r="HS142" s="6"/>
      <c r="HT142" s="6"/>
      <c r="HU142" s="6"/>
    </row>
    <row r="143" spans="5:229">
      <c r="E143" s="6"/>
      <c r="F143" s="83"/>
      <c r="G143" s="55"/>
      <c r="H143" s="6"/>
      <c r="I143" s="6"/>
      <c r="J143" s="6"/>
      <c r="K143" s="6"/>
      <c r="L143" s="88"/>
      <c r="M143" s="83"/>
      <c r="N143" s="89"/>
      <c r="O143" s="89"/>
      <c r="P143" s="89"/>
      <c r="Q143" s="89"/>
      <c r="R143" s="89"/>
      <c r="S143" s="6"/>
      <c r="T143" s="90"/>
      <c r="U143" s="84"/>
      <c r="V143" s="6"/>
      <c r="W143" s="6"/>
      <c r="X143" s="6"/>
      <c r="Y143" s="91"/>
      <c r="Z143" s="6"/>
      <c r="AA143" s="92"/>
      <c r="AB143" s="92"/>
      <c r="AC143" s="87"/>
      <c r="AD143" s="87"/>
      <c r="AE143" s="87"/>
      <c r="AF143" s="87"/>
      <c r="AG143" s="87"/>
      <c r="AH143" s="87"/>
      <c r="AI143" s="87"/>
      <c r="AJ143" s="87"/>
      <c r="AK143" s="87"/>
      <c r="AL143" s="93"/>
      <c r="AM143" s="94"/>
      <c r="AN143" s="94"/>
      <c r="AO143" s="6"/>
      <c r="AP143" s="6"/>
      <c r="AQ143" s="6"/>
      <c r="AR143" s="6"/>
      <c r="AS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6"/>
      <c r="FH143" s="6"/>
      <c r="FI143" s="6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C143" s="6"/>
      <c r="GD143" s="6"/>
      <c r="GE143" s="6"/>
      <c r="GF143" s="6"/>
      <c r="GG143" s="6"/>
      <c r="GH143" s="6"/>
      <c r="GI143" s="6"/>
      <c r="GJ143" s="6"/>
      <c r="GK143" s="6"/>
      <c r="GL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  <c r="GX143" s="6"/>
      <c r="GY143" s="6"/>
      <c r="GZ143" s="6"/>
      <c r="HA143" s="6"/>
      <c r="HB143" s="6"/>
      <c r="HC143" s="6"/>
      <c r="HD143" s="6"/>
      <c r="HE143" s="6"/>
      <c r="HF143" s="6"/>
      <c r="HG143" s="6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6"/>
    </row>
    <row r="144" spans="5:229">
      <c r="E144" s="6"/>
      <c r="F144" s="83"/>
      <c r="G144" s="55"/>
      <c r="H144" s="6"/>
      <c r="I144" s="6"/>
      <c r="J144" s="6"/>
      <c r="K144" s="6"/>
      <c r="L144" s="88"/>
      <c r="M144" s="83"/>
      <c r="N144" s="89"/>
      <c r="O144" s="89"/>
      <c r="P144" s="89"/>
      <c r="Q144" s="89"/>
      <c r="R144" s="89"/>
      <c r="S144" s="6"/>
      <c r="T144" s="90"/>
      <c r="U144" s="84"/>
      <c r="V144" s="6"/>
      <c r="W144" s="6"/>
      <c r="X144" s="6"/>
      <c r="Y144" s="91"/>
      <c r="Z144" s="6"/>
      <c r="AA144" s="92"/>
      <c r="AB144" s="92"/>
      <c r="AC144" s="87"/>
      <c r="AD144" s="87"/>
      <c r="AE144" s="87"/>
      <c r="AF144" s="87"/>
      <c r="AG144" s="87"/>
      <c r="AH144" s="87"/>
      <c r="AI144" s="87"/>
      <c r="AJ144" s="87"/>
      <c r="AK144" s="87"/>
      <c r="AL144" s="93"/>
      <c r="AM144" s="94"/>
      <c r="AN144" s="94"/>
      <c r="AO144" s="6"/>
      <c r="AP144" s="6"/>
      <c r="AQ144" s="6"/>
      <c r="AR144" s="6"/>
      <c r="AS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  <c r="HA144" s="6"/>
      <c r="HB144" s="6"/>
      <c r="HC144" s="6"/>
      <c r="HD144" s="6"/>
      <c r="HE144" s="6"/>
      <c r="HF144" s="6"/>
      <c r="HG144" s="6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6"/>
    </row>
    <row r="145" spans="5:229">
      <c r="E145" s="6"/>
      <c r="F145" s="83"/>
      <c r="G145" s="55"/>
      <c r="H145" s="6"/>
      <c r="I145" s="6"/>
      <c r="J145" s="6"/>
      <c r="K145" s="6"/>
      <c r="L145" s="88"/>
      <c r="M145" s="83"/>
      <c r="N145" s="89"/>
      <c r="O145" s="89"/>
      <c r="P145" s="89"/>
      <c r="Q145" s="89"/>
      <c r="R145" s="89"/>
      <c r="S145" s="6"/>
      <c r="T145" s="90"/>
      <c r="U145" s="84"/>
      <c r="V145" s="6"/>
      <c r="W145" s="6"/>
      <c r="X145" s="6"/>
      <c r="Y145" s="91"/>
      <c r="Z145" s="6"/>
      <c r="AA145" s="92"/>
      <c r="AB145" s="92"/>
      <c r="AC145" s="87"/>
      <c r="AD145" s="87"/>
      <c r="AE145" s="87"/>
      <c r="AF145" s="87"/>
      <c r="AG145" s="87"/>
      <c r="AH145" s="87"/>
      <c r="AI145" s="87"/>
      <c r="AJ145" s="87"/>
      <c r="AK145" s="87"/>
      <c r="AL145" s="93"/>
      <c r="AM145" s="94"/>
      <c r="AN145" s="94"/>
      <c r="AO145" s="6"/>
      <c r="AP145" s="6"/>
      <c r="AQ145" s="6"/>
      <c r="AR145" s="6"/>
      <c r="AS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</row>
    <row r="146" spans="5:229">
      <c r="E146" s="6"/>
      <c r="F146" s="83"/>
      <c r="G146" s="55"/>
      <c r="H146" s="6"/>
      <c r="I146" s="6"/>
      <c r="J146" s="6"/>
      <c r="K146" s="6"/>
      <c r="L146" s="88"/>
      <c r="M146" s="83"/>
      <c r="N146" s="89"/>
      <c r="O146" s="89"/>
      <c r="P146" s="89"/>
      <c r="Q146" s="89"/>
      <c r="R146" s="89"/>
      <c r="S146" s="6"/>
      <c r="T146" s="90"/>
      <c r="U146" s="84"/>
      <c r="V146" s="6"/>
      <c r="W146" s="6"/>
      <c r="X146" s="6"/>
      <c r="Y146" s="91"/>
      <c r="Z146" s="6"/>
      <c r="AA146" s="92"/>
      <c r="AB146" s="92"/>
      <c r="AC146" s="87"/>
      <c r="AD146" s="87"/>
      <c r="AE146" s="87"/>
      <c r="AF146" s="87"/>
      <c r="AG146" s="87"/>
      <c r="AH146" s="87"/>
      <c r="AI146" s="87"/>
      <c r="AJ146" s="87"/>
      <c r="AK146" s="87"/>
      <c r="AL146" s="93"/>
      <c r="AM146" s="94"/>
      <c r="AN146" s="94"/>
      <c r="AO146" s="6"/>
      <c r="AP146" s="6"/>
      <c r="AQ146" s="6"/>
      <c r="AR146" s="6"/>
      <c r="AS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6"/>
      <c r="FH146" s="6"/>
      <c r="FI146" s="6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  <c r="HE146" s="6"/>
      <c r="HF146" s="6"/>
      <c r="HG146" s="6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6"/>
    </row>
    <row r="147" spans="5:229">
      <c r="E147" s="6"/>
      <c r="F147" s="84"/>
      <c r="G147" s="55"/>
      <c r="H147" s="6"/>
      <c r="I147" s="6"/>
      <c r="J147" s="6"/>
      <c r="K147" s="6"/>
      <c r="L147" s="88"/>
      <c r="M147" s="83"/>
      <c r="N147" s="89"/>
      <c r="O147" s="89"/>
      <c r="P147" s="89"/>
      <c r="Q147" s="89"/>
      <c r="R147" s="89"/>
      <c r="S147" s="6"/>
      <c r="T147" s="90"/>
      <c r="U147" s="84"/>
      <c r="V147" s="6"/>
      <c r="W147" s="6"/>
      <c r="X147" s="6"/>
      <c r="Y147" s="91"/>
      <c r="Z147" s="6"/>
      <c r="AA147" s="92"/>
      <c r="AB147" s="92"/>
      <c r="AC147" s="87"/>
      <c r="AD147" s="87"/>
      <c r="AE147" s="87"/>
      <c r="AF147" s="87"/>
      <c r="AG147" s="87"/>
      <c r="AH147" s="87"/>
      <c r="AI147" s="87"/>
      <c r="AJ147" s="87"/>
      <c r="AK147" s="87"/>
      <c r="AL147" s="93"/>
      <c r="AM147" s="94"/>
      <c r="AN147" s="94"/>
      <c r="AO147" s="6"/>
      <c r="AP147" s="6"/>
      <c r="AQ147" s="6"/>
      <c r="AR147" s="6"/>
      <c r="AS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  <c r="HA147" s="6"/>
      <c r="HB147" s="6"/>
      <c r="HC147" s="6"/>
      <c r="HD147" s="6"/>
      <c r="HE147" s="6"/>
      <c r="HF147" s="6"/>
      <c r="HG147" s="6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6"/>
    </row>
    <row r="148" spans="5:229">
      <c r="E148" s="6"/>
      <c r="F148" s="6"/>
      <c r="G148" s="6"/>
      <c r="H148" s="6"/>
      <c r="I148" s="6"/>
      <c r="J148" s="6"/>
      <c r="K148" s="6"/>
      <c r="L148" s="88"/>
      <c r="M148" s="83"/>
      <c r="N148" s="89"/>
      <c r="O148" s="89"/>
      <c r="P148" s="89"/>
      <c r="Q148" s="89"/>
      <c r="R148" s="89"/>
      <c r="S148" s="6"/>
      <c r="T148" s="90"/>
      <c r="U148" s="84"/>
      <c r="V148" s="6"/>
      <c r="W148" s="6"/>
      <c r="X148" s="6"/>
      <c r="Y148" s="91"/>
      <c r="Z148" s="6"/>
      <c r="AA148" s="92"/>
      <c r="AB148" s="92"/>
      <c r="AC148" s="87"/>
      <c r="AD148" s="87"/>
      <c r="AE148" s="87"/>
      <c r="AF148" s="87"/>
      <c r="AG148" s="87"/>
      <c r="AH148" s="87"/>
      <c r="AI148" s="87"/>
      <c r="AJ148" s="87"/>
      <c r="AK148" s="87"/>
      <c r="AL148" s="93"/>
      <c r="AM148" s="94"/>
      <c r="AN148" s="94"/>
      <c r="AO148" s="6"/>
      <c r="AP148" s="6"/>
      <c r="AQ148" s="6"/>
      <c r="AR148" s="6"/>
      <c r="AS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6"/>
    </row>
    <row r="149" spans="5:229">
      <c r="E149" s="6"/>
      <c r="F149" s="83"/>
      <c r="G149" s="55"/>
      <c r="H149" s="95"/>
      <c r="I149" s="6"/>
      <c r="J149" s="6"/>
      <c r="K149" s="6"/>
      <c r="L149" s="88"/>
      <c r="M149" s="83"/>
      <c r="N149" s="89"/>
      <c r="O149" s="89"/>
      <c r="P149" s="89"/>
      <c r="Q149" s="89"/>
      <c r="R149" s="89"/>
      <c r="S149" s="6"/>
      <c r="T149" s="90"/>
      <c r="U149" s="84"/>
      <c r="V149" s="6"/>
      <c r="W149" s="6"/>
      <c r="X149" s="6"/>
      <c r="Y149" s="96"/>
      <c r="Z149" s="6"/>
      <c r="AA149" s="97"/>
      <c r="AB149" s="97"/>
      <c r="AC149" s="98"/>
      <c r="AD149" s="98"/>
      <c r="AE149" s="98"/>
      <c r="AF149" s="98"/>
      <c r="AG149" s="98"/>
      <c r="AH149" s="98"/>
      <c r="AI149" s="98"/>
      <c r="AJ149" s="98"/>
      <c r="AK149" s="98"/>
      <c r="AL149" s="99"/>
      <c r="AM149" s="99"/>
      <c r="AN149" s="99"/>
      <c r="AO149" s="6"/>
      <c r="AP149" s="6"/>
      <c r="AQ149" s="6"/>
      <c r="AR149" s="6"/>
      <c r="AS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6"/>
    </row>
    <row r="150" spans="5:229">
      <c r="E150" s="6"/>
      <c r="F150" s="83"/>
      <c r="G150" s="55"/>
      <c r="H150" s="6"/>
      <c r="I150" s="6"/>
      <c r="J150" s="6"/>
      <c r="K150" s="6"/>
      <c r="L150" s="88"/>
      <c r="M150" s="83"/>
      <c r="N150" s="89"/>
      <c r="O150" s="89"/>
      <c r="P150" s="89"/>
      <c r="Q150" s="89"/>
      <c r="R150" s="89"/>
      <c r="S150" s="6"/>
      <c r="T150" s="90"/>
      <c r="U150" s="84"/>
      <c r="V150" s="6"/>
      <c r="W150" s="6"/>
      <c r="X150" s="6"/>
      <c r="Y150" s="96"/>
      <c r="Z150" s="6"/>
      <c r="AA150" s="97"/>
      <c r="AB150" s="97"/>
      <c r="AC150" s="98"/>
      <c r="AD150" s="98"/>
      <c r="AE150" s="98"/>
      <c r="AF150" s="98"/>
      <c r="AG150" s="98"/>
      <c r="AH150" s="98"/>
      <c r="AI150" s="98"/>
      <c r="AJ150" s="98"/>
      <c r="AK150" s="98"/>
      <c r="AL150" s="99"/>
      <c r="AM150" s="99"/>
      <c r="AN150" s="99"/>
      <c r="AO150" s="6"/>
      <c r="AP150" s="6"/>
      <c r="AQ150" s="6"/>
      <c r="AR150" s="6"/>
      <c r="AS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6"/>
    </row>
    <row r="151" spans="5:229">
      <c r="E151" s="6"/>
      <c r="F151" s="83"/>
      <c r="G151" s="6"/>
      <c r="H151" s="6"/>
      <c r="I151" s="6"/>
      <c r="J151" s="6"/>
      <c r="K151" s="6"/>
      <c r="L151" s="88"/>
      <c r="M151" s="83"/>
      <c r="N151" s="89"/>
      <c r="O151" s="89"/>
      <c r="P151" s="89"/>
      <c r="Q151" s="89"/>
      <c r="R151" s="89"/>
      <c r="S151" s="6"/>
      <c r="T151" s="90"/>
      <c r="U151" s="84"/>
      <c r="V151" s="6"/>
      <c r="W151" s="6"/>
      <c r="X151" s="6"/>
      <c r="Y151" s="96"/>
      <c r="Z151" s="6"/>
      <c r="AA151" s="97"/>
      <c r="AB151" s="97"/>
      <c r="AC151" s="98"/>
      <c r="AD151" s="98"/>
      <c r="AE151" s="98"/>
      <c r="AF151" s="98"/>
      <c r="AG151" s="98"/>
      <c r="AH151" s="98"/>
      <c r="AI151" s="98"/>
      <c r="AJ151" s="98"/>
      <c r="AK151" s="98"/>
      <c r="AL151" s="99"/>
      <c r="AM151" s="99"/>
      <c r="AN151" s="99"/>
      <c r="AO151" s="6"/>
      <c r="AP151" s="6"/>
      <c r="AQ151" s="6"/>
      <c r="AR151" s="6"/>
      <c r="AS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6"/>
    </row>
    <row r="152" spans="5:229">
      <c r="E152" s="6"/>
      <c r="F152" s="83"/>
      <c r="G152" s="55"/>
      <c r="H152" s="6"/>
      <c r="I152" s="6"/>
      <c r="J152" s="6"/>
      <c r="K152" s="6"/>
      <c r="L152" s="88"/>
      <c r="M152" s="83"/>
      <c r="N152" s="89"/>
      <c r="O152" s="89"/>
      <c r="P152" s="89"/>
      <c r="Q152" s="89"/>
      <c r="R152" s="89"/>
      <c r="S152" s="6"/>
      <c r="T152" s="90"/>
      <c r="U152" s="84"/>
      <c r="V152" s="6"/>
      <c r="W152" s="6"/>
      <c r="X152" s="6"/>
      <c r="Y152" s="96"/>
      <c r="Z152" s="6"/>
      <c r="AA152" s="97"/>
      <c r="AB152" s="97"/>
      <c r="AC152" s="98"/>
      <c r="AD152" s="98"/>
      <c r="AE152" s="98"/>
      <c r="AF152" s="98"/>
      <c r="AG152" s="98"/>
      <c r="AH152" s="98"/>
      <c r="AI152" s="98"/>
      <c r="AJ152" s="98"/>
      <c r="AK152" s="98"/>
      <c r="AL152" s="99"/>
      <c r="AM152" s="99"/>
      <c r="AN152" s="99"/>
      <c r="AO152" s="6"/>
      <c r="AP152" s="6"/>
      <c r="AQ152" s="6"/>
      <c r="AR152" s="6"/>
      <c r="AS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6"/>
    </row>
    <row r="153" spans="5:229">
      <c r="E153" s="6"/>
      <c r="F153" s="83"/>
      <c r="G153" s="55"/>
      <c r="H153" s="6"/>
      <c r="I153" s="6"/>
      <c r="J153" s="6"/>
      <c r="K153" s="6"/>
      <c r="L153" s="88"/>
      <c r="M153" s="83"/>
      <c r="N153" s="89"/>
      <c r="O153" s="89"/>
      <c r="P153" s="89"/>
      <c r="Q153" s="89"/>
      <c r="R153" s="89"/>
      <c r="S153" s="6"/>
      <c r="T153" s="90"/>
      <c r="U153" s="84"/>
      <c r="V153" s="6"/>
      <c r="W153" s="6"/>
      <c r="X153" s="6"/>
      <c r="Y153" s="96"/>
      <c r="Z153" s="6"/>
      <c r="AA153" s="97"/>
      <c r="AB153" s="97"/>
      <c r="AC153" s="98"/>
      <c r="AD153" s="98"/>
      <c r="AE153" s="98"/>
      <c r="AF153" s="98"/>
      <c r="AG153" s="98"/>
      <c r="AH153" s="98"/>
      <c r="AI153" s="98"/>
      <c r="AJ153" s="98"/>
      <c r="AK153" s="98"/>
      <c r="AL153" s="99"/>
      <c r="AM153" s="99"/>
      <c r="AN153" s="99"/>
      <c r="AO153" s="6"/>
      <c r="AP153" s="6"/>
      <c r="AQ153" s="6"/>
      <c r="AR153" s="6"/>
      <c r="AS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6"/>
    </row>
    <row r="154" spans="5:229">
      <c r="E154" s="6"/>
      <c r="F154" s="83"/>
      <c r="G154" s="55"/>
      <c r="H154" s="6"/>
      <c r="I154" s="6"/>
      <c r="J154" s="6"/>
      <c r="K154" s="6"/>
      <c r="L154" s="88"/>
      <c r="M154" s="83"/>
      <c r="N154" s="89"/>
      <c r="O154" s="89"/>
      <c r="P154" s="89"/>
      <c r="Q154" s="89"/>
      <c r="R154" s="89"/>
      <c r="S154" s="6"/>
      <c r="T154" s="90"/>
      <c r="U154" s="84"/>
      <c r="V154" s="6"/>
      <c r="W154" s="6"/>
      <c r="X154" s="6"/>
      <c r="Y154" s="96"/>
      <c r="Z154" s="6"/>
      <c r="AA154" s="97"/>
      <c r="AB154" s="97"/>
      <c r="AC154" s="98"/>
      <c r="AD154" s="98"/>
      <c r="AE154" s="98"/>
      <c r="AF154" s="98"/>
      <c r="AG154" s="98"/>
      <c r="AH154" s="98"/>
      <c r="AI154" s="98"/>
      <c r="AJ154" s="98"/>
      <c r="AK154" s="98"/>
      <c r="AL154" s="99"/>
      <c r="AM154" s="99"/>
      <c r="AN154" s="99"/>
      <c r="AO154" s="6"/>
      <c r="AP154" s="6"/>
      <c r="AQ154" s="6"/>
      <c r="AR154" s="6"/>
      <c r="AS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6"/>
    </row>
    <row r="155" spans="5:229">
      <c r="E155" s="6"/>
      <c r="F155" s="83"/>
      <c r="G155" s="55"/>
      <c r="H155" s="6"/>
      <c r="I155" s="6"/>
      <c r="J155" s="6"/>
      <c r="K155" s="6"/>
      <c r="L155" s="88"/>
      <c r="M155" s="83"/>
      <c r="N155" s="89"/>
      <c r="O155" s="89"/>
      <c r="P155" s="89"/>
      <c r="Q155" s="89"/>
      <c r="R155" s="89"/>
      <c r="S155" s="6"/>
      <c r="T155" s="90"/>
      <c r="U155" s="84"/>
      <c r="V155" s="6"/>
      <c r="W155" s="6"/>
      <c r="X155" s="6"/>
      <c r="Y155" s="96"/>
      <c r="Z155" s="6"/>
      <c r="AA155" s="97"/>
      <c r="AB155" s="97"/>
      <c r="AC155" s="98"/>
      <c r="AD155" s="98"/>
      <c r="AE155" s="98"/>
      <c r="AF155" s="98"/>
      <c r="AG155" s="98"/>
      <c r="AH155" s="98"/>
      <c r="AI155" s="98"/>
      <c r="AJ155" s="98"/>
      <c r="AK155" s="98"/>
      <c r="AL155" s="99"/>
      <c r="AM155" s="99"/>
      <c r="AN155" s="99"/>
      <c r="AO155" s="6"/>
      <c r="AP155" s="6"/>
      <c r="AQ155" s="6"/>
      <c r="AR155" s="6"/>
      <c r="AS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</row>
    <row r="156" spans="5:229">
      <c r="E156" s="6"/>
      <c r="F156" s="83"/>
      <c r="G156" s="55"/>
      <c r="H156" s="6"/>
      <c r="I156" s="6"/>
      <c r="J156" s="6"/>
      <c r="K156" s="6"/>
      <c r="L156" s="88"/>
      <c r="M156" s="83"/>
      <c r="N156" s="89"/>
      <c r="O156" s="89"/>
      <c r="P156" s="89"/>
      <c r="Q156" s="89"/>
      <c r="R156" s="89"/>
      <c r="S156" s="6"/>
      <c r="T156" s="90"/>
      <c r="U156" s="84"/>
      <c r="V156" s="6"/>
      <c r="W156" s="6"/>
      <c r="X156" s="6"/>
      <c r="Y156" s="96"/>
      <c r="Z156" s="6"/>
      <c r="AA156" s="97"/>
      <c r="AB156" s="97"/>
      <c r="AC156" s="98"/>
      <c r="AD156" s="98"/>
      <c r="AE156" s="98"/>
      <c r="AF156" s="98"/>
      <c r="AG156" s="98"/>
      <c r="AH156" s="98"/>
      <c r="AI156" s="98"/>
      <c r="AJ156" s="98"/>
      <c r="AK156" s="98"/>
      <c r="AL156" s="99"/>
      <c r="AM156" s="99"/>
      <c r="AN156" s="99"/>
      <c r="AO156" s="6"/>
      <c r="AP156" s="6"/>
      <c r="AQ156" s="6"/>
      <c r="AR156" s="6"/>
      <c r="AS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  <c r="HN156" s="6"/>
      <c r="HO156" s="6"/>
      <c r="HP156" s="6"/>
      <c r="HQ156" s="6"/>
      <c r="HR156" s="6"/>
      <c r="HS156" s="6"/>
      <c r="HT156" s="6"/>
      <c r="HU156" s="6"/>
    </row>
    <row r="157" spans="5:229">
      <c r="E157" s="6"/>
      <c r="F157" s="83"/>
      <c r="G157" s="55"/>
      <c r="H157" s="6"/>
      <c r="I157" s="6"/>
      <c r="J157" s="6"/>
      <c r="K157" s="6"/>
      <c r="L157" s="88"/>
      <c r="M157" s="83"/>
      <c r="N157" s="89"/>
      <c r="O157" s="89"/>
      <c r="P157" s="89"/>
      <c r="Q157" s="89"/>
      <c r="R157" s="89"/>
      <c r="S157" s="6"/>
      <c r="T157" s="90"/>
      <c r="U157" s="84"/>
      <c r="V157" s="6"/>
      <c r="W157" s="6"/>
      <c r="X157" s="6"/>
      <c r="Y157" s="96"/>
      <c r="Z157" s="6"/>
      <c r="AA157" s="97"/>
      <c r="AB157" s="97"/>
      <c r="AC157" s="98"/>
      <c r="AD157" s="98"/>
      <c r="AE157" s="98"/>
      <c r="AF157" s="98"/>
      <c r="AG157" s="98"/>
      <c r="AH157" s="98"/>
      <c r="AI157" s="98"/>
      <c r="AJ157" s="98"/>
      <c r="AK157" s="98"/>
      <c r="AL157" s="99"/>
      <c r="AM157" s="99"/>
      <c r="AN157" s="99"/>
      <c r="AO157" s="6"/>
      <c r="AP157" s="6"/>
      <c r="AQ157" s="6"/>
      <c r="AR157" s="6"/>
      <c r="AS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  <c r="HN157" s="6"/>
      <c r="HO157" s="6"/>
      <c r="HP157" s="6"/>
      <c r="HQ157" s="6"/>
      <c r="HR157" s="6"/>
      <c r="HS157" s="6"/>
      <c r="HT157" s="6"/>
      <c r="HU157" s="6"/>
    </row>
    <row r="158" spans="5:229">
      <c r="E158" s="6"/>
      <c r="F158" s="83"/>
      <c r="G158" s="55"/>
      <c r="H158" s="6"/>
      <c r="I158" s="6"/>
      <c r="J158" s="6"/>
      <c r="K158" s="6"/>
      <c r="L158" s="88"/>
      <c r="M158" s="83"/>
      <c r="N158" s="89"/>
      <c r="O158" s="89"/>
      <c r="P158" s="89"/>
      <c r="Q158" s="89"/>
      <c r="R158" s="89"/>
      <c r="S158" s="6"/>
      <c r="T158" s="90"/>
      <c r="U158" s="84"/>
      <c r="V158" s="6"/>
      <c r="W158" s="6"/>
      <c r="X158" s="6"/>
      <c r="Y158" s="96"/>
      <c r="Z158" s="6"/>
      <c r="AA158" s="97"/>
      <c r="AB158" s="97"/>
      <c r="AC158" s="98"/>
      <c r="AD158" s="98"/>
      <c r="AE158" s="98"/>
      <c r="AF158" s="98"/>
      <c r="AG158" s="98"/>
      <c r="AH158" s="98"/>
      <c r="AI158" s="98"/>
      <c r="AJ158" s="98"/>
      <c r="AK158" s="98"/>
      <c r="AL158" s="99"/>
      <c r="AM158" s="99"/>
      <c r="AN158" s="99"/>
      <c r="AO158" s="6"/>
      <c r="AP158" s="6"/>
      <c r="AQ158" s="6"/>
      <c r="AR158" s="6"/>
      <c r="AS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  <c r="HN158" s="6"/>
      <c r="HO158" s="6"/>
      <c r="HP158" s="6"/>
      <c r="HQ158" s="6"/>
      <c r="HR158" s="6"/>
      <c r="HS158" s="6"/>
      <c r="HT158" s="6"/>
      <c r="HU158" s="6"/>
    </row>
    <row r="159" spans="5:229">
      <c r="E159" s="6"/>
      <c r="F159" s="84"/>
      <c r="G159" s="55"/>
      <c r="H159" s="6"/>
      <c r="I159" s="6"/>
      <c r="J159" s="6"/>
      <c r="K159" s="6"/>
      <c r="L159" s="88"/>
      <c r="M159" s="83"/>
      <c r="N159" s="89"/>
      <c r="O159" s="89"/>
      <c r="P159" s="89"/>
      <c r="Q159" s="89"/>
      <c r="R159" s="89"/>
      <c r="S159" s="6"/>
      <c r="T159" s="90"/>
      <c r="U159" s="84"/>
      <c r="V159" s="6"/>
      <c r="W159" s="6"/>
      <c r="X159" s="6"/>
      <c r="Y159" s="96"/>
      <c r="Z159" s="6"/>
      <c r="AA159" s="97"/>
      <c r="AB159" s="97"/>
      <c r="AC159" s="98"/>
      <c r="AD159" s="98"/>
      <c r="AE159" s="98"/>
      <c r="AF159" s="98"/>
      <c r="AG159" s="98"/>
      <c r="AH159" s="98"/>
      <c r="AI159" s="98"/>
      <c r="AJ159" s="98"/>
      <c r="AK159" s="98"/>
      <c r="AL159" s="99"/>
      <c r="AM159" s="99"/>
      <c r="AN159" s="99"/>
      <c r="AO159" s="6"/>
      <c r="AP159" s="6"/>
      <c r="AQ159" s="6"/>
      <c r="AR159" s="6"/>
      <c r="AS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</row>
    <row r="160" spans="5:229">
      <c r="E160" s="6"/>
      <c r="F160" s="6"/>
      <c r="G160" s="6"/>
      <c r="H160" s="6"/>
      <c r="I160" s="6"/>
      <c r="J160" s="6"/>
      <c r="K160" s="6"/>
      <c r="L160" s="88"/>
      <c r="M160" s="83"/>
      <c r="N160" s="89"/>
      <c r="O160" s="89"/>
      <c r="P160" s="89"/>
      <c r="Q160" s="89"/>
      <c r="R160" s="89"/>
      <c r="S160" s="6"/>
      <c r="T160" s="90"/>
      <c r="U160" s="84"/>
      <c r="V160" s="6"/>
      <c r="W160" s="6"/>
      <c r="X160" s="6"/>
      <c r="Y160" s="96"/>
      <c r="Z160" s="6"/>
      <c r="AA160" s="97"/>
      <c r="AB160" s="97"/>
      <c r="AC160" s="98"/>
      <c r="AD160" s="98"/>
      <c r="AE160" s="98"/>
      <c r="AF160" s="98"/>
      <c r="AG160" s="98"/>
      <c r="AH160" s="98"/>
      <c r="AI160" s="98"/>
      <c r="AJ160" s="98"/>
      <c r="AK160" s="98"/>
      <c r="AL160" s="99"/>
      <c r="AM160" s="99"/>
      <c r="AN160" s="99"/>
      <c r="AO160" s="6"/>
      <c r="AP160" s="6"/>
      <c r="AQ160" s="6"/>
      <c r="AR160" s="6"/>
      <c r="AS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</row>
    <row r="161" spans="1:229">
      <c r="E161" s="6"/>
      <c r="F161" s="83"/>
      <c r="G161" s="55"/>
      <c r="H161" s="95"/>
      <c r="I161" s="6"/>
      <c r="J161" s="6"/>
      <c r="K161" s="6"/>
      <c r="L161" s="88"/>
      <c r="M161" s="83"/>
      <c r="N161" s="89"/>
      <c r="O161" s="89"/>
      <c r="P161" s="89"/>
      <c r="Q161" s="89"/>
      <c r="R161" s="89"/>
      <c r="S161" s="6"/>
      <c r="T161" s="90"/>
      <c r="U161" s="84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</row>
    <row r="162" spans="1:229">
      <c r="E162" s="6"/>
      <c r="F162" s="83"/>
      <c r="G162" s="55"/>
      <c r="H162" s="6"/>
      <c r="I162" s="6"/>
      <c r="J162" s="6"/>
      <c r="K162" s="6"/>
      <c r="L162" s="88"/>
      <c r="M162" s="83"/>
      <c r="N162" s="89"/>
      <c r="O162" s="89"/>
      <c r="P162" s="89"/>
      <c r="Q162" s="89"/>
      <c r="R162" s="89"/>
      <c r="S162" s="6"/>
      <c r="T162" s="90"/>
      <c r="U162" s="84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</row>
    <row r="163" spans="1:229">
      <c r="E163" s="6"/>
      <c r="F163" s="83"/>
      <c r="G163" s="6"/>
      <c r="H163" s="6"/>
      <c r="I163" s="6"/>
      <c r="J163" s="6"/>
      <c r="K163" s="6"/>
      <c r="L163" s="88"/>
      <c r="M163" s="83"/>
      <c r="N163" s="89"/>
      <c r="O163" s="89"/>
      <c r="P163" s="89"/>
      <c r="Q163" s="89"/>
      <c r="R163" s="89"/>
      <c r="S163" s="6"/>
      <c r="T163" s="90"/>
      <c r="U163" s="84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  <c r="HN163" s="6"/>
      <c r="HO163" s="6"/>
      <c r="HP163" s="6"/>
      <c r="HQ163" s="6"/>
      <c r="HR163" s="6"/>
      <c r="HS163" s="6"/>
      <c r="HT163" s="6"/>
      <c r="HU163" s="6"/>
    </row>
    <row r="164" spans="1:229">
      <c r="E164" s="6"/>
      <c r="F164" s="83"/>
      <c r="G164" s="55"/>
      <c r="H164" s="6"/>
      <c r="I164" s="6"/>
      <c r="J164" s="6"/>
      <c r="K164" s="6"/>
      <c r="L164" s="88"/>
      <c r="M164" s="83"/>
      <c r="N164" s="89"/>
      <c r="O164" s="89"/>
      <c r="P164" s="89"/>
      <c r="Q164" s="89"/>
      <c r="R164" s="89"/>
      <c r="S164" s="6"/>
      <c r="T164" s="90"/>
      <c r="U164" s="84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  <c r="ER164" s="6"/>
      <c r="ES164" s="6"/>
      <c r="ET164" s="6"/>
      <c r="EU164" s="6"/>
      <c r="EV164" s="6"/>
      <c r="EW164" s="6"/>
      <c r="EX164" s="6"/>
      <c r="EY164" s="6"/>
      <c r="EZ164" s="6"/>
      <c r="FA164" s="6"/>
      <c r="FB164" s="6"/>
      <c r="FC164" s="6"/>
      <c r="FD164" s="6"/>
      <c r="FE164" s="6"/>
      <c r="FF164" s="6"/>
      <c r="FG164" s="6"/>
      <c r="FH164" s="6"/>
      <c r="FI164" s="6"/>
      <c r="FJ164" s="6"/>
      <c r="FK164" s="6"/>
      <c r="FL164" s="6"/>
      <c r="FM164" s="6"/>
      <c r="FN164" s="6"/>
      <c r="FO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6"/>
      <c r="GJ164" s="6"/>
      <c r="GK164" s="6"/>
      <c r="GL164" s="6"/>
      <c r="GM164" s="6"/>
      <c r="GN164" s="6"/>
      <c r="GO164" s="6"/>
      <c r="GP164" s="6"/>
      <c r="GQ164" s="6"/>
      <c r="GR164" s="6"/>
      <c r="GS164" s="6"/>
      <c r="GT164" s="6"/>
      <c r="GU164" s="6"/>
      <c r="GV164" s="6"/>
      <c r="GW164" s="6"/>
      <c r="GX164" s="6"/>
      <c r="GY164" s="6"/>
      <c r="GZ164" s="6"/>
      <c r="HA164" s="6"/>
      <c r="HB164" s="6"/>
      <c r="HC164" s="6"/>
      <c r="HD164" s="6"/>
      <c r="HE164" s="6"/>
      <c r="HF164" s="6"/>
      <c r="HG164" s="6"/>
      <c r="HH164" s="6"/>
      <c r="HI164" s="6"/>
      <c r="HJ164" s="6"/>
      <c r="HK164" s="6"/>
      <c r="HL164" s="6"/>
      <c r="HM164" s="6"/>
      <c r="HN164" s="6"/>
      <c r="HO164" s="6"/>
      <c r="HP164" s="6"/>
      <c r="HQ164" s="6"/>
      <c r="HR164" s="6"/>
      <c r="HS164" s="6"/>
      <c r="HT164" s="6"/>
      <c r="HU164" s="6"/>
    </row>
    <row r="165" spans="1:229">
      <c r="E165" s="6"/>
      <c r="F165" s="83"/>
      <c r="G165" s="55"/>
      <c r="H165" s="6"/>
      <c r="I165" s="6"/>
      <c r="J165" s="6"/>
      <c r="K165" s="6"/>
      <c r="L165" s="88"/>
      <c r="M165" s="83"/>
      <c r="N165" s="89"/>
      <c r="O165" s="89"/>
      <c r="P165" s="89"/>
      <c r="Q165" s="89"/>
      <c r="R165" s="89"/>
      <c r="S165" s="6"/>
      <c r="T165" s="90"/>
      <c r="U165" s="84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  <c r="ER165" s="6"/>
      <c r="ES165" s="6"/>
      <c r="ET165" s="6"/>
      <c r="EU165" s="6"/>
      <c r="EV165" s="6"/>
      <c r="EW165" s="6"/>
      <c r="EX165" s="6"/>
      <c r="EY165" s="6"/>
      <c r="EZ165" s="6"/>
      <c r="FA165" s="6"/>
      <c r="FB165" s="6"/>
      <c r="FC165" s="6"/>
      <c r="FD165" s="6"/>
      <c r="FE165" s="6"/>
      <c r="FF165" s="6"/>
      <c r="FG165" s="6"/>
      <c r="FH165" s="6"/>
      <c r="FI165" s="6"/>
      <c r="FJ165" s="6"/>
      <c r="FK165" s="6"/>
      <c r="FL165" s="6"/>
      <c r="FM165" s="6"/>
      <c r="FN165" s="6"/>
      <c r="FO165" s="6"/>
      <c r="FP165" s="6"/>
      <c r="FQ165" s="6"/>
      <c r="FR165" s="6"/>
      <c r="FS165" s="6"/>
      <c r="FT165" s="6"/>
      <c r="FU165" s="6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6"/>
      <c r="GJ165" s="6"/>
      <c r="GK165" s="6"/>
      <c r="GL165" s="6"/>
      <c r="GM165" s="6"/>
      <c r="GN165" s="6"/>
      <c r="GO165" s="6"/>
      <c r="GP165" s="6"/>
      <c r="GQ165" s="6"/>
      <c r="GR165" s="6"/>
      <c r="GS165" s="6"/>
      <c r="GT165" s="6"/>
      <c r="GU165" s="6"/>
      <c r="GV165" s="6"/>
      <c r="GW165" s="6"/>
      <c r="GX165" s="6"/>
      <c r="GY165" s="6"/>
      <c r="GZ165" s="6"/>
      <c r="HA165" s="6"/>
      <c r="HB165" s="6"/>
      <c r="HC165" s="6"/>
      <c r="HD165" s="6"/>
      <c r="HE165" s="6"/>
      <c r="HF165" s="6"/>
      <c r="HG165" s="6"/>
      <c r="HH165" s="6"/>
      <c r="HI165" s="6"/>
      <c r="HJ165" s="6"/>
      <c r="HK165" s="6"/>
      <c r="HL165" s="6"/>
      <c r="HM165" s="6"/>
      <c r="HN165" s="6"/>
      <c r="HO165" s="6"/>
      <c r="HP165" s="6"/>
      <c r="HQ165" s="6"/>
      <c r="HR165" s="6"/>
      <c r="HS165" s="6"/>
      <c r="HT165" s="6"/>
      <c r="HU165" s="6"/>
    </row>
    <row r="166" spans="1:229">
      <c r="E166" s="6"/>
      <c r="F166" s="83"/>
      <c r="G166" s="55"/>
      <c r="H166" s="6"/>
      <c r="I166" s="6"/>
      <c r="J166" s="6"/>
      <c r="K166" s="6"/>
      <c r="L166" s="88"/>
      <c r="M166" s="83"/>
      <c r="N166" s="89"/>
      <c r="O166" s="89"/>
      <c r="P166" s="89"/>
      <c r="Q166" s="89"/>
      <c r="R166" s="89"/>
      <c r="S166" s="6"/>
      <c r="T166" s="90"/>
      <c r="U166" s="84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  <c r="ER166" s="6"/>
      <c r="ES166" s="6"/>
      <c r="ET166" s="6"/>
      <c r="EU166" s="6"/>
      <c r="EV166" s="6"/>
      <c r="EW166" s="6"/>
      <c r="EX166" s="6"/>
      <c r="EY166" s="6"/>
      <c r="EZ166" s="6"/>
      <c r="FA166" s="6"/>
      <c r="FB166" s="6"/>
      <c r="FC166" s="6"/>
      <c r="FD166" s="6"/>
      <c r="FE166" s="6"/>
      <c r="FF166" s="6"/>
      <c r="FG166" s="6"/>
      <c r="FH166" s="6"/>
      <c r="FI166" s="6"/>
      <c r="FJ166" s="6"/>
      <c r="FK166" s="6"/>
      <c r="FL166" s="6"/>
      <c r="FM166" s="6"/>
      <c r="FN166" s="6"/>
      <c r="FO166" s="6"/>
      <c r="FP166" s="6"/>
      <c r="FQ166" s="6"/>
      <c r="FR166" s="6"/>
      <c r="FS166" s="6"/>
      <c r="FT166" s="6"/>
      <c r="FU166" s="6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6"/>
      <c r="GJ166" s="6"/>
      <c r="GK166" s="6"/>
      <c r="GL166" s="6"/>
      <c r="GM166" s="6"/>
      <c r="GN166" s="6"/>
      <c r="GO166" s="6"/>
      <c r="GP166" s="6"/>
      <c r="GQ166" s="6"/>
      <c r="GR166" s="6"/>
      <c r="GS166" s="6"/>
      <c r="GT166" s="6"/>
      <c r="GU166" s="6"/>
      <c r="GV166" s="6"/>
      <c r="GW166" s="6"/>
      <c r="GX166" s="6"/>
      <c r="GY166" s="6"/>
      <c r="GZ166" s="6"/>
      <c r="HA166" s="6"/>
      <c r="HB166" s="6"/>
      <c r="HC166" s="6"/>
      <c r="HD166" s="6"/>
      <c r="HE166" s="6"/>
      <c r="HF166" s="6"/>
      <c r="HG166" s="6"/>
      <c r="HH166" s="6"/>
      <c r="HI166" s="6"/>
      <c r="HJ166" s="6"/>
      <c r="HK166" s="6"/>
      <c r="HL166" s="6"/>
      <c r="HM166" s="6"/>
      <c r="HN166" s="6"/>
      <c r="HO166" s="6"/>
      <c r="HP166" s="6"/>
      <c r="HQ166" s="6"/>
      <c r="HR166" s="6"/>
      <c r="HS166" s="6"/>
      <c r="HT166" s="6"/>
      <c r="HU166" s="6"/>
    </row>
    <row r="167" spans="1:229">
      <c r="E167" s="6"/>
      <c r="F167" s="83"/>
      <c r="G167" s="55"/>
      <c r="H167" s="6"/>
      <c r="I167" s="6"/>
      <c r="J167" s="6"/>
      <c r="K167" s="6"/>
      <c r="L167" s="88"/>
      <c r="M167" s="83"/>
      <c r="N167" s="89"/>
      <c r="O167" s="89"/>
      <c r="P167" s="89"/>
      <c r="Q167" s="89"/>
      <c r="R167" s="89"/>
      <c r="S167" s="6"/>
      <c r="T167" s="90"/>
      <c r="U167" s="84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  <c r="ER167" s="6"/>
      <c r="ES167" s="6"/>
      <c r="ET167" s="6"/>
      <c r="EU167" s="6"/>
      <c r="EV167" s="6"/>
      <c r="EW167" s="6"/>
      <c r="EX167" s="6"/>
      <c r="EY167" s="6"/>
      <c r="EZ167" s="6"/>
      <c r="FA167" s="6"/>
      <c r="FB167" s="6"/>
      <c r="FC167" s="6"/>
      <c r="FD167" s="6"/>
      <c r="FE167" s="6"/>
      <c r="FF167" s="6"/>
      <c r="FG167" s="6"/>
      <c r="FH167" s="6"/>
      <c r="FI167" s="6"/>
      <c r="FJ167" s="6"/>
      <c r="FK167" s="6"/>
      <c r="FL167" s="6"/>
      <c r="FM167" s="6"/>
      <c r="FN167" s="6"/>
      <c r="FO167" s="6"/>
      <c r="FP167" s="6"/>
      <c r="FQ167" s="6"/>
      <c r="FR167" s="6"/>
      <c r="FS167" s="6"/>
      <c r="FT167" s="6"/>
      <c r="FU167" s="6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6"/>
      <c r="GJ167" s="6"/>
      <c r="GK167" s="6"/>
      <c r="GL167" s="6"/>
      <c r="GM167" s="6"/>
      <c r="GN167" s="6"/>
      <c r="GO167" s="6"/>
      <c r="GP167" s="6"/>
      <c r="GQ167" s="6"/>
      <c r="GR167" s="6"/>
      <c r="GS167" s="6"/>
      <c r="GT167" s="6"/>
      <c r="GU167" s="6"/>
      <c r="GV167" s="6"/>
      <c r="GW167" s="6"/>
      <c r="GX167" s="6"/>
      <c r="GY167" s="6"/>
      <c r="GZ167" s="6"/>
      <c r="HA167" s="6"/>
      <c r="HB167" s="6"/>
      <c r="HC167" s="6"/>
      <c r="HD167" s="6"/>
      <c r="HE167" s="6"/>
      <c r="HF167" s="6"/>
      <c r="HG167" s="6"/>
      <c r="HH167" s="6"/>
      <c r="HI167" s="6"/>
      <c r="HJ167" s="6"/>
      <c r="HK167" s="6"/>
      <c r="HL167" s="6"/>
      <c r="HM167" s="6"/>
      <c r="HN167" s="6"/>
      <c r="HO167" s="6"/>
      <c r="HP167" s="6"/>
      <c r="HQ167" s="6"/>
      <c r="HR167" s="6"/>
      <c r="HS167" s="6"/>
      <c r="HT167" s="6"/>
      <c r="HU167" s="6"/>
    </row>
    <row r="168" spans="1:229">
      <c r="E168" s="6"/>
      <c r="F168" s="83"/>
      <c r="G168" s="55"/>
      <c r="H168" s="6"/>
      <c r="I168" s="6"/>
      <c r="J168" s="6"/>
      <c r="K168" s="6"/>
      <c r="L168" s="88"/>
      <c r="M168" s="83"/>
      <c r="N168" s="89"/>
      <c r="O168" s="89"/>
      <c r="P168" s="89"/>
      <c r="Q168" s="89"/>
      <c r="R168" s="89"/>
      <c r="S168" s="6"/>
      <c r="T168" s="90"/>
      <c r="U168" s="84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6"/>
      <c r="FU168" s="6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</row>
    <row r="169" spans="1:229">
      <c r="E169" s="6"/>
      <c r="F169" s="83"/>
      <c r="G169" s="55"/>
      <c r="H169" s="6"/>
      <c r="I169" s="6"/>
      <c r="J169" s="6"/>
      <c r="K169" s="6"/>
      <c r="L169" s="88"/>
      <c r="M169" s="83"/>
      <c r="N169" s="89"/>
      <c r="O169" s="89"/>
      <c r="P169" s="89"/>
      <c r="Q169" s="89"/>
      <c r="R169" s="89"/>
      <c r="S169" s="6"/>
      <c r="T169" s="90"/>
      <c r="U169" s="84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  <c r="ER169" s="6"/>
      <c r="ES169" s="6"/>
      <c r="ET169" s="6"/>
      <c r="EU169" s="6"/>
      <c r="EV169" s="6"/>
      <c r="EW169" s="6"/>
      <c r="EX169" s="6"/>
      <c r="EY169" s="6"/>
      <c r="EZ169" s="6"/>
      <c r="FA169" s="6"/>
      <c r="FB169" s="6"/>
      <c r="FC169" s="6"/>
      <c r="FD169" s="6"/>
      <c r="FE169" s="6"/>
      <c r="FF169" s="6"/>
      <c r="FG169" s="6"/>
      <c r="FH169" s="6"/>
      <c r="FI169" s="6"/>
      <c r="FJ169" s="6"/>
      <c r="FK169" s="6"/>
      <c r="FL169" s="6"/>
      <c r="FM169" s="6"/>
      <c r="FN169" s="6"/>
      <c r="FO169" s="6"/>
      <c r="FP169" s="6"/>
      <c r="FQ169" s="6"/>
      <c r="FR169" s="6"/>
      <c r="FS169" s="6"/>
      <c r="FT169" s="6"/>
      <c r="FU169" s="6"/>
      <c r="FV169" s="6"/>
      <c r="FW169" s="6"/>
      <c r="FX169" s="6"/>
      <c r="FY169" s="6"/>
      <c r="FZ169" s="6"/>
      <c r="GA169" s="6"/>
      <c r="GB169" s="6"/>
      <c r="GC169" s="6"/>
      <c r="GD169" s="6"/>
      <c r="GE169" s="6"/>
      <c r="GF169" s="6"/>
      <c r="GG169" s="6"/>
      <c r="GH169" s="6"/>
      <c r="GI169" s="6"/>
      <c r="GJ169" s="6"/>
      <c r="GK169" s="6"/>
      <c r="GL169" s="6"/>
      <c r="GM169" s="6"/>
      <c r="GN169" s="6"/>
      <c r="GO169" s="6"/>
      <c r="GP169" s="6"/>
      <c r="GQ169" s="6"/>
      <c r="GR169" s="6"/>
      <c r="GS169" s="6"/>
      <c r="GT169" s="6"/>
      <c r="GU169" s="6"/>
      <c r="GV169" s="6"/>
      <c r="GW169" s="6"/>
      <c r="GX169" s="6"/>
      <c r="GY169" s="6"/>
      <c r="GZ169" s="6"/>
      <c r="HA169" s="6"/>
      <c r="HB169" s="6"/>
      <c r="HC169" s="6"/>
      <c r="HD169" s="6"/>
      <c r="HE169" s="6"/>
      <c r="HF169" s="6"/>
      <c r="HG169" s="6"/>
      <c r="HH169" s="6"/>
      <c r="HI169" s="6"/>
      <c r="HJ169" s="6"/>
      <c r="HK169" s="6"/>
      <c r="HL169" s="6"/>
      <c r="HM169" s="6"/>
      <c r="HN169" s="6"/>
      <c r="HO169" s="6"/>
      <c r="HP169" s="6"/>
      <c r="HQ169" s="6"/>
      <c r="HR169" s="6"/>
      <c r="HS169" s="6"/>
      <c r="HT169" s="6"/>
      <c r="HU169" s="6"/>
    </row>
    <row r="170" spans="1:229">
      <c r="E170" s="6"/>
      <c r="F170" s="83"/>
      <c r="G170" s="55"/>
      <c r="H170" s="6"/>
      <c r="I170" s="6"/>
      <c r="J170" s="6"/>
      <c r="K170" s="6"/>
      <c r="L170" s="88"/>
      <c r="M170" s="83"/>
      <c r="N170" s="89"/>
      <c r="O170" s="89"/>
      <c r="P170" s="89"/>
      <c r="Q170" s="89"/>
      <c r="R170" s="89"/>
      <c r="S170" s="6"/>
      <c r="T170" s="90"/>
      <c r="U170" s="84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  <c r="ER170" s="6"/>
      <c r="ES170" s="6"/>
      <c r="ET170" s="6"/>
      <c r="EU170" s="6"/>
      <c r="EV170" s="6"/>
      <c r="EW170" s="6"/>
      <c r="EX170" s="6"/>
      <c r="EY170" s="6"/>
      <c r="EZ170" s="6"/>
      <c r="FA170" s="6"/>
      <c r="FB170" s="6"/>
      <c r="FC170" s="6"/>
      <c r="FD170" s="6"/>
      <c r="FE170" s="6"/>
      <c r="FF170" s="6"/>
      <c r="FG170" s="6"/>
      <c r="FH170" s="6"/>
      <c r="FI170" s="6"/>
      <c r="FJ170" s="6"/>
      <c r="FK170" s="6"/>
      <c r="FL170" s="6"/>
      <c r="FM170" s="6"/>
      <c r="FN170" s="6"/>
      <c r="FO170" s="6"/>
      <c r="FP170" s="6"/>
      <c r="FQ170" s="6"/>
      <c r="FR170" s="6"/>
      <c r="FS170" s="6"/>
      <c r="FT170" s="6"/>
      <c r="FU170" s="6"/>
      <c r="FV170" s="6"/>
      <c r="FW170" s="6"/>
      <c r="FX170" s="6"/>
      <c r="FY170" s="6"/>
      <c r="FZ170" s="6"/>
      <c r="GA170" s="6"/>
      <c r="GB170" s="6"/>
      <c r="GC170" s="6"/>
      <c r="GD170" s="6"/>
      <c r="GE170" s="6"/>
      <c r="GF170" s="6"/>
      <c r="GG170" s="6"/>
      <c r="GH170" s="6"/>
      <c r="GI170" s="6"/>
      <c r="GJ170" s="6"/>
      <c r="GK170" s="6"/>
      <c r="GL170" s="6"/>
      <c r="GM170" s="6"/>
      <c r="GN170" s="6"/>
      <c r="GO170" s="6"/>
      <c r="GP170" s="6"/>
      <c r="GQ170" s="6"/>
      <c r="GR170" s="6"/>
      <c r="GS170" s="6"/>
      <c r="GT170" s="6"/>
      <c r="GU170" s="6"/>
      <c r="GV170" s="6"/>
      <c r="GW170" s="6"/>
      <c r="GX170" s="6"/>
      <c r="GY170" s="6"/>
      <c r="GZ170" s="6"/>
      <c r="HA170" s="6"/>
      <c r="HB170" s="6"/>
      <c r="HC170" s="6"/>
      <c r="HD170" s="6"/>
      <c r="HE170" s="6"/>
      <c r="HF170" s="6"/>
      <c r="HG170" s="6"/>
      <c r="HH170" s="6"/>
      <c r="HI170" s="6"/>
      <c r="HJ170" s="6"/>
      <c r="HK170" s="6"/>
      <c r="HL170" s="6"/>
      <c r="HM170" s="6"/>
      <c r="HN170" s="6"/>
      <c r="HO170" s="6"/>
      <c r="HP170" s="6"/>
      <c r="HQ170" s="6"/>
      <c r="HR170" s="6"/>
      <c r="HS170" s="6"/>
      <c r="HT170" s="6"/>
      <c r="HU170" s="6"/>
    </row>
    <row r="171" spans="1:229">
      <c r="E171" s="6"/>
      <c r="F171" s="84"/>
      <c r="G171" s="55"/>
      <c r="H171" s="6"/>
      <c r="I171" s="6"/>
      <c r="J171" s="6"/>
      <c r="K171" s="6"/>
      <c r="L171" s="88"/>
      <c r="M171" s="83"/>
      <c r="N171" s="89"/>
      <c r="O171" s="89"/>
      <c r="P171" s="89"/>
      <c r="Q171" s="89"/>
      <c r="R171" s="89"/>
      <c r="S171" s="6"/>
      <c r="T171" s="90"/>
      <c r="U171" s="84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  <c r="ER171" s="6"/>
      <c r="ES171" s="6"/>
      <c r="ET171" s="6"/>
      <c r="EU171" s="6"/>
      <c r="EV171" s="6"/>
      <c r="EW171" s="6"/>
      <c r="EX171" s="6"/>
      <c r="EY171" s="6"/>
      <c r="EZ171" s="6"/>
      <c r="FA171" s="6"/>
      <c r="FB171" s="6"/>
      <c r="FC171" s="6"/>
      <c r="FD171" s="6"/>
      <c r="FE171" s="6"/>
      <c r="FF171" s="6"/>
      <c r="FG171" s="6"/>
      <c r="FH171" s="6"/>
      <c r="FI171" s="6"/>
      <c r="FJ171" s="6"/>
      <c r="FK171" s="6"/>
      <c r="FL171" s="6"/>
      <c r="FM171" s="6"/>
      <c r="FN171" s="6"/>
      <c r="FO171" s="6"/>
      <c r="FP171" s="6"/>
      <c r="FQ171" s="6"/>
      <c r="FR171" s="6"/>
      <c r="FS171" s="6"/>
      <c r="FT171" s="6"/>
      <c r="FU171" s="6"/>
      <c r="FV171" s="6"/>
      <c r="FW171" s="6"/>
      <c r="FX171" s="6"/>
      <c r="FY171" s="6"/>
      <c r="FZ171" s="6"/>
      <c r="GA171" s="6"/>
      <c r="GB171" s="6"/>
      <c r="GC171" s="6"/>
      <c r="GD171" s="6"/>
      <c r="GE171" s="6"/>
      <c r="GF171" s="6"/>
      <c r="GG171" s="6"/>
      <c r="GH171" s="6"/>
      <c r="GI171" s="6"/>
      <c r="GJ171" s="6"/>
      <c r="GK171" s="6"/>
      <c r="GL171" s="6"/>
      <c r="GM171" s="6"/>
      <c r="GN171" s="6"/>
      <c r="GO171" s="6"/>
      <c r="GP171" s="6"/>
      <c r="GQ171" s="6"/>
      <c r="GR171" s="6"/>
      <c r="GS171" s="6"/>
      <c r="GT171" s="6"/>
      <c r="GU171" s="6"/>
      <c r="GV171" s="6"/>
      <c r="GW171" s="6"/>
      <c r="GX171" s="6"/>
      <c r="GY171" s="6"/>
      <c r="GZ171" s="6"/>
      <c r="HA171" s="6"/>
      <c r="HB171" s="6"/>
      <c r="HC171" s="6"/>
      <c r="HD171" s="6"/>
      <c r="HE171" s="6"/>
      <c r="HF171" s="6"/>
      <c r="HG171" s="6"/>
      <c r="HH171" s="6"/>
      <c r="HI171" s="6"/>
      <c r="HJ171" s="6"/>
      <c r="HK171" s="6"/>
      <c r="HL171" s="6"/>
      <c r="HM171" s="6"/>
      <c r="HN171" s="6"/>
      <c r="HO171" s="6"/>
      <c r="HP171" s="6"/>
      <c r="HQ171" s="6"/>
      <c r="HR171" s="6"/>
      <c r="HS171" s="6"/>
      <c r="HT171" s="6"/>
      <c r="HU171" s="6"/>
    </row>
    <row r="172" spans="1:229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88"/>
      <c r="M172" s="83"/>
      <c r="N172" s="89"/>
      <c r="O172" s="89"/>
      <c r="P172" s="89"/>
      <c r="Q172" s="89"/>
      <c r="R172" s="89"/>
      <c r="S172" s="6"/>
      <c r="T172" s="90"/>
      <c r="U172" s="84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  <c r="ER172" s="6"/>
      <c r="ES172" s="6"/>
      <c r="ET172" s="6"/>
      <c r="EU172" s="6"/>
      <c r="EV172" s="6"/>
      <c r="EW172" s="6"/>
      <c r="EX172" s="6"/>
      <c r="EY172" s="6"/>
      <c r="EZ172" s="6"/>
      <c r="FA172" s="6"/>
      <c r="FB172" s="6"/>
      <c r="FC172" s="6"/>
      <c r="FD172" s="6"/>
      <c r="FE172" s="6"/>
      <c r="FF172" s="6"/>
      <c r="FG172" s="6"/>
      <c r="FH172" s="6"/>
      <c r="FI172" s="6"/>
      <c r="FJ172" s="6"/>
      <c r="FK172" s="6"/>
      <c r="FL172" s="6"/>
      <c r="FM172" s="6"/>
      <c r="FN172" s="6"/>
      <c r="FO172" s="6"/>
      <c r="FP172" s="6"/>
      <c r="FQ172" s="6"/>
      <c r="FR172" s="6"/>
      <c r="FS172" s="6"/>
      <c r="FT172" s="6"/>
      <c r="FU172" s="6"/>
      <c r="FV172" s="6"/>
      <c r="FW172" s="6"/>
      <c r="FX172" s="6"/>
      <c r="FY172" s="6"/>
      <c r="FZ172" s="6"/>
      <c r="GA172" s="6"/>
      <c r="GB172" s="6"/>
      <c r="GC172" s="6"/>
      <c r="GD172" s="6"/>
      <c r="GE172" s="6"/>
      <c r="GF172" s="6"/>
      <c r="GG172" s="6"/>
      <c r="GH172" s="6"/>
      <c r="GI172" s="6"/>
      <c r="GJ172" s="6"/>
      <c r="GK172" s="6"/>
      <c r="GL172" s="6"/>
      <c r="GM172" s="6"/>
      <c r="GN172" s="6"/>
      <c r="GO172" s="6"/>
      <c r="GP172" s="6"/>
      <c r="GQ172" s="6"/>
      <c r="GR172" s="6"/>
      <c r="GS172" s="6"/>
      <c r="GT172" s="6"/>
      <c r="GU172" s="6"/>
      <c r="GV172" s="6"/>
      <c r="GW172" s="6"/>
      <c r="GX172" s="6"/>
      <c r="GY172" s="6"/>
      <c r="GZ172" s="6"/>
      <c r="HA172" s="6"/>
      <c r="HB172" s="6"/>
      <c r="HC172" s="6"/>
      <c r="HD172" s="6"/>
      <c r="HE172" s="6"/>
      <c r="HF172" s="6"/>
      <c r="HG172" s="6"/>
      <c r="HH172" s="6"/>
      <c r="HI172" s="6"/>
      <c r="HJ172" s="6"/>
      <c r="HK172" s="6"/>
      <c r="HL172" s="6"/>
      <c r="HM172" s="6"/>
      <c r="HN172" s="6"/>
      <c r="HO172" s="6"/>
      <c r="HP172" s="6"/>
      <c r="HQ172" s="6"/>
      <c r="HR172" s="6"/>
      <c r="HS172" s="6"/>
      <c r="HT172" s="6"/>
      <c r="HU172" s="6"/>
    </row>
    <row r="173" spans="1:229">
      <c r="A173" s="6"/>
      <c r="B173" s="6"/>
      <c r="C173" s="6"/>
      <c r="D173" s="6"/>
      <c r="E173" s="6"/>
      <c r="F173" s="83"/>
      <c r="G173" s="55"/>
      <c r="H173" s="95"/>
      <c r="I173" s="6"/>
      <c r="J173" s="6"/>
      <c r="K173" s="6"/>
      <c r="L173" s="88"/>
      <c r="M173" s="83"/>
      <c r="N173" s="89"/>
      <c r="O173" s="89"/>
      <c r="P173" s="89"/>
      <c r="Q173" s="89"/>
      <c r="R173" s="89"/>
      <c r="S173" s="6"/>
      <c r="T173" s="90"/>
      <c r="U173" s="84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  <c r="ER173" s="6"/>
      <c r="ES173" s="6"/>
      <c r="ET173" s="6"/>
      <c r="EU173" s="6"/>
      <c r="EV173" s="6"/>
      <c r="EW173" s="6"/>
      <c r="EX173" s="6"/>
      <c r="EY173" s="6"/>
      <c r="EZ173" s="6"/>
      <c r="FA173" s="6"/>
      <c r="FB173" s="6"/>
      <c r="FC173" s="6"/>
      <c r="FD173" s="6"/>
      <c r="FE173" s="6"/>
      <c r="FF173" s="6"/>
      <c r="FG173" s="6"/>
      <c r="FH173" s="6"/>
      <c r="FI173" s="6"/>
      <c r="FJ173" s="6"/>
      <c r="FK173" s="6"/>
      <c r="FL173" s="6"/>
      <c r="FM173" s="6"/>
      <c r="FN173" s="6"/>
      <c r="FO173" s="6"/>
      <c r="FP173" s="6"/>
      <c r="FQ173" s="6"/>
      <c r="FR173" s="6"/>
      <c r="FS173" s="6"/>
      <c r="FT173" s="6"/>
      <c r="FU173" s="6"/>
      <c r="FV173" s="6"/>
      <c r="FW173" s="6"/>
      <c r="FX173" s="6"/>
      <c r="FY173" s="6"/>
      <c r="FZ173" s="6"/>
      <c r="GA173" s="6"/>
      <c r="GB173" s="6"/>
      <c r="GC173" s="6"/>
      <c r="GD173" s="6"/>
      <c r="GE173" s="6"/>
      <c r="GF173" s="6"/>
      <c r="GG173" s="6"/>
      <c r="GH173" s="6"/>
      <c r="GI173" s="6"/>
      <c r="GJ173" s="6"/>
      <c r="GK173" s="6"/>
      <c r="GL173" s="6"/>
      <c r="GM173" s="6"/>
      <c r="GN173" s="6"/>
      <c r="GO173" s="6"/>
      <c r="GP173" s="6"/>
      <c r="GQ173" s="6"/>
      <c r="GR173" s="6"/>
      <c r="GS173" s="6"/>
      <c r="GT173" s="6"/>
      <c r="GU173" s="6"/>
      <c r="GV173" s="6"/>
      <c r="GW173" s="6"/>
      <c r="GX173" s="6"/>
      <c r="GY173" s="6"/>
      <c r="GZ173" s="6"/>
      <c r="HA173" s="6"/>
      <c r="HB173" s="6"/>
      <c r="HC173" s="6"/>
      <c r="HD173" s="6"/>
      <c r="HE173" s="6"/>
      <c r="HF173" s="6"/>
      <c r="HG173" s="6"/>
      <c r="HH173" s="6"/>
      <c r="HI173" s="6"/>
      <c r="HJ173" s="6"/>
      <c r="HK173" s="6"/>
      <c r="HL173" s="6"/>
      <c r="HM173" s="6"/>
      <c r="HN173" s="6"/>
      <c r="HO173" s="6"/>
      <c r="HP173" s="6"/>
      <c r="HQ173" s="6"/>
      <c r="HR173" s="6"/>
      <c r="HS173" s="6"/>
      <c r="HT173" s="6"/>
      <c r="HU173" s="6"/>
    </row>
    <row r="174" spans="1:229">
      <c r="A174" s="6"/>
      <c r="B174" s="6"/>
      <c r="C174" s="6"/>
      <c r="D174" s="6"/>
      <c r="E174" s="6"/>
      <c r="F174" s="83"/>
      <c r="G174" s="55"/>
      <c r="H174" s="6"/>
      <c r="I174" s="6"/>
      <c r="J174" s="6"/>
      <c r="K174" s="6"/>
      <c r="L174" s="88"/>
      <c r="M174" s="83"/>
      <c r="N174" s="89"/>
      <c r="O174" s="89"/>
      <c r="P174" s="89"/>
      <c r="Q174" s="89"/>
      <c r="R174" s="89"/>
      <c r="S174" s="6"/>
      <c r="T174" s="90"/>
      <c r="U174" s="84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  <c r="ER174" s="6"/>
      <c r="ES174" s="6"/>
      <c r="ET174" s="6"/>
      <c r="EU174" s="6"/>
      <c r="EV174" s="6"/>
      <c r="EW174" s="6"/>
      <c r="EX174" s="6"/>
      <c r="EY174" s="6"/>
      <c r="EZ174" s="6"/>
      <c r="FA174" s="6"/>
      <c r="FB174" s="6"/>
      <c r="FC174" s="6"/>
      <c r="FD174" s="6"/>
      <c r="FE174" s="6"/>
      <c r="FF174" s="6"/>
      <c r="FG174" s="6"/>
      <c r="FH174" s="6"/>
      <c r="FI174" s="6"/>
      <c r="FJ174" s="6"/>
      <c r="FK174" s="6"/>
      <c r="FL174" s="6"/>
      <c r="FM174" s="6"/>
      <c r="FN174" s="6"/>
      <c r="FO174" s="6"/>
      <c r="FP174" s="6"/>
      <c r="FQ174" s="6"/>
      <c r="FR174" s="6"/>
      <c r="FS174" s="6"/>
      <c r="FT174" s="6"/>
      <c r="FU174" s="6"/>
      <c r="FV174" s="6"/>
      <c r="FW174" s="6"/>
      <c r="FX174" s="6"/>
      <c r="FY174" s="6"/>
      <c r="FZ174" s="6"/>
      <c r="GA174" s="6"/>
      <c r="GB174" s="6"/>
      <c r="GC174" s="6"/>
      <c r="GD174" s="6"/>
      <c r="GE174" s="6"/>
      <c r="GF174" s="6"/>
      <c r="GG174" s="6"/>
      <c r="GH174" s="6"/>
      <c r="GI174" s="6"/>
      <c r="GJ174" s="6"/>
      <c r="GK174" s="6"/>
      <c r="GL174" s="6"/>
      <c r="GM174" s="6"/>
      <c r="GN174" s="6"/>
      <c r="GO174" s="6"/>
      <c r="GP174" s="6"/>
      <c r="GQ174" s="6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  <c r="HE174" s="6"/>
      <c r="HF174" s="6"/>
      <c r="HG174" s="6"/>
      <c r="HH174" s="6"/>
      <c r="HI174" s="6"/>
      <c r="HJ174" s="6"/>
      <c r="HK174" s="6"/>
      <c r="HL174" s="6"/>
      <c r="HM174" s="6"/>
      <c r="HN174" s="6"/>
      <c r="HO174" s="6"/>
      <c r="HP174" s="6"/>
      <c r="HQ174" s="6"/>
      <c r="HR174" s="6"/>
      <c r="HS174" s="6"/>
      <c r="HT174" s="6"/>
      <c r="HU174" s="6"/>
    </row>
    <row r="175" spans="1:229">
      <c r="A175" s="6"/>
      <c r="B175" s="6"/>
      <c r="C175" s="6"/>
      <c r="D175" s="6"/>
      <c r="E175" s="6"/>
      <c r="F175" s="83"/>
      <c r="G175" s="6"/>
      <c r="H175" s="6"/>
      <c r="I175" s="6"/>
      <c r="J175" s="6"/>
      <c r="K175" s="6"/>
      <c r="L175" s="88"/>
      <c r="M175" s="83"/>
      <c r="N175" s="89"/>
      <c r="O175" s="89"/>
      <c r="P175" s="89"/>
      <c r="Q175" s="89"/>
      <c r="R175" s="89"/>
      <c r="S175" s="6"/>
      <c r="T175" s="90"/>
      <c r="U175" s="84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  <c r="ER175" s="6"/>
      <c r="ES175" s="6"/>
      <c r="ET175" s="6"/>
      <c r="EU175" s="6"/>
      <c r="EV175" s="6"/>
      <c r="EW175" s="6"/>
      <c r="EX175" s="6"/>
      <c r="EY175" s="6"/>
      <c r="EZ175" s="6"/>
      <c r="FA175" s="6"/>
      <c r="FB175" s="6"/>
      <c r="FC175" s="6"/>
      <c r="FD175" s="6"/>
      <c r="FE175" s="6"/>
      <c r="FF175" s="6"/>
      <c r="FG175" s="6"/>
      <c r="FH175" s="6"/>
      <c r="FI175" s="6"/>
      <c r="FJ175" s="6"/>
      <c r="FK175" s="6"/>
      <c r="FL175" s="6"/>
      <c r="FM175" s="6"/>
      <c r="FN175" s="6"/>
      <c r="FO175" s="6"/>
      <c r="FP175" s="6"/>
      <c r="FQ175" s="6"/>
      <c r="FR175" s="6"/>
      <c r="FS175" s="6"/>
      <c r="FT175" s="6"/>
      <c r="FU175" s="6"/>
      <c r="FV175" s="6"/>
      <c r="FW175" s="6"/>
      <c r="FX175" s="6"/>
      <c r="FY175" s="6"/>
      <c r="FZ175" s="6"/>
      <c r="GA175" s="6"/>
      <c r="GB175" s="6"/>
      <c r="GC175" s="6"/>
      <c r="GD175" s="6"/>
      <c r="GE175" s="6"/>
      <c r="GF175" s="6"/>
      <c r="GG175" s="6"/>
      <c r="GH175" s="6"/>
      <c r="GI175" s="6"/>
      <c r="GJ175" s="6"/>
      <c r="GK175" s="6"/>
      <c r="GL175" s="6"/>
      <c r="GM175" s="6"/>
      <c r="GN175" s="6"/>
      <c r="GO175" s="6"/>
      <c r="GP175" s="6"/>
      <c r="GQ175" s="6"/>
      <c r="GR175" s="6"/>
      <c r="GS175" s="6"/>
      <c r="GT175" s="6"/>
      <c r="GU175" s="6"/>
      <c r="GV175" s="6"/>
      <c r="GW175" s="6"/>
      <c r="GX175" s="6"/>
      <c r="GY175" s="6"/>
      <c r="GZ175" s="6"/>
      <c r="HA175" s="6"/>
      <c r="HB175" s="6"/>
      <c r="HC175" s="6"/>
      <c r="HD175" s="6"/>
      <c r="HE175" s="6"/>
      <c r="HF175" s="6"/>
      <c r="HG175" s="6"/>
      <c r="HH175" s="6"/>
      <c r="HI175" s="6"/>
      <c r="HJ175" s="6"/>
      <c r="HK175" s="6"/>
      <c r="HL175" s="6"/>
      <c r="HM175" s="6"/>
      <c r="HN175" s="6"/>
      <c r="HO175" s="6"/>
      <c r="HP175" s="6"/>
      <c r="HQ175" s="6"/>
      <c r="HR175" s="6"/>
      <c r="HS175" s="6"/>
      <c r="HT175" s="6"/>
      <c r="HU175" s="6"/>
    </row>
    <row r="176" spans="1:229">
      <c r="A176" s="6"/>
      <c r="B176" s="6"/>
      <c r="C176" s="6"/>
      <c r="D176" s="6"/>
      <c r="E176" s="6"/>
      <c r="F176" s="83"/>
      <c r="G176" s="55"/>
      <c r="H176" s="6"/>
      <c r="I176" s="6"/>
      <c r="J176" s="6"/>
      <c r="K176" s="6"/>
      <c r="L176" s="88"/>
      <c r="M176" s="83"/>
      <c r="N176" s="89"/>
      <c r="O176" s="89"/>
      <c r="P176" s="89"/>
      <c r="Q176" s="89"/>
      <c r="R176" s="89"/>
      <c r="S176" s="6"/>
      <c r="T176" s="90"/>
      <c r="U176" s="84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  <c r="ER176" s="6"/>
      <c r="ES176" s="6"/>
      <c r="ET176" s="6"/>
      <c r="EU176" s="6"/>
      <c r="EV176" s="6"/>
      <c r="EW176" s="6"/>
      <c r="EX176" s="6"/>
      <c r="EY176" s="6"/>
      <c r="EZ176" s="6"/>
      <c r="FA176" s="6"/>
      <c r="FB176" s="6"/>
      <c r="FC176" s="6"/>
      <c r="FD176" s="6"/>
      <c r="FE176" s="6"/>
      <c r="FF176" s="6"/>
      <c r="FG176" s="6"/>
      <c r="FH176" s="6"/>
      <c r="FI176" s="6"/>
      <c r="FJ176" s="6"/>
      <c r="FK176" s="6"/>
      <c r="FL176" s="6"/>
      <c r="FM176" s="6"/>
      <c r="FN176" s="6"/>
      <c r="FO176" s="6"/>
      <c r="FP176" s="6"/>
      <c r="FQ176" s="6"/>
      <c r="FR176" s="6"/>
      <c r="FS176" s="6"/>
      <c r="FT176" s="6"/>
      <c r="FU176" s="6"/>
      <c r="FV176" s="6"/>
      <c r="FW176" s="6"/>
      <c r="FX176" s="6"/>
      <c r="FY176" s="6"/>
      <c r="FZ176" s="6"/>
      <c r="GA176" s="6"/>
      <c r="GB176" s="6"/>
      <c r="GC176" s="6"/>
      <c r="GD176" s="6"/>
      <c r="GE176" s="6"/>
      <c r="GF176" s="6"/>
      <c r="GG176" s="6"/>
      <c r="GH176" s="6"/>
      <c r="GI176" s="6"/>
      <c r="GJ176" s="6"/>
      <c r="GK176" s="6"/>
      <c r="GL176" s="6"/>
      <c r="GM176" s="6"/>
      <c r="GN176" s="6"/>
      <c r="GO176" s="6"/>
      <c r="GP176" s="6"/>
      <c r="GQ176" s="6"/>
      <c r="GR176" s="6"/>
      <c r="GS176" s="6"/>
      <c r="GT176" s="6"/>
      <c r="GU176" s="6"/>
      <c r="GV176" s="6"/>
      <c r="GW176" s="6"/>
      <c r="GX176" s="6"/>
      <c r="GY176" s="6"/>
      <c r="GZ176" s="6"/>
      <c r="HA176" s="6"/>
      <c r="HB176" s="6"/>
      <c r="HC176" s="6"/>
      <c r="HD176" s="6"/>
      <c r="HE176" s="6"/>
      <c r="HF176" s="6"/>
      <c r="HG176" s="6"/>
      <c r="HH176" s="6"/>
      <c r="HI176" s="6"/>
      <c r="HJ176" s="6"/>
      <c r="HK176" s="6"/>
      <c r="HL176" s="6"/>
      <c r="HM176" s="6"/>
      <c r="HN176" s="6"/>
      <c r="HO176" s="6"/>
      <c r="HP176" s="6"/>
      <c r="HQ176" s="6"/>
      <c r="HR176" s="6"/>
      <c r="HS176" s="6"/>
      <c r="HT176" s="6"/>
      <c r="HU176" s="6"/>
    </row>
    <row r="177" spans="1:229">
      <c r="A177" s="6"/>
      <c r="B177" s="6"/>
      <c r="C177" s="6"/>
      <c r="D177" s="6"/>
      <c r="E177" s="6"/>
      <c r="F177" s="83"/>
      <c r="G177" s="55"/>
      <c r="H177" s="6"/>
      <c r="I177" s="6"/>
      <c r="J177" s="6"/>
      <c r="K177" s="6"/>
      <c r="L177" s="88"/>
      <c r="M177" s="83"/>
      <c r="N177" s="89"/>
      <c r="O177" s="89"/>
      <c r="P177" s="89"/>
      <c r="Q177" s="89"/>
      <c r="R177" s="89"/>
      <c r="S177" s="6"/>
      <c r="T177" s="90"/>
      <c r="U177" s="84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  <c r="ER177" s="6"/>
      <c r="ES177" s="6"/>
      <c r="ET177" s="6"/>
      <c r="EU177" s="6"/>
      <c r="EV177" s="6"/>
      <c r="EW177" s="6"/>
      <c r="EX177" s="6"/>
      <c r="EY177" s="6"/>
      <c r="EZ177" s="6"/>
      <c r="FA177" s="6"/>
      <c r="FB177" s="6"/>
      <c r="FC177" s="6"/>
      <c r="FD177" s="6"/>
      <c r="FE177" s="6"/>
      <c r="FF177" s="6"/>
      <c r="FG177" s="6"/>
      <c r="FH177" s="6"/>
      <c r="FI177" s="6"/>
      <c r="FJ177" s="6"/>
      <c r="FK177" s="6"/>
      <c r="FL177" s="6"/>
      <c r="FM177" s="6"/>
      <c r="FN177" s="6"/>
      <c r="FO177" s="6"/>
      <c r="FP177" s="6"/>
      <c r="FQ177" s="6"/>
      <c r="FR177" s="6"/>
      <c r="FS177" s="6"/>
      <c r="FT177" s="6"/>
      <c r="FU177" s="6"/>
      <c r="FV177" s="6"/>
      <c r="FW177" s="6"/>
      <c r="FX177" s="6"/>
      <c r="FY177" s="6"/>
      <c r="FZ177" s="6"/>
      <c r="GA177" s="6"/>
      <c r="GB177" s="6"/>
      <c r="GC177" s="6"/>
      <c r="GD177" s="6"/>
      <c r="GE177" s="6"/>
      <c r="GF177" s="6"/>
      <c r="GG177" s="6"/>
      <c r="GH177" s="6"/>
      <c r="GI177" s="6"/>
      <c r="GJ177" s="6"/>
      <c r="GK177" s="6"/>
      <c r="GL177" s="6"/>
      <c r="GM177" s="6"/>
      <c r="GN177" s="6"/>
      <c r="GO177" s="6"/>
      <c r="GP177" s="6"/>
      <c r="GQ177" s="6"/>
      <c r="GR177" s="6"/>
      <c r="GS177" s="6"/>
      <c r="GT177" s="6"/>
      <c r="GU177" s="6"/>
      <c r="GV177" s="6"/>
      <c r="GW177" s="6"/>
      <c r="GX177" s="6"/>
      <c r="GY177" s="6"/>
      <c r="GZ177" s="6"/>
      <c r="HA177" s="6"/>
      <c r="HB177" s="6"/>
      <c r="HC177" s="6"/>
      <c r="HD177" s="6"/>
      <c r="HE177" s="6"/>
      <c r="HF177" s="6"/>
      <c r="HG177" s="6"/>
      <c r="HH177" s="6"/>
      <c r="HI177" s="6"/>
      <c r="HJ177" s="6"/>
      <c r="HK177" s="6"/>
      <c r="HL177" s="6"/>
      <c r="HM177" s="6"/>
      <c r="HN177" s="6"/>
      <c r="HO177" s="6"/>
      <c r="HP177" s="6"/>
      <c r="HQ177" s="6"/>
      <c r="HR177" s="6"/>
      <c r="HS177" s="6"/>
      <c r="HT177" s="6"/>
      <c r="HU177" s="6"/>
    </row>
    <row r="178" spans="1:229">
      <c r="A178" s="6"/>
      <c r="B178" s="6"/>
      <c r="C178" s="6"/>
      <c r="D178" s="6"/>
      <c r="E178" s="6"/>
      <c r="F178" s="83"/>
      <c r="G178" s="55"/>
      <c r="H178" s="6"/>
      <c r="I178" s="6"/>
      <c r="J178" s="6"/>
      <c r="K178" s="6"/>
      <c r="L178" s="88"/>
      <c r="M178" s="83"/>
      <c r="N178" s="89"/>
      <c r="O178" s="89"/>
      <c r="P178" s="89"/>
      <c r="Q178" s="89"/>
      <c r="R178" s="89"/>
      <c r="S178" s="6"/>
      <c r="T178" s="90"/>
      <c r="U178" s="84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  <c r="ER178" s="6"/>
      <c r="ES178" s="6"/>
      <c r="ET178" s="6"/>
      <c r="EU178" s="6"/>
      <c r="EV178" s="6"/>
      <c r="EW178" s="6"/>
      <c r="EX178" s="6"/>
      <c r="EY178" s="6"/>
      <c r="EZ178" s="6"/>
      <c r="FA178" s="6"/>
      <c r="FB178" s="6"/>
      <c r="FC178" s="6"/>
      <c r="FD178" s="6"/>
      <c r="FE178" s="6"/>
      <c r="FF178" s="6"/>
      <c r="FG178" s="6"/>
      <c r="FH178" s="6"/>
      <c r="FI178" s="6"/>
      <c r="FJ178" s="6"/>
      <c r="FK178" s="6"/>
      <c r="FL178" s="6"/>
      <c r="FM178" s="6"/>
      <c r="FN178" s="6"/>
      <c r="FO178" s="6"/>
      <c r="FP178" s="6"/>
      <c r="FQ178" s="6"/>
      <c r="FR178" s="6"/>
      <c r="FS178" s="6"/>
      <c r="FT178" s="6"/>
      <c r="FU178" s="6"/>
      <c r="FV178" s="6"/>
      <c r="FW178" s="6"/>
      <c r="FX178" s="6"/>
      <c r="FY178" s="6"/>
      <c r="FZ178" s="6"/>
      <c r="GA178" s="6"/>
      <c r="GB178" s="6"/>
      <c r="GC178" s="6"/>
      <c r="GD178" s="6"/>
      <c r="GE178" s="6"/>
      <c r="GF178" s="6"/>
      <c r="GG178" s="6"/>
      <c r="GH178" s="6"/>
      <c r="GI178" s="6"/>
      <c r="GJ178" s="6"/>
      <c r="GK178" s="6"/>
      <c r="GL178" s="6"/>
      <c r="GM178" s="6"/>
      <c r="GN178" s="6"/>
      <c r="GO178" s="6"/>
      <c r="GP178" s="6"/>
      <c r="GQ178" s="6"/>
      <c r="GR178" s="6"/>
      <c r="GS178" s="6"/>
      <c r="GT178" s="6"/>
      <c r="GU178" s="6"/>
      <c r="GV178" s="6"/>
      <c r="GW178" s="6"/>
      <c r="GX178" s="6"/>
      <c r="GY178" s="6"/>
      <c r="GZ178" s="6"/>
      <c r="HA178" s="6"/>
      <c r="HB178" s="6"/>
      <c r="HC178" s="6"/>
      <c r="HD178" s="6"/>
      <c r="HE178" s="6"/>
      <c r="HF178" s="6"/>
      <c r="HG178" s="6"/>
      <c r="HH178" s="6"/>
      <c r="HI178" s="6"/>
      <c r="HJ178" s="6"/>
      <c r="HK178" s="6"/>
      <c r="HL178" s="6"/>
      <c r="HM178" s="6"/>
      <c r="HN178" s="6"/>
      <c r="HO178" s="6"/>
      <c r="HP178" s="6"/>
      <c r="HQ178" s="6"/>
      <c r="HR178" s="6"/>
      <c r="HS178" s="6"/>
      <c r="HT178" s="6"/>
      <c r="HU178" s="6"/>
    </row>
    <row r="179" spans="1:229">
      <c r="A179" s="25"/>
      <c r="B179" s="25"/>
      <c r="C179" s="25"/>
      <c r="D179" s="25"/>
      <c r="E179" s="25"/>
      <c r="F179" s="83"/>
      <c r="G179" s="55"/>
      <c r="H179" s="6"/>
      <c r="I179" s="6"/>
      <c r="J179" s="6"/>
      <c r="K179" s="6"/>
      <c r="L179" s="88"/>
      <c r="M179" s="83"/>
      <c r="N179" s="89"/>
      <c r="O179" s="89"/>
      <c r="P179" s="89"/>
      <c r="Q179" s="89"/>
      <c r="R179" s="89"/>
      <c r="S179" s="6"/>
      <c r="T179" s="90"/>
      <c r="U179" s="84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6"/>
      <c r="AL179" s="6"/>
      <c r="AM179" s="6"/>
      <c r="AN179" s="6"/>
      <c r="AO179" s="6"/>
      <c r="AP179" s="6"/>
      <c r="AQ179" s="6"/>
      <c r="AR179" s="6"/>
      <c r="AS179" s="6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  <c r="CO179" s="25"/>
      <c r="CP179" s="25"/>
      <c r="CQ179" s="25"/>
      <c r="CR179" s="25"/>
      <c r="CS179" s="25"/>
      <c r="CT179" s="25"/>
      <c r="CU179" s="25"/>
      <c r="CV179" s="25"/>
      <c r="CW179" s="25"/>
      <c r="CX179" s="25"/>
      <c r="CY179" s="25"/>
      <c r="CZ179" s="25"/>
      <c r="DA179" s="25"/>
      <c r="DB179" s="25"/>
      <c r="DC179" s="25"/>
      <c r="DD179" s="25"/>
      <c r="DE179" s="25"/>
      <c r="DF179" s="25"/>
      <c r="DG179" s="25"/>
      <c r="DH179" s="25"/>
      <c r="DI179" s="25"/>
      <c r="DJ179" s="25"/>
      <c r="DK179" s="25"/>
      <c r="DL179" s="25"/>
      <c r="DM179" s="25"/>
      <c r="DN179" s="25"/>
      <c r="DO179" s="25"/>
      <c r="DP179" s="25"/>
      <c r="DQ179" s="25"/>
      <c r="DR179" s="25"/>
      <c r="DS179" s="25"/>
      <c r="DT179" s="25"/>
      <c r="DU179" s="25"/>
      <c r="DV179" s="25"/>
      <c r="DW179" s="25"/>
      <c r="DX179" s="25"/>
      <c r="DY179" s="25"/>
      <c r="DZ179" s="25"/>
      <c r="EA179" s="25"/>
      <c r="EB179" s="25"/>
      <c r="EC179" s="25"/>
      <c r="ED179" s="25"/>
      <c r="EE179" s="25"/>
      <c r="EF179" s="25"/>
      <c r="EG179" s="25"/>
      <c r="EH179" s="25"/>
      <c r="EI179" s="25"/>
      <c r="EJ179" s="25"/>
      <c r="EK179" s="25"/>
      <c r="EL179" s="25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  <c r="GM179" s="6"/>
      <c r="GN179" s="6"/>
      <c r="GO179" s="6"/>
      <c r="GP179" s="6"/>
      <c r="GQ179" s="6"/>
      <c r="GR179" s="6"/>
      <c r="GS179" s="6"/>
      <c r="GT179" s="6"/>
      <c r="GU179" s="6"/>
      <c r="GV179" s="6"/>
      <c r="GW179" s="6"/>
      <c r="GX179" s="6"/>
      <c r="GY179" s="6"/>
      <c r="GZ179" s="6"/>
      <c r="HA179" s="6"/>
      <c r="HB179" s="6"/>
      <c r="HC179" s="6"/>
      <c r="HD179" s="6"/>
      <c r="HE179" s="6"/>
      <c r="HF179" s="6"/>
      <c r="HG179" s="6"/>
      <c r="HH179" s="6"/>
      <c r="HI179" s="6"/>
      <c r="HJ179" s="6"/>
      <c r="HK179" s="6"/>
      <c r="HL179" s="6"/>
      <c r="HM179" s="6"/>
      <c r="HN179" s="6"/>
      <c r="HO179" s="6"/>
      <c r="HP179" s="6"/>
      <c r="HQ179" s="6"/>
      <c r="HR179" s="6"/>
      <c r="HS179" s="6"/>
      <c r="HT179" s="6"/>
      <c r="HU179" s="6"/>
    </row>
    <row r="180" spans="1:229">
      <c r="A180" s="6"/>
      <c r="B180" s="6"/>
      <c r="C180" s="6"/>
      <c r="D180" s="6"/>
      <c r="E180" s="6"/>
      <c r="F180" s="83"/>
      <c r="G180" s="55"/>
      <c r="H180" s="6"/>
      <c r="I180" s="6"/>
      <c r="J180" s="6"/>
      <c r="K180" s="6"/>
      <c r="L180" s="88"/>
      <c r="M180" s="83"/>
      <c r="N180" s="89"/>
      <c r="O180" s="89"/>
      <c r="P180" s="89"/>
      <c r="Q180" s="89"/>
      <c r="R180" s="89"/>
      <c r="S180" s="6"/>
      <c r="T180" s="90"/>
      <c r="U180" s="84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  <c r="GM180" s="6"/>
      <c r="GN180" s="6"/>
      <c r="GO180" s="6"/>
      <c r="GP180" s="6"/>
      <c r="GQ180" s="6"/>
      <c r="GR180" s="6"/>
      <c r="GS180" s="6"/>
      <c r="GT180" s="6"/>
      <c r="GU180" s="6"/>
      <c r="GV180" s="6"/>
      <c r="GW180" s="6"/>
      <c r="GX180" s="6"/>
      <c r="GY180" s="6"/>
      <c r="GZ180" s="6"/>
      <c r="HA180" s="6"/>
      <c r="HB180" s="6"/>
      <c r="HC180" s="6"/>
      <c r="HD180" s="6"/>
      <c r="HE180" s="6"/>
      <c r="HF180" s="6"/>
      <c r="HG180" s="6"/>
      <c r="HH180" s="6"/>
      <c r="HI180" s="6"/>
      <c r="HJ180" s="6"/>
      <c r="HK180" s="6"/>
      <c r="HL180" s="6"/>
      <c r="HM180" s="6"/>
      <c r="HN180" s="6"/>
      <c r="HO180" s="6"/>
      <c r="HP180" s="6"/>
      <c r="HQ180" s="6"/>
      <c r="HR180" s="6"/>
      <c r="HS180" s="6"/>
      <c r="HT180" s="6"/>
      <c r="HU180" s="6"/>
    </row>
    <row r="181" spans="1:229">
      <c r="A181" s="6"/>
      <c r="B181" s="6"/>
      <c r="C181" s="6"/>
      <c r="D181" s="6"/>
      <c r="E181" s="6"/>
      <c r="F181" s="83"/>
      <c r="G181" s="55"/>
      <c r="H181" s="6"/>
      <c r="I181" s="6"/>
      <c r="J181" s="6"/>
      <c r="K181" s="6"/>
      <c r="L181" s="88"/>
      <c r="M181" s="83"/>
      <c r="N181" s="89"/>
      <c r="O181" s="89"/>
      <c r="P181" s="89"/>
      <c r="Q181" s="89"/>
      <c r="R181" s="89"/>
      <c r="S181" s="6"/>
      <c r="T181" s="90"/>
      <c r="U181" s="84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  <c r="GM181" s="6"/>
      <c r="GN181" s="6"/>
      <c r="GO181" s="6"/>
      <c r="GP181" s="6"/>
      <c r="GQ181" s="6"/>
      <c r="GR181" s="6"/>
      <c r="GS181" s="6"/>
      <c r="GT181" s="6"/>
      <c r="GU181" s="6"/>
      <c r="GV181" s="6"/>
      <c r="GW181" s="6"/>
      <c r="GX181" s="6"/>
      <c r="GY181" s="6"/>
      <c r="GZ181" s="6"/>
      <c r="HA181" s="6"/>
      <c r="HB181" s="6"/>
      <c r="HC181" s="6"/>
      <c r="HD181" s="6"/>
      <c r="HE181" s="6"/>
      <c r="HF181" s="6"/>
      <c r="HG181" s="6"/>
      <c r="HH181" s="6"/>
      <c r="HI181" s="6"/>
      <c r="HJ181" s="6"/>
      <c r="HK181" s="6"/>
      <c r="HL181" s="6"/>
      <c r="HM181" s="6"/>
      <c r="HN181" s="6"/>
      <c r="HO181" s="6"/>
      <c r="HP181" s="6"/>
      <c r="HQ181" s="6"/>
      <c r="HR181" s="6"/>
      <c r="HS181" s="6"/>
      <c r="HT181" s="6"/>
      <c r="HU181" s="6"/>
    </row>
    <row r="182" spans="1:229">
      <c r="A182" s="6"/>
      <c r="B182" s="6"/>
      <c r="C182" s="6"/>
      <c r="D182" s="6"/>
      <c r="E182" s="6"/>
      <c r="F182" s="83"/>
      <c r="G182" s="55"/>
      <c r="H182" s="6"/>
      <c r="I182" s="6"/>
      <c r="J182" s="6"/>
      <c r="K182" s="6"/>
      <c r="L182" s="88"/>
      <c r="M182" s="83"/>
      <c r="N182" s="89"/>
      <c r="O182" s="89"/>
      <c r="P182" s="89"/>
      <c r="Q182" s="89"/>
      <c r="R182" s="89"/>
      <c r="S182" s="6"/>
      <c r="T182" s="90"/>
      <c r="U182" s="84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  <c r="GM182" s="6"/>
      <c r="GN182" s="6"/>
      <c r="GO182" s="6"/>
      <c r="GP182" s="6"/>
      <c r="GQ182" s="6"/>
      <c r="GR182" s="6"/>
      <c r="GS182" s="6"/>
      <c r="GT182" s="6"/>
      <c r="GU182" s="6"/>
      <c r="GV182" s="6"/>
      <c r="GW182" s="6"/>
      <c r="GX182" s="6"/>
      <c r="GY182" s="6"/>
      <c r="GZ182" s="6"/>
      <c r="HA182" s="6"/>
      <c r="HB182" s="6"/>
      <c r="HC182" s="6"/>
      <c r="HD182" s="6"/>
      <c r="HE182" s="6"/>
      <c r="HF182" s="6"/>
      <c r="HG182" s="6"/>
      <c r="HH182" s="6"/>
      <c r="HI182" s="6"/>
      <c r="HJ182" s="6"/>
      <c r="HK182" s="6"/>
      <c r="HL182" s="6"/>
      <c r="HM182" s="6"/>
      <c r="HN182" s="6"/>
      <c r="HO182" s="6"/>
      <c r="HP182" s="6"/>
      <c r="HQ182" s="6"/>
      <c r="HR182" s="6"/>
      <c r="HS182" s="6"/>
      <c r="HT182" s="6"/>
      <c r="HU182" s="6"/>
    </row>
    <row r="183" spans="1:229">
      <c r="A183" s="6"/>
      <c r="B183" s="6"/>
      <c r="C183" s="6"/>
      <c r="D183" s="6"/>
      <c r="E183" s="6"/>
      <c r="F183" s="84"/>
      <c r="G183" s="55"/>
      <c r="H183" s="6"/>
      <c r="I183" s="6"/>
      <c r="J183" s="6"/>
      <c r="K183" s="6"/>
      <c r="L183" s="88"/>
      <c r="M183" s="83"/>
      <c r="N183" s="89"/>
      <c r="O183" s="89"/>
      <c r="P183" s="89"/>
      <c r="Q183" s="89"/>
      <c r="R183" s="89"/>
      <c r="S183" s="6"/>
      <c r="T183" s="90"/>
      <c r="U183" s="84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  <c r="GM183" s="6"/>
      <c r="GN183" s="6"/>
      <c r="GO183" s="6"/>
      <c r="GP183" s="6"/>
      <c r="GQ183" s="6"/>
      <c r="GR183" s="6"/>
      <c r="GS183" s="6"/>
      <c r="GT183" s="6"/>
      <c r="GU183" s="6"/>
      <c r="GV183" s="6"/>
      <c r="GW183" s="6"/>
      <c r="GX183" s="6"/>
      <c r="GY183" s="6"/>
      <c r="GZ183" s="6"/>
      <c r="HA183" s="6"/>
      <c r="HB183" s="6"/>
      <c r="HC183" s="6"/>
      <c r="HD183" s="6"/>
      <c r="HE183" s="6"/>
      <c r="HF183" s="6"/>
      <c r="HG183" s="6"/>
      <c r="HH183" s="6"/>
      <c r="HI183" s="6"/>
      <c r="HJ183" s="6"/>
      <c r="HK183" s="6"/>
      <c r="HL183" s="6"/>
      <c r="HM183" s="6"/>
      <c r="HN183" s="6"/>
      <c r="HO183" s="6"/>
      <c r="HP183" s="6"/>
      <c r="HQ183" s="6"/>
      <c r="HR183" s="6"/>
      <c r="HS183" s="6"/>
      <c r="HT183" s="6"/>
      <c r="HU183" s="6"/>
    </row>
    <row r="184" spans="1:229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88"/>
      <c r="M184" s="83"/>
      <c r="N184" s="89"/>
      <c r="O184" s="89"/>
      <c r="P184" s="89"/>
      <c r="Q184" s="89"/>
      <c r="R184" s="89"/>
      <c r="S184" s="6"/>
      <c r="T184" s="90"/>
      <c r="U184" s="84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  <c r="GM184" s="6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  <c r="HA184" s="6"/>
      <c r="HB184" s="6"/>
      <c r="HC184" s="6"/>
      <c r="HD184" s="6"/>
      <c r="HE184" s="6"/>
      <c r="HF184" s="6"/>
      <c r="HG184" s="6"/>
      <c r="HH184" s="6"/>
      <c r="HI184" s="6"/>
      <c r="HJ184" s="6"/>
      <c r="HK184" s="6"/>
      <c r="HL184" s="6"/>
      <c r="HM184" s="6"/>
      <c r="HN184" s="6"/>
      <c r="HO184" s="6"/>
      <c r="HP184" s="6"/>
      <c r="HQ184" s="6"/>
      <c r="HR184" s="6"/>
      <c r="HS184" s="6"/>
      <c r="HT184" s="6"/>
      <c r="HU184" s="6"/>
    </row>
    <row r="185" spans="1:229">
      <c r="A185" s="6"/>
      <c r="B185" s="6"/>
      <c r="C185" s="6"/>
      <c r="D185" s="6"/>
      <c r="E185" s="6"/>
      <c r="F185" s="83"/>
      <c r="G185" s="55"/>
      <c r="H185" s="95"/>
      <c r="I185" s="6"/>
      <c r="J185" s="6"/>
      <c r="K185" s="6"/>
      <c r="L185" s="88"/>
      <c r="M185" s="83"/>
      <c r="N185" s="89"/>
      <c r="O185" s="89"/>
      <c r="P185" s="89"/>
      <c r="Q185" s="89"/>
      <c r="R185" s="89"/>
      <c r="S185" s="6"/>
      <c r="T185" s="90"/>
      <c r="U185" s="84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  <c r="GM185" s="6"/>
      <c r="GN185" s="6"/>
      <c r="GO185" s="6"/>
      <c r="GP185" s="6"/>
      <c r="GQ185" s="6"/>
      <c r="GR185" s="6"/>
      <c r="GS185" s="6"/>
      <c r="GT185" s="6"/>
      <c r="GU185" s="6"/>
      <c r="GV185" s="6"/>
      <c r="GW185" s="6"/>
      <c r="GX185" s="6"/>
      <c r="GY185" s="6"/>
      <c r="GZ185" s="6"/>
      <c r="HA185" s="6"/>
      <c r="HB185" s="6"/>
      <c r="HC185" s="6"/>
      <c r="HD185" s="6"/>
      <c r="HE185" s="6"/>
      <c r="HF185" s="6"/>
      <c r="HG185" s="6"/>
      <c r="HH185" s="6"/>
      <c r="HI185" s="6"/>
      <c r="HJ185" s="6"/>
      <c r="HK185" s="6"/>
      <c r="HL185" s="6"/>
      <c r="HM185" s="6"/>
      <c r="HN185" s="6"/>
      <c r="HO185" s="6"/>
      <c r="HP185" s="6"/>
      <c r="HQ185" s="6"/>
      <c r="HR185" s="6"/>
      <c r="HS185" s="6"/>
      <c r="HT185" s="6"/>
      <c r="HU185" s="6"/>
    </row>
    <row r="186" spans="1:229">
      <c r="A186" s="6"/>
      <c r="B186" s="6"/>
      <c r="C186" s="6"/>
      <c r="D186" s="6"/>
      <c r="E186" s="6"/>
      <c r="F186" s="83"/>
      <c r="G186" s="55"/>
      <c r="H186" s="6"/>
      <c r="I186" s="6"/>
      <c r="J186" s="6"/>
      <c r="K186" s="6"/>
      <c r="L186" s="88"/>
      <c r="M186" s="83"/>
      <c r="N186" s="89"/>
      <c r="O186" s="89"/>
      <c r="P186" s="89"/>
      <c r="Q186" s="89"/>
      <c r="R186" s="89"/>
      <c r="S186" s="6"/>
      <c r="T186" s="90"/>
      <c r="U186" s="84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  <c r="GM186" s="6"/>
      <c r="GN186" s="6"/>
      <c r="GO186" s="6"/>
      <c r="GP186" s="6"/>
      <c r="GQ186" s="6"/>
      <c r="GR186" s="6"/>
      <c r="GS186" s="6"/>
      <c r="GT186" s="6"/>
      <c r="GU186" s="6"/>
      <c r="GV186" s="6"/>
      <c r="GW186" s="6"/>
      <c r="GX186" s="6"/>
      <c r="GY186" s="6"/>
      <c r="GZ186" s="6"/>
      <c r="HA186" s="6"/>
      <c r="HB186" s="6"/>
      <c r="HC186" s="6"/>
      <c r="HD186" s="6"/>
      <c r="HE186" s="6"/>
      <c r="HF186" s="6"/>
      <c r="HG186" s="6"/>
      <c r="HH186" s="6"/>
      <c r="HI186" s="6"/>
      <c r="HJ186" s="6"/>
      <c r="HK186" s="6"/>
      <c r="HL186" s="6"/>
      <c r="HM186" s="6"/>
      <c r="HN186" s="6"/>
      <c r="HO186" s="6"/>
      <c r="HP186" s="6"/>
      <c r="HQ186" s="6"/>
      <c r="HR186" s="6"/>
      <c r="HS186" s="6"/>
      <c r="HT186" s="6"/>
      <c r="HU186" s="6"/>
    </row>
    <row r="187" spans="1:229">
      <c r="A187" s="6"/>
      <c r="B187" s="6"/>
      <c r="C187" s="6"/>
      <c r="D187" s="6"/>
      <c r="E187" s="6"/>
      <c r="F187" s="83"/>
      <c r="G187" s="6"/>
      <c r="H187" s="6"/>
      <c r="I187" s="6"/>
      <c r="J187" s="6"/>
      <c r="K187" s="6"/>
      <c r="L187" s="88"/>
      <c r="M187" s="83"/>
      <c r="N187" s="89"/>
      <c r="O187" s="89"/>
      <c r="P187" s="89"/>
      <c r="Q187" s="89"/>
      <c r="R187" s="89"/>
      <c r="S187" s="6"/>
      <c r="T187" s="90"/>
      <c r="U187" s="84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  <c r="GM187" s="6"/>
      <c r="GN187" s="6"/>
      <c r="GO187" s="6"/>
      <c r="GP187" s="6"/>
      <c r="GQ187" s="6"/>
      <c r="GR187" s="6"/>
      <c r="GS187" s="6"/>
      <c r="GT187" s="6"/>
      <c r="GU187" s="6"/>
      <c r="GV187" s="6"/>
      <c r="GW187" s="6"/>
      <c r="GX187" s="6"/>
      <c r="GY187" s="6"/>
      <c r="GZ187" s="6"/>
      <c r="HA187" s="6"/>
      <c r="HB187" s="6"/>
      <c r="HC187" s="6"/>
      <c r="HD187" s="6"/>
      <c r="HE187" s="6"/>
      <c r="HF187" s="6"/>
      <c r="HG187" s="6"/>
      <c r="HH187" s="6"/>
      <c r="HI187" s="6"/>
      <c r="HJ187" s="6"/>
      <c r="HK187" s="6"/>
      <c r="HL187" s="6"/>
      <c r="HM187" s="6"/>
      <c r="HN187" s="6"/>
      <c r="HO187" s="6"/>
      <c r="HP187" s="6"/>
      <c r="HQ187" s="6"/>
      <c r="HR187" s="6"/>
      <c r="HS187" s="6"/>
      <c r="HT187" s="6"/>
      <c r="HU187" s="6"/>
    </row>
    <row r="188" spans="1:229">
      <c r="A188" s="6"/>
      <c r="B188" s="6"/>
      <c r="C188" s="6"/>
      <c r="D188" s="6"/>
      <c r="E188" s="6"/>
      <c r="F188" s="83"/>
      <c r="G188" s="55"/>
      <c r="H188" s="6"/>
      <c r="I188" s="6"/>
      <c r="J188" s="6"/>
      <c r="K188" s="6"/>
      <c r="L188" s="88"/>
      <c r="M188" s="83"/>
      <c r="N188" s="89"/>
      <c r="O188" s="89"/>
      <c r="P188" s="89"/>
      <c r="Q188" s="89"/>
      <c r="R188" s="89"/>
      <c r="S188" s="6"/>
      <c r="T188" s="90"/>
      <c r="U188" s="84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  <c r="GM188" s="6"/>
      <c r="GN188" s="6"/>
      <c r="GO188" s="6"/>
      <c r="GP188" s="6"/>
      <c r="GQ188" s="6"/>
      <c r="GR188" s="6"/>
      <c r="GS188" s="6"/>
      <c r="GT188" s="6"/>
      <c r="GU188" s="6"/>
      <c r="GV188" s="6"/>
      <c r="GW188" s="6"/>
      <c r="GX188" s="6"/>
      <c r="GY188" s="6"/>
      <c r="GZ188" s="6"/>
      <c r="HA188" s="6"/>
      <c r="HB188" s="6"/>
      <c r="HC188" s="6"/>
      <c r="HD188" s="6"/>
      <c r="HE188" s="6"/>
      <c r="HF188" s="6"/>
      <c r="HG188" s="6"/>
      <c r="HH188" s="6"/>
      <c r="HI188" s="6"/>
      <c r="HJ188" s="6"/>
      <c r="HK188" s="6"/>
      <c r="HL188" s="6"/>
      <c r="HM188" s="6"/>
      <c r="HN188" s="6"/>
      <c r="HO188" s="6"/>
      <c r="HP188" s="6"/>
      <c r="HQ188" s="6"/>
      <c r="HR188" s="6"/>
      <c r="HS188" s="6"/>
      <c r="HT188" s="6"/>
      <c r="HU188" s="6"/>
    </row>
    <row r="189" spans="1:229">
      <c r="A189" s="6"/>
      <c r="B189" s="6"/>
      <c r="C189" s="6"/>
      <c r="D189" s="6"/>
      <c r="E189" s="6"/>
      <c r="F189" s="83"/>
      <c r="G189" s="55"/>
      <c r="H189" s="6"/>
      <c r="I189" s="6"/>
      <c r="J189" s="6"/>
      <c r="K189" s="6"/>
      <c r="L189" s="88"/>
      <c r="M189" s="83"/>
      <c r="N189" s="89"/>
      <c r="O189" s="89"/>
      <c r="P189" s="89"/>
      <c r="Q189" s="89"/>
      <c r="R189" s="89"/>
      <c r="S189" s="6"/>
      <c r="T189" s="90"/>
      <c r="U189" s="84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  <c r="GM189" s="6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  <c r="HA189" s="6"/>
      <c r="HB189" s="6"/>
      <c r="HC189" s="6"/>
      <c r="HD189" s="6"/>
      <c r="HE189" s="6"/>
      <c r="HF189" s="6"/>
      <c r="HG189" s="6"/>
      <c r="HH189" s="6"/>
      <c r="HI189" s="6"/>
      <c r="HJ189" s="6"/>
      <c r="HK189" s="6"/>
      <c r="HL189" s="6"/>
      <c r="HM189" s="6"/>
      <c r="HN189" s="6"/>
      <c r="HO189" s="6"/>
      <c r="HP189" s="6"/>
      <c r="HQ189" s="6"/>
      <c r="HR189" s="6"/>
      <c r="HS189" s="6"/>
      <c r="HT189" s="6"/>
      <c r="HU189" s="6"/>
    </row>
    <row r="190" spans="1:229">
      <c r="A190" s="6"/>
      <c r="B190" s="6"/>
      <c r="C190" s="6"/>
      <c r="D190" s="6"/>
      <c r="E190" s="6"/>
      <c r="F190" s="83"/>
      <c r="G190" s="55"/>
      <c r="H190" s="6"/>
      <c r="I190" s="6"/>
      <c r="J190" s="6"/>
      <c r="K190" s="6"/>
      <c r="L190" s="88"/>
      <c r="M190" s="83"/>
      <c r="N190" s="89"/>
      <c r="O190" s="89"/>
      <c r="P190" s="89"/>
      <c r="Q190" s="89"/>
      <c r="R190" s="89"/>
      <c r="S190" s="6"/>
      <c r="T190" s="90"/>
      <c r="U190" s="84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  <c r="GM190" s="6"/>
      <c r="GN190" s="6"/>
      <c r="GO190" s="6"/>
      <c r="GP190" s="6"/>
      <c r="GQ190" s="6"/>
      <c r="GR190" s="6"/>
      <c r="GS190" s="6"/>
      <c r="GT190" s="6"/>
      <c r="GU190" s="6"/>
      <c r="GV190" s="6"/>
      <c r="GW190" s="6"/>
      <c r="GX190" s="6"/>
      <c r="GY190" s="6"/>
      <c r="GZ190" s="6"/>
      <c r="HA190" s="6"/>
      <c r="HB190" s="6"/>
      <c r="HC190" s="6"/>
      <c r="HD190" s="6"/>
      <c r="HE190" s="6"/>
      <c r="HF190" s="6"/>
      <c r="HG190" s="6"/>
      <c r="HH190" s="6"/>
      <c r="HI190" s="6"/>
      <c r="HJ190" s="6"/>
      <c r="HK190" s="6"/>
      <c r="HL190" s="6"/>
      <c r="HM190" s="6"/>
      <c r="HN190" s="6"/>
      <c r="HO190" s="6"/>
      <c r="HP190" s="6"/>
      <c r="HQ190" s="6"/>
      <c r="HR190" s="6"/>
      <c r="HS190" s="6"/>
      <c r="HT190" s="6"/>
      <c r="HU190" s="6"/>
    </row>
    <row r="191" spans="1:229">
      <c r="A191" s="6"/>
      <c r="B191" s="6"/>
      <c r="C191" s="6"/>
      <c r="D191" s="6"/>
      <c r="E191" s="6"/>
      <c r="F191" s="83"/>
      <c r="G191" s="55"/>
      <c r="H191" s="6"/>
      <c r="I191" s="6"/>
      <c r="J191" s="6"/>
      <c r="K191" s="6"/>
      <c r="L191" s="88"/>
      <c r="M191" s="83"/>
      <c r="N191" s="89"/>
      <c r="O191" s="89"/>
      <c r="P191" s="89"/>
      <c r="Q191" s="89"/>
      <c r="R191" s="89"/>
      <c r="S191" s="6"/>
      <c r="T191" s="90"/>
      <c r="U191" s="84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  <c r="GM191" s="6"/>
      <c r="GN191" s="6"/>
      <c r="GO191" s="6"/>
      <c r="GP191" s="6"/>
      <c r="GQ191" s="6"/>
      <c r="GR191" s="6"/>
      <c r="GS191" s="6"/>
      <c r="GT191" s="6"/>
      <c r="GU191" s="6"/>
      <c r="GV191" s="6"/>
      <c r="GW191" s="6"/>
      <c r="GX191" s="6"/>
      <c r="GY191" s="6"/>
      <c r="GZ191" s="6"/>
      <c r="HA191" s="6"/>
      <c r="HB191" s="6"/>
      <c r="HC191" s="6"/>
      <c r="HD191" s="6"/>
      <c r="HE191" s="6"/>
      <c r="HF191" s="6"/>
      <c r="HG191" s="6"/>
      <c r="HH191" s="6"/>
      <c r="HI191" s="6"/>
      <c r="HJ191" s="6"/>
      <c r="HK191" s="6"/>
      <c r="HL191" s="6"/>
      <c r="HM191" s="6"/>
      <c r="HN191" s="6"/>
      <c r="HO191" s="6"/>
      <c r="HP191" s="6"/>
      <c r="HQ191" s="6"/>
      <c r="HR191" s="6"/>
      <c r="HS191" s="6"/>
      <c r="HT191" s="6"/>
      <c r="HU191" s="6"/>
    </row>
    <row r="192" spans="1:229">
      <c r="A192" s="6"/>
      <c r="B192" s="6"/>
      <c r="C192" s="6"/>
      <c r="D192" s="6"/>
      <c r="E192" s="6"/>
      <c r="F192" s="83"/>
      <c r="G192" s="55"/>
      <c r="H192" s="6"/>
      <c r="I192" s="6"/>
      <c r="J192" s="6"/>
      <c r="K192" s="6"/>
      <c r="L192" s="88"/>
      <c r="M192" s="83"/>
      <c r="N192" s="89"/>
      <c r="O192" s="89"/>
      <c r="P192" s="89"/>
      <c r="Q192" s="89"/>
      <c r="R192" s="89"/>
      <c r="S192" s="6"/>
      <c r="T192" s="90"/>
      <c r="U192" s="84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  <c r="GM192" s="6"/>
      <c r="GN192" s="6"/>
      <c r="GO192" s="6"/>
      <c r="GP192" s="6"/>
      <c r="GQ192" s="6"/>
      <c r="GR192" s="6"/>
      <c r="GS192" s="6"/>
      <c r="GT192" s="6"/>
      <c r="GU192" s="6"/>
      <c r="GV192" s="6"/>
      <c r="GW192" s="6"/>
      <c r="GX192" s="6"/>
      <c r="GY192" s="6"/>
      <c r="GZ192" s="6"/>
      <c r="HA192" s="6"/>
      <c r="HB192" s="6"/>
      <c r="HC192" s="6"/>
      <c r="HD192" s="6"/>
      <c r="HE192" s="6"/>
      <c r="HF192" s="6"/>
      <c r="HG192" s="6"/>
      <c r="HH192" s="6"/>
      <c r="HI192" s="6"/>
      <c r="HJ192" s="6"/>
      <c r="HK192" s="6"/>
      <c r="HL192" s="6"/>
      <c r="HM192" s="6"/>
      <c r="HN192" s="6"/>
      <c r="HO192" s="6"/>
      <c r="HP192" s="6"/>
      <c r="HQ192" s="6"/>
      <c r="HR192" s="6"/>
      <c r="HS192" s="6"/>
      <c r="HT192" s="6"/>
      <c r="HU192" s="6"/>
    </row>
    <row r="193" spans="1:229">
      <c r="A193" s="6"/>
      <c r="B193" s="6"/>
      <c r="C193" s="6"/>
      <c r="D193" s="6"/>
      <c r="E193" s="6"/>
      <c r="F193" s="83"/>
      <c r="G193" s="55"/>
      <c r="H193" s="6"/>
      <c r="I193" s="6"/>
      <c r="J193" s="6"/>
      <c r="K193" s="6"/>
      <c r="L193" s="88"/>
      <c r="M193" s="83"/>
      <c r="N193" s="89"/>
      <c r="O193" s="89"/>
      <c r="P193" s="89"/>
      <c r="Q193" s="89"/>
      <c r="R193" s="89"/>
      <c r="S193" s="6"/>
      <c r="T193" s="90"/>
      <c r="U193" s="84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  <c r="GM193" s="6"/>
      <c r="GN193" s="6"/>
      <c r="GO193" s="6"/>
      <c r="GP193" s="6"/>
      <c r="GQ193" s="6"/>
      <c r="GR193" s="6"/>
      <c r="GS193" s="6"/>
      <c r="GT193" s="6"/>
      <c r="GU193" s="6"/>
      <c r="GV193" s="6"/>
      <c r="GW193" s="6"/>
      <c r="GX193" s="6"/>
      <c r="GY193" s="6"/>
      <c r="GZ193" s="6"/>
      <c r="HA193" s="6"/>
      <c r="HB193" s="6"/>
      <c r="HC193" s="6"/>
      <c r="HD193" s="6"/>
      <c r="HE193" s="6"/>
      <c r="HF193" s="6"/>
      <c r="HG193" s="6"/>
      <c r="HH193" s="6"/>
      <c r="HI193" s="6"/>
      <c r="HJ193" s="6"/>
      <c r="HK193" s="6"/>
      <c r="HL193" s="6"/>
      <c r="HM193" s="6"/>
      <c r="HN193" s="6"/>
      <c r="HO193" s="6"/>
      <c r="HP193" s="6"/>
      <c r="HQ193" s="6"/>
      <c r="HR193" s="6"/>
      <c r="HS193" s="6"/>
      <c r="HT193" s="6"/>
      <c r="HU193" s="6"/>
    </row>
    <row r="194" spans="1:229">
      <c r="A194" s="6"/>
      <c r="B194" s="6"/>
      <c r="C194" s="6"/>
      <c r="D194" s="6"/>
      <c r="E194" s="6"/>
      <c r="F194" s="83"/>
      <c r="G194" s="55"/>
      <c r="H194" s="6"/>
      <c r="I194" s="6"/>
      <c r="J194" s="6"/>
      <c r="K194" s="6"/>
      <c r="L194" s="88"/>
      <c r="M194" s="83"/>
      <c r="N194" s="89"/>
      <c r="O194" s="89"/>
      <c r="P194" s="89"/>
      <c r="Q194" s="89"/>
      <c r="R194" s="89"/>
      <c r="S194" s="6"/>
      <c r="T194" s="90"/>
      <c r="U194" s="84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  <c r="GT194" s="6"/>
      <c r="GU194" s="6"/>
      <c r="GV194" s="6"/>
      <c r="GW194" s="6"/>
      <c r="GX194" s="6"/>
      <c r="GY194" s="6"/>
      <c r="GZ194" s="6"/>
      <c r="HA194" s="6"/>
      <c r="HB194" s="6"/>
      <c r="HC194" s="6"/>
      <c r="HD194" s="6"/>
      <c r="HE194" s="6"/>
      <c r="HF194" s="6"/>
      <c r="HG194" s="6"/>
      <c r="HH194" s="6"/>
      <c r="HI194" s="6"/>
      <c r="HJ194" s="6"/>
      <c r="HK194" s="6"/>
      <c r="HL194" s="6"/>
      <c r="HM194" s="6"/>
      <c r="HN194" s="6"/>
      <c r="HO194" s="6"/>
      <c r="HP194" s="6"/>
      <c r="HQ194" s="6"/>
      <c r="HR194" s="6"/>
      <c r="HS194" s="6"/>
      <c r="HT194" s="6"/>
      <c r="HU194" s="6"/>
    </row>
    <row r="195" spans="1:229">
      <c r="A195" s="6"/>
      <c r="B195" s="6"/>
      <c r="C195" s="6"/>
      <c r="D195" s="6"/>
      <c r="E195" s="6"/>
      <c r="F195" s="84"/>
      <c r="G195" s="55"/>
      <c r="H195" s="6"/>
      <c r="I195" s="6"/>
      <c r="J195" s="6"/>
      <c r="K195" s="6"/>
      <c r="L195" s="88"/>
      <c r="M195" s="83"/>
      <c r="N195" s="89"/>
      <c r="O195" s="89"/>
      <c r="P195" s="89"/>
      <c r="Q195" s="89"/>
      <c r="R195" s="89"/>
      <c r="S195" s="6"/>
      <c r="T195" s="90"/>
      <c r="U195" s="84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  <c r="GT195" s="6"/>
      <c r="GU195" s="6"/>
      <c r="GV195" s="6"/>
      <c r="GW195" s="6"/>
      <c r="GX195" s="6"/>
      <c r="GY195" s="6"/>
      <c r="GZ195" s="6"/>
      <c r="HA195" s="6"/>
      <c r="HB195" s="6"/>
      <c r="HC195" s="6"/>
      <c r="HD195" s="6"/>
      <c r="HE195" s="6"/>
      <c r="HF195" s="6"/>
      <c r="HG195" s="6"/>
      <c r="HH195" s="6"/>
      <c r="HI195" s="6"/>
      <c r="HJ195" s="6"/>
      <c r="HK195" s="6"/>
      <c r="HL195" s="6"/>
      <c r="HM195" s="6"/>
      <c r="HN195" s="6"/>
      <c r="HO195" s="6"/>
      <c r="HP195" s="6"/>
      <c r="HQ195" s="6"/>
      <c r="HR195" s="6"/>
      <c r="HS195" s="6"/>
      <c r="HT195" s="6"/>
      <c r="HU195" s="6"/>
    </row>
    <row r="196" spans="1:229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88"/>
      <c r="M196" s="83"/>
      <c r="N196" s="89"/>
      <c r="O196" s="89"/>
      <c r="P196" s="89"/>
      <c r="Q196" s="89"/>
      <c r="R196" s="89"/>
      <c r="S196" s="6"/>
      <c r="T196" s="90"/>
      <c r="U196" s="84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  <c r="GT196" s="6"/>
      <c r="GU196" s="6"/>
      <c r="GV196" s="6"/>
      <c r="GW196" s="6"/>
      <c r="GX196" s="6"/>
      <c r="GY196" s="6"/>
      <c r="GZ196" s="6"/>
      <c r="HA196" s="6"/>
      <c r="HB196" s="6"/>
      <c r="HC196" s="6"/>
      <c r="HD196" s="6"/>
      <c r="HE196" s="6"/>
      <c r="HF196" s="6"/>
      <c r="HG196" s="6"/>
      <c r="HH196" s="6"/>
      <c r="HI196" s="6"/>
      <c r="HJ196" s="6"/>
      <c r="HK196" s="6"/>
      <c r="HL196" s="6"/>
      <c r="HM196" s="6"/>
      <c r="HN196" s="6"/>
      <c r="HO196" s="6"/>
      <c r="HP196" s="6"/>
      <c r="HQ196" s="6"/>
      <c r="HR196" s="6"/>
      <c r="HS196" s="6"/>
      <c r="HT196" s="6"/>
      <c r="HU196" s="6"/>
    </row>
    <row r="197" spans="1:229">
      <c r="A197" s="6"/>
      <c r="B197" s="6"/>
      <c r="C197" s="6"/>
      <c r="D197" s="6"/>
      <c r="E197" s="6"/>
      <c r="F197" s="83"/>
      <c r="G197" s="55"/>
      <c r="H197" s="95"/>
      <c r="I197" s="6"/>
      <c r="J197" s="6"/>
      <c r="K197" s="6"/>
      <c r="L197" s="88"/>
      <c r="M197" s="83"/>
      <c r="N197" s="89"/>
      <c r="O197" s="89"/>
      <c r="P197" s="89"/>
      <c r="Q197" s="89"/>
      <c r="R197" s="89"/>
      <c r="S197" s="6"/>
      <c r="T197" s="90"/>
      <c r="U197" s="84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  <c r="GT197" s="6"/>
      <c r="GU197" s="6"/>
      <c r="GV197" s="6"/>
      <c r="GW197" s="6"/>
      <c r="GX197" s="6"/>
      <c r="GY197" s="6"/>
      <c r="GZ197" s="6"/>
      <c r="HA197" s="6"/>
      <c r="HB197" s="6"/>
      <c r="HC197" s="6"/>
      <c r="HD197" s="6"/>
      <c r="HE197" s="6"/>
      <c r="HF197" s="6"/>
      <c r="HG197" s="6"/>
      <c r="HH197" s="6"/>
      <c r="HI197" s="6"/>
      <c r="HJ197" s="6"/>
      <c r="HK197" s="6"/>
      <c r="HL197" s="6"/>
      <c r="HM197" s="6"/>
      <c r="HN197" s="6"/>
      <c r="HO197" s="6"/>
      <c r="HP197" s="6"/>
      <c r="HQ197" s="6"/>
      <c r="HR197" s="6"/>
      <c r="HS197" s="6"/>
      <c r="HT197" s="6"/>
      <c r="HU197" s="6"/>
    </row>
    <row r="198" spans="1:229">
      <c r="A198" s="6"/>
      <c r="B198" s="6"/>
      <c r="C198" s="6"/>
      <c r="D198" s="6"/>
      <c r="E198" s="6"/>
      <c r="F198" s="83"/>
      <c r="G198" s="55"/>
      <c r="H198" s="6"/>
      <c r="I198" s="6"/>
      <c r="J198" s="6"/>
      <c r="K198" s="6"/>
      <c r="L198" s="88"/>
      <c r="M198" s="83"/>
      <c r="N198" s="89"/>
      <c r="O198" s="89"/>
      <c r="P198" s="89"/>
      <c r="Q198" s="89"/>
      <c r="R198" s="89"/>
      <c r="S198" s="6"/>
      <c r="T198" s="90"/>
      <c r="U198" s="84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  <c r="GT198" s="6"/>
      <c r="GU198" s="6"/>
      <c r="GV198" s="6"/>
      <c r="GW198" s="6"/>
      <c r="GX198" s="6"/>
      <c r="GY198" s="6"/>
      <c r="GZ198" s="6"/>
      <c r="HA198" s="6"/>
      <c r="HB198" s="6"/>
      <c r="HC198" s="6"/>
      <c r="HD198" s="6"/>
      <c r="HE198" s="6"/>
      <c r="HF198" s="6"/>
      <c r="HG198" s="6"/>
      <c r="HH198" s="6"/>
      <c r="HI198" s="6"/>
      <c r="HJ198" s="6"/>
      <c r="HK198" s="6"/>
      <c r="HL198" s="6"/>
      <c r="HM198" s="6"/>
      <c r="HN198" s="6"/>
      <c r="HO198" s="6"/>
      <c r="HP198" s="6"/>
      <c r="HQ198" s="6"/>
      <c r="HR198" s="6"/>
      <c r="HS198" s="6"/>
      <c r="HT198" s="6"/>
      <c r="HU198" s="6"/>
    </row>
    <row r="199" spans="1:229">
      <c r="A199" s="6"/>
      <c r="B199" s="6"/>
      <c r="C199" s="6"/>
      <c r="D199" s="6"/>
      <c r="E199" s="6"/>
      <c r="F199" s="83"/>
      <c r="G199" s="6"/>
      <c r="H199" s="6"/>
      <c r="I199" s="6"/>
      <c r="J199" s="6"/>
      <c r="K199" s="6"/>
      <c r="L199" s="88"/>
      <c r="M199" s="83"/>
      <c r="N199" s="89"/>
      <c r="O199" s="89"/>
      <c r="P199" s="89"/>
      <c r="Q199" s="89"/>
      <c r="R199" s="89"/>
      <c r="S199" s="6"/>
      <c r="T199" s="90"/>
      <c r="U199" s="84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  <c r="GT199" s="6"/>
      <c r="GU199" s="6"/>
      <c r="GV199" s="6"/>
      <c r="GW199" s="6"/>
      <c r="GX199" s="6"/>
      <c r="GY199" s="6"/>
      <c r="GZ199" s="6"/>
      <c r="HA199" s="6"/>
      <c r="HB199" s="6"/>
      <c r="HC199" s="6"/>
      <c r="HD199" s="6"/>
      <c r="HE199" s="6"/>
      <c r="HF199" s="6"/>
      <c r="HG199" s="6"/>
      <c r="HH199" s="6"/>
      <c r="HI199" s="6"/>
      <c r="HJ199" s="6"/>
      <c r="HK199" s="6"/>
      <c r="HL199" s="6"/>
      <c r="HM199" s="6"/>
      <c r="HN199" s="6"/>
      <c r="HO199" s="6"/>
      <c r="HP199" s="6"/>
      <c r="HQ199" s="6"/>
      <c r="HR199" s="6"/>
      <c r="HS199" s="6"/>
      <c r="HT199" s="6"/>
      <c r="HU199" s="6"/>
    </row>
    <row r="200" spans="1:229">
      <c r="A200" s="6"/>
      <c r="B200" s="6"/>
      <c r="C200" s="6"/>
      <c r="D200" s="6"/>
      <c r="E200" s="6"/>
      <c r="F200" s="83"/>
      <c r="G200" s="55"/>
      <c r="H200" s="6"/>
      <c r="I200" s="6"/>
      <c r="J200" s="6"/>
      <c r="K200" s="6"/>
      <c r="L200" s="88"/>
      <c r="M200" s="83"/>
      <c r="N200" s="89"/>
      <c r="O200" s="89"/>
      <c r="P200" s="89"/>
      <c r="Q200" s="89"/>
      <c r="R200" s="89"/>
      <c r="S200" s="6"/>
      <c r="T200" s="90"/>
      <c r="U200" s="84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  <c r="GT200" s="6"/>
      <c r="GU200" s="6"/>
      <c r="GV200" s="6"/>
      <c r="GW200" s="6"/>
      <c r="GX200" s="6"/>
      <c r="GY200" s="6"/>
      <c r="GZ200" s="6"/>
      <c r="HA200" s="6"/>
      <c r="HB200" s="6"/>
      <c r="HC200" s="6"/>
      <c r="HD200" s="6"/>
      <c r="HE200" s="6"/>
      <c r="HF200" s="6"/>
      <c r="HG200" s="6"/>
      <c r="HH200" s="6"/>
      <c r="HI200" s="6"/>
      <c r="HJ200" s="6"/>
      <c r="HK200" s="6"/>
      <c r="HL200" s="6"/>
      <c r="HM200" s="6"/>
      <c r="HN200" s="6"/>
      <c r="HO200" s="6"/>
      <c r="HP200" s="6"/>
      <c r="HQ200" s="6"/>
      <c r="HR200" s="6"/>
      <c r="HS200" s="6"/>
      <c r="HT200" s="6"/>
      <c r="HU200" s="6"/>
    </row>
    <row r="201" spans="1:229">
      <c r="A201" s="6"/>
      <c r="B201" s="6"/>
      <c r="C201" s="6"/>
      <c r="D201" s="6"/>
      <c r="E201" s="6"/>
      <c r="F201" s="83"/>
      <c r="G201" s="55"/>
      <c r="H201" s="6"/>
      <c r="I201" s="6"/>
      <c r="J201" s="6"/>
      <c r="K201" s="6"/>
      <c r="L201" s="88"/>
      <c r="M201" s="83"/>
      <c r="N201" s="89"/>
      <c r="O201" s="89"/>
      <c r="P201" s="89"/>
      <c r="Q201" s="89"/>
      <c r="R201" s="89"/>
      <c r="S201" s="6"/>
      <c r="T201" s="90"/>
      <c r="U201" s="84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  <c r="GT201" s="6"/>
      <c r="GU201" s="6"/>
      <c r="GV201" s="6"/>
      <c r="GW201" s="6"/>
      <c r="GX201" s="6"/>
      <c r="GY201" s="6"/>
      <c r="GZ201" s="6"/>
      <c r="HA201" s="6"/>
      <c r="HB201" s="6"/>
      <c r="HC201" s="6"/>
      <c r="HD201" s="6"/>
      <c r="HE201" s="6"/>
      <c r="HF201" s="6"/>
      <c r="HG201" s="6"/>
      <c r="HH201" s="6"/>
      <c r="HI201" s="6"/>
      <c r="HJ201" s="6"/>
      <c r="HK201" s="6"/>
      <c r="HL201" s="6"/>
      <c r="HM201" s="6"/>
      <c r="HN201" s="6"/>
      <c r="HO201" s="6"/>
      <c r="HP201" s="6"/>
      <c r="HQ201" s="6"/>
      <c r="HR201" s="6"/>
      <c r="HS201" s="6"/>
      <c r="HT201" s="6"/>
      <c r="HU201" s="6"/>
    </row>
    <row r="202" spans="1:229">
      <c r="A202" s="6"/>
      <c r="B202" s="6"/>
      <c r="C202" s="6"/>
      <c r="D202" s="6"/>
      <c r="E202" s="6"/>
      <c r="F202" s="83"/>
      <c r="G202" s="55"/>
      <c r="H202" s="6"/>
      <c r="I202" s="6"/>
      <c r="J202" s="6"/>
      <c r="K202" s="6"/>
      <c r="L202" s="88"/>
      <c r="M202" s="83"/>
      <c r="N202" s="89"/>
      <c r="O202" s="89"/>
      <c r="P202" s="89"/>
      <c r="Q202" s="89"/>
      <c r="R202" s="89"/>
      <c r="S202" s="6"/>
      <c r="T202" s="90"/>
      <c r="U202" s="84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6"/>
      <c r="GV202" s="6"/>
      <c r="GW202" s="6"/>
      <c r="GX202" s="6"/>
      <c r="GY202" s="6"/>
      <c r="GZ202" s="6"/>
      <c r="HA202" s="6"/>
      <c r="HB202" s="6"/>
      <c r="HC202" s="6"/>
      <c r="HD202" s="6"/>
      <c r="HE202" s="6"/>
      <c r="HF202" s="6"/>
      <c r="HG202" s="6"/>
      <c r="HH202" s="6"/>
      <c r="HI202" s="6"/>
      <c r="HJ202" s="6"/>
      <c r="HK202" s="6"/>
      <c r="HL202" s="6"/>
      <c r="HM202" s="6"/>
      <c r="HN202" s="6"/>
      <c r="HO202" s="6"/>
      <c r="HP202" s="6"/>
      <c r="HQ202" s="6"/>
      <c r="HR202" s="6"/>
      <c r="HS202" s="6"/>
      <c r="HT202" s="6"/>
      <c r="HU202" s="6"/>
    </row>
    <row r="203" spans="1:229">
      <c r="A203" s="6"/>
      <c r="B203" s="6"/>
      <c r="C203" s="6"/>
      <c r="D203" s="6"/>
      <c r="E203" s="6"/>
      <c r="F203" s="83"/>
      <c r="G203" s="55"/>
      <c r="H203" s="6"/>
      <c r="I203" s="6"/>
      <c r="J203" s="6"/>
      <c r="K203" s="6"/>
      <c r="L203" s="88"/>
      <c r="M203" s="83"/>
      <c r="N203" s="89"/>
      <c r="O203" s="89"/>
      <c r="P203" s="89"/>
      <c r="Q203" s="89"/>
      <c r="R203" s="89"/>
      <c r="S203" s="6"/>
      <c r="T203" s="90"/>
      <c r="U203" s="84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  <c r="HE203" s="6"/>
      <c r="HF203" s="6"/>
      <c r="HG203" s="6"/>
      <c r="HH203" s="6"/>
      <c r="HI203" s="6"/>
      <c r="HJ203" s="6"/>
      <c r="HK203" s="6"/>
      <c r="HL203" s="6"/>
      <c r="HM203" s="6"/>
      <c r="HN203" s="6"/>
      <c r="HO203" s="6"/>
      <c r="HP203" s="6"/>
      <c r="HQ203" s="6"/>
      <c r="HR203" s="6"/>
      <c r="HS203" s="6"/>
      <c r="HT203" s="6"/>
      <c r="HU203" s="6"/>
    </row>
    <row r="204" spans="1:229">
      <c r="A204" s="6"/>
      <c r="B204" s="6"/>
      <c r="C204" s="6"/>
      <c r="D204" s="6"/>
      <c r="E204" s="6"/>
      <c r="F204" s="83"/>
      <c r="G204" s="55"/>
      <c r="H204" s="6"/>
      <c r="I204" s="6"/>
      <c r="J204" s="6"/>
      <c r="K204" s="6"/>
      <c r="L204" s="88"/>
      <c r="M204" s="83"/>
      <c r="N204" s="89"/>
      <c r="O204" s="89"/>
      <c r="P204" s="89"/>
      <c r="Q204" s="89"/>
      <c r="R204" s="89"/>
      <c r="S204" s="6"/>
      <c r="T204" s="90"/>
      <c r="U204" s="84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6"/>
      <c r="GV204" s="6"/>
      <c r="GW204" s="6"/>
      <c r="GX204" s="6"/>
      <c r="GY204" s="6"/>
      <c r="GZ204" s="6"/>
      <c r="HA204" s="6"/>
      <c r="HB204" s="6"/>
      <c r="HC204" s="6"/>
      <c r="HD204" s="6"/>
      <c r="HE204" s="6"/>
      <c r="HF204" s="6"/>
      <c r="HG204" s="6"/>
      <c r="HH204" s="6"/>
      <c r="HI204" s="6"/>
      <c r="HJ204" s="6"/>
      <c r="HK204" s="6"/>
      <c r="HL204" s="6"/>
      <c r="HM204" s="6"/>
      <c r="HN204" s="6"/>
      <c r="HO204" s="6"/>
      <c r="HP204" s="6"/>
      <c r="HQ204" s="6"/>
      <c r="HR204" s="6"/>
      <c r="HS204" s="6"/>
      <c r="HT204" s="6"/>
      <c r="HU204" s="6"/>
    </row>
    <row r="205" spans="1:229">
      <c r="A205" s="6"/>
      <c r="B205" s="6"/>
      <c r="C205" s="6"/>
      <c r="D205" s="6"/>
      <c r="E205" s="6"/>
      <c r="F205" s="83"/>
      <c r="G205" s="55"/>
      <c r="H205" s="6"/>
      <c r="I205" s="6"/>
      <c r="J205" s="6"/>
      <c r="K205" s="6"/>
      <c r="L205" s="88"/>
      <c r="M205" s="83"/>
      <c r="N205" s="89"/>
      <c r="O205" s="89"/>
      <c r="P205" s="89"/>
      <c r="Q205" s="89"/>
      <c r="R205" s="89"/>
      <c r="S205" s="6"/>
      <c r="T205" s="90"/>
      <c r="U205" s="84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6"/>
      <c r="GV205" s="6"/>
      <c r="GW205" s="6"/>
      <c r="GX205" s="6"/>
      <c r="GY205" s="6"/>
      <c r="GZ205" s="6"/>
      <c r="HA205" s="6"/>
      <c r="HB205" s="6"/>
      <c r="HC205" s="6"/>
      <c r="HD205" s="6"/>
      <c r="HE205" s="6"/>
      <c r="HF205" s="6"/>
      <c r="HG205" s="6"/>
      <c r="HH205" s="6"/>
      <c r="HI205" s="6"/>
      <c r="HJ205" s="6"/>
      <c r="HK205" s="6"/>
      <c r="HL205" s="6"/>
      <c r="HM205" s="6"/>
      <c r="HN205" s="6"/>
      <c r="HO205" s="6"/>
      <c r="HP205" s="6"/>
      <c r="HQ205" s="6"/>
      <c r="HR205" s="6"/>
      <c r="HS205" s="6"/>
      <c r="HT205" s="6"/>
      <c r="HU205" s="6"/>
    </row>
    <row r="206" spans="1:229">
      <c r="A206" s="6"/>
      <c r="B206" s="6"/>
      <c r="C206" s="6"/>
      <c r="D206" s="6"/>
      <c r="E206" s="6"/>
      <c r="F206" s="83"/>
      <c r="G206" s="55"/>
      <c r="H206" s="6"/>
      <c r="I206" s="6"/>
      <c r="J206" s="6"/>
      <c r="K206" s="6"/>
      <c r="L206" s="88"/>
      <c r="M206" s="83"/>
      <c r="N206" s="89"/>
      <c r="O206" s="89"/>
      <c r="P206" s="89"/>
      <c r="Q206" s="89"/>
      <c r="R206" s="89"/>
      <c r="S206" s="6"/>
      <c r="T206" s="90"/>
      <c r="U206" s="84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  <c r="GT206" s="6"/>
      <c r="GU206" s="6"/>
      <c r="GV206" s="6"/>
      <c r="GW206" s="6"/>
      <c r="GX206" s="6"/>
      <c r="GY206" s="6"/>
      <c r="GZ206" s="6"/>
      <c r="HA206" s="6"/>
      <c r="HB206" s="6"/>
      <c r="HC206" s="6"/>
      <c r="HD206" s="6"/>
      <c r="HE206" s="6"/>
      <c r="HF206" s="6"/>
      <c r="HG206" s="6"/>
      <c r="HH206" s="6"/>
      <c r="HI206" s="6"/>
      <c r="HJ206" s="6"/>
      <c r="HK206" s="6"/>
      <c r="HL206" s="6"/>
      <c r="HM206" s="6"/>
      <c r="HN206" s="6"/>
      <c r="HO206" s="6"/>
      <c r="HP206" s="6"/>
      <c r="HQ206" s="6"/>
      <c r="HR206" s="6"/>
      <c r="HS206" s="6"/>
      <c r="HT206" s="6"/>
      <c r="HU206" s="6"/>
    </row>
    <row r="207" spans="1:229">
      <c r="A207" s="6"/>
      <c r="B207" s="6"/>
      <c r="C207" s="6"/>
      <c r="D207" s="6"/>
      <c r="E207" s="6"/>
      <c r="F207" s="84"/>
      <c r="G207" s="55"/>
      <c r="H207" s="6"/>
      <c r="I207" s="6"/>
      <c r="J207" s="6"/>
      <c r="K207" s="6"/>
      <c r="L207" s="88"/>
      <c r="M207" s="83"/>
      <c r="N207" s="89"/>
      <c r="O207" s="89"/>
      <c r="P207" s="89"/>
      <c r="Q207" s="89"/>
      <c r="R207" s="89"/>
      <c r="S207" s="6"/>
      <c r="T207" s="90"/>
      <c r="U207" s="84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  <c r="GT207" s="6"/>
      <c r="GU207" s="6"/>
      <c r="GV207" s="6"/>
      <c r="GW207" s="6"/>
      <c r="GX207" s="6"/>
      <c r="GY207" s="6"/>
      <c r="GZ207" s="6"/>
      <c r="HA207" s="6"/>
      <c r="HB207" s="6"/>
      <c r="HC207" s="6"/>
      <c r="HD207" s="6"/>
      <c r="HE207" s="6"/>
      <c r="HF207" s="6"/>
      <c r="HG207" s="6"/>
      <c r="HH207" s="6"/>
      <c r="HI207" s="6"/>
      <c r="HJ207" s="6"/>
      <c r="HK207" s="6"/>
      <c r="HL207" s="6"/>
      <c r="HM207" s="6"/>
      <c r="HN207" s="6"/>
      <c r="HO207" s="6"/>
      <c r="HP207" s="6"/>
      <c r="HQ207" s="6"/>
      <c r="HR207" s="6"/>
      <c r="HS207" s="6"/>
      <c r="HT207" s="6"/>
      <c r="HU207" s="6"/>
    </row>
    <row r="208" spans="1:229">
      <c r="A208" s="8"/>
      <c r="B208" s="8"/>
      <c r="C208" s="8"/>
      <c r="E208" s="6"/>
      <c r="F208" s="6"/>
      <c r="G208" s="6"/>
      <c r="H208" s="6"/>
      <c r="I208" s="6"/>
      <c r="J208" s="6"/>
      <c r="K208" s="6"/>
      <c r="L208" s="88"/>
      <c r="M208" s="83"/>
      <c r="N208" s="89"/>
      <c r="O208" s="89"/>
      <c r="P208" s="89"/>
      <c r="Q208" s="89"/>
      <c r="R208" s="89"/>
      <c r="S208" s="6"/>
      <c r="T208" s="90"/>
      <c r="U208" s="84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  <c r="GT208" s="6"/>
      <c r="GU208" s="6"/>
      <c r="GV208" s="6"/>
      <c r="GW208" s="6"/>
      <c r="GX208" s="6"/>
      <c r="GY208" s="6"/>
      <c r="GZ208" s="6"/>
      <c r="HA208" s="6"/>
      <c r="HB208" s="6"/>
      <c r="HC208" s="6"/>
      <c r="HD208" s="6"/>
      <c r="HE208" s="6"/>
      <c r="HF208" s="6"/>
      <c r="HG208" s="6"/>
      <c r="HH208" s="6"/>
      <c r="HI208" s="6"/>
      <c r="HJ208" s="6"/>
      <c r="HK208" s="6"/>
      <c r="HL208" s="6"/>
      <c r="HM208" s="6"/>
      <c r="HN208" s="6"/>
      <c r="HO208" s="6"/>
      <c r="HP208" s="6"/>
      <c r="HQ208" s="6"/>
      <c r="HR208" s="6"/>
      <c r="HS208" s="6"/>
      <c r="HT208" s="6"/>
      <c r="HU208" s="6"/>
    </row>
    <row r="209" spans="1:229">
      <c r="A209" s="8"/>
      <c r="B209" s="8"/>
      <c r="C209" s="8"/>
      <c r="E209" s="6"/>
      <c r="F209" s="83"/>
      <c r="G209" s="55"/>
      <c r="H209" s="95"/>
      <c r="I209" s="6"/>
      <c r="J209" s="6"/>
      <c r="K209" s="6"/>
      <c r="L209" s="88"/>
      <c r="M209" s="83"/>
      <c r="N209" s="89"/>
      <c r="O209" s="89"/>
      <c r="P209" s="89"/>
      <c r="Q209" s="89"/>
      <c r="R209" s="89"/>
      <c r="S209" s="6"/>
      <c r="T209" s="90"/>
      <c r="U209" s="84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  <c r="GT209" s="6"/>
      <c r="GU209" s="6"/>
      <c r="GV209" s="6"/>
      <c r="GW209" s="6"/>
      <c r="GX209" s="6"/>
      <c r="GY209" s="6"/>
      <c r="GZ209" s="6"/>
      <c r="HA209" s="6"/>
      <c r="HB209" s="6"/>
      <c r="HC209" s="6"/>
      <c r="HD209" s="6"/>
      <c r="HE209" s="6"/>
      <c r="HF209" s="6"/>
      <c r="HG209" s="6"/>
      <c r="HH209" s="6"/>
      <c r="HI209" s="6"/>
      <c r="HJ209" s="6"/>
      <c r="HK209" s="6"/>
      <c r="HL209" s="6"/>
      <c r="HM209" s="6"/>
      <c r="HN209" s="6"/>
      <c r="HO209" s="6"/>
      <c r="HP209" s="6"/>
      <c r="HQ209" s="6"/>
      <c r="HR209" s="6"/>
      <c r="HS209" s="6"/>
      <c r="HT209" s="6"/>
      <c r="HU209" s="6"/>
    </row>
    <row r="210" spans="1:229">
      <c r="A210" s="8"/>
      <c r="B210" s="8"/>
      <c r="C210" s="8"/>
      <c r="E210" s="6"/>
      <c r="F210" s="83"/>
      <c r="G210" s="55"/>
      <c r="H210" s="6"/>
      <c r="I210" s="6"/>
      <c r="J210" s="6"/>
      <c r="K210" s="6"/>
      <c r="L210" s="88"/>
      <c r="M210" s="83"/>
      <c r="N210" s="89"/>
      <c r="O210" s="89"/>
      <c r="P210" s="89"/>
      <c r="Q210" s="89"/>
      <c r="R210" s="89"/>
      <c r="S210" s="6"/>
      <c r="T210" s="90"/>
      <c r="U210" s="84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  <c r="GT210" s="6"/>
      <c r="GU210" s="6"/>
      <c r="GV210" s="6"/>
      <c r="GW210" s="6"/>
      <c r="GX210" s="6"/>
      <c r="GY210" s="6"/>
      <c r="GZ210" s="6"/>
      <c r="HA210" s="6"/>
      <c r="HB210" s="6"/>
      <c r="HC210" s="6"/>
      <c r="HD210" s="6"/>
      <c r="HE210" s="6"/>
      <c r="HF210" s="6"/>
      <c r="HG210" s="6"/>
      <c r="HH210" s="6"/>
      <c r="HI210" s="6"/>
      <c r="HJ210" s="6"/>
      <c r="HK210" s="6"/>
      <c r="HL210" s="6"/>
      <c r="HM210" s="6"/>
      <c r="HN210" s="6"/>
      <c r="HO210" s="6"/>
      <c r="HP210" s="6"/>
      <c r="HQ210" s="6"/>
      <c r="HR210" s="6"/>
      <c r="HS210" s="6"/>
      <c r="HT210" s="6"/>
      <c r="HU210" s="6"/>
    </row>
    <row r="211" spans="1:229">
      <c r="A211" s="8"/>
      <c r="B211" s="8"/>
      <c r="C211" s="8"/>
      <c r="E211" s="6"/>
      <c r="F211" s="83"/>
      <c r="G211" s="6"/>
      <c r="H211" s="6"/>
      <c r="I211" s="6"/>
      <c r="J211" s="6"/>
      <c r="K211" s="6"/>
      <c r="L211" s="88"/>
      <c r="M211" s="83"/>
      <c r="N211" s="89"/>
      <c r="O211" s="89"/>
      <c r="P211" s="89"/>
      <c r="Q211" s="89"/>
      <c r="R211" s="89"/>
      <c r="S211" s="6"/>
      <c r="T211" s="90"/>
      <c r="U211" s="84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  <c r="GT211" s="6"/>
      <c r="GU211" s="6"/>
      <c r="GV211" s="6"/>
      <c r="GW211" s="6"/>
      <c r="GX211" s="6"/>
      <c r="GY211" s="6"/>
      <c r="GZ211" s="6"/>
      <c r="HA211" s="6"/>
      <c r="HB211" s="6"/>
      <c r="HC211" s="6"/>
      <c r="HD211" s="6"/>
      <c r="HE211" s="6"/>
      <c r="HF211" s="6"/>
      <c r="HG211" s="6"/>
      <c r="HH211" s="6"/>
      <c r="HI211" s="6"/>
      <c r="HJ211" s="6"/>
      <c r="HK211" s="6"/>
      <c r="HL211" s="6"/>
      <c r="HM211" s="6"/>
      <c r="HN211" s="6"/>
      <c r="HO211" s="6"/>
      <c r="HP211" s="6"/>
      <c r="HQ211" s="6"/>
      <c r="HR211" s="6"/>
      <c r="HS211" s="6"/>
      <c r="HT211" s="6"/>
      <c r="HU211" s="6"/>
    </row>
    <row r="212" spans="1:229">
      <c r="A212" s="8"/>
      <c r="B212" s="8"/>
      <c r="C212" s="8"/>
      <c r="E212" s="6"/>
      <c r="F212" s="83"/>
      <c r="G212" s="55"/>
      <c r="H212" s="6"/>
      <c r="I212" s="6"/>
      <c r="J212" s="6"/>
      <c r="K212" s="6"/>
      <c r="L212" s="88"/>
      <c r="M212" s="83"/>
      <c r="N212" s="89"/>
      <c r="O212" s="89"/>
      <c r="P212" s="89"/>
      <c r="Q212" s="89"/>
      <c r="R212" s="89"/>
      <c r="S212" s="6"/>
      <c r="T212" s="90"/>
      <c r="U212" s="84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  <c r="GT212" s="6"/>
      <c r="GU212" s="6"/>
      <c r="GV212" s="6"/>
      <c r="GW212" s="6"/>
      <c r="GX212" s="6"/>
      <c r="GY212" s="6"/>
      <c r="GZ212" s="6"/>
      <c r="HA212" s="6"/>
      <c r="HB212" s="6"/>
      <c r="HC212" s="6"/>
      <c r="HD212" s="6"/>
      <c r="HE212" s="6"/>
      <c r="HF212" s="6"/>
      <c r="HG212" s="6"/>
      <c r="HH212" s="6"/>
      <c r="HI212" s="6"/>
      <c r="HJ212" s="6"/>
      <c r="HK212" s="6"/>
      <c r="HL212" s="6"/>
      <c r="HM212" s="6"/>
      <c r="HN212" s="6"/>
      <c r="HO212" s="6"/>
      <c r="HP212" s="6"/>
      <c r="HQ212" s="6"/>
      <c r="HR212" s="6"/>
      <c r="HS212" s="6"/>
      <c r="HT212" s="6"/>
      <c r="HU212" s="6"/>
    </row>
    <row r="213" spans="1:229">
      <c r="A213" s="8"/>
      <c r="B213" s="8"/>
      <c r="C213" s="8"/>
      <c r="E213" s="6"/>
      <c r="F213" s="83"/>
      <c r="G213" s="55"/>
      <c r="H213" s="6"/>
      <c r="I213" s="6"/>
      <c r="J213" s="6"/>
      <c r="K213" s="6"/>
      <c r="L213" s="88"/>
      <c r="M213" s="83"/>
      <c r="N213" s="89"/>
      <c r="O213" s="89"/>
      <c r="P213" s="89"/>
      <c r="Q213" s="89"/>
      <c r="R213" s="89"/>
      <c r="S213" s="6"/>
      <c r="T213" s="90"/>
      <c r="U213" s="84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  <c r="GT213" s="6"/>
      <c r="GU213" s="6"/>
      <c r="GV213" s="6"/>
      <c r="GW213" s="6"/>
      <c r="GX213" s="6"/>
      <c r="GY213" s="6"/>
      <c r="GZ213" s="6"/>
      <c r="HA213" s="6"/>
      <c r="HB213" s="6"/>
      <c r="HC213" s="6"/>
      <c r="HD213" s="6"/>
      <c r="HE213" s="6"/>
      <c r="HF213" s="6"/>
      <c r="HG213" s="6"/>
      <c r="HH213" s="6"/>
      <c r="HI213" s="6"/>
      <c r="HJ213" s="6"/>
      <c r="HK213" s="6"/>
      <c r="HL213" s="6"/>
      <c r="HM213" s="6"/>
      <c r="HN213" s="6"/>
      <c r="HO213" s="6"/>
      <c r="HP213" s="6"/>
      <c r="HQ213" s="6"/>
      <c r="HR213" s="6"/>
      <c r="HS213" s="6"/>
      <c r="HT213" s="6"/>
      <c r="HU213" s="6"/>
    </row>
    <row r="214" spans="1:229">
      <c r="A214" s="8"/>
      <c r="B214" s="8"/>
      <c r="C214" s="8"/>
      <c r="E214" s="6"/>
      <c r="F214" s="83"/>
      <c r="G214" s="55"/>
      <c r="H214" s="6"/>
      <c r="I214" s="6"/>
      <c r="J214" s="6"/>
      <c r="K214" s="6"/>
      <c r="L214" s="88"/>
      <c r="M214" s="83"/>
      <c r="N214" s="89"/>
      <c r="O214" s="89"/>
      <c r="P214" s="89"/>
      <c r="Q214" s="89"/>
      <c r="R214" s="89"/>
      <c r="S214" s="6"/>
      <c r="T214" s="90"/>
      <c r="U214" s="84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  <c r="GT214" s="6"/>
      <c r="GU214" s="6"/>
      <c r="GV214" s="6"/>
      <c r="GW214" s="6"/>
      <c r="GX214" s="6"/>
      <c r="GY214" s="6"/>
      <c r="GZ214" s="6"/>
      <c r="HA214" s="6"/>
      <c r="HB214" s="6"/>
      <c r="HC214" s="6"/>
      <c r="HD214" s="6"/>
      <c r="HE214" s="6"/>
      <c r="HF214" s="6"/>
      <c r="HG214" s="6"/>
      <c r="HH214" s="6"/>
      <c r="HI214" s="6"/>
      <c r="HJ214" s="6"/>
      <c r="HK214" s="6"/>
      <c r="HL214" s="6"/>
      <c r="HM214" s="6"/>
      <c r="HN214" s="6"/>
      <c r="HO214" s="6"/>
      <c r="HP214" s="6"/>
      <c r="HQ214" s="6"/>
      <c r="HR214" s="6"/>
      <c r="HS214" s="6"/>
      <c r="HT214" s="6"/>
      <c r="HU214" s="6"/>
    </row>
    <row r="215" spans="1:229">
      <c r="A215" s="8"/>
      <c r="B215" s="8"/>
      <c r="C215" s="8"/>
      <c r="E215" s="6"/>
      <c r="F215" s="83"/>
      <c r="G215" s="55"/>
      <c r="H215" s="6"/>
      <c r="I215" s="6"/>
      <c r="J215" s="6"/>
      <c r="K215" s="6"/>
      <c r="L215" s="88"/>
      <c r="M215" s="83"/>
      <c r="N215" s="89"/>
      <c r="O215" s="89"/>
      <c r="P215" s="89"/>
      <c r="Q215" s="89"/>
      <c r="R215" s="89"/>
      <c r="S215" s="6"/>
      <c r="T215" s="90"/>
      <c r="U215" s="84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  <c r="GT215" s="6"/>
      <c r="GU215" s="6"/>
      <c r="GV215" s="6"/>
      <c r="GW215" s="6"/>
      <c r="GX215" s="6"/>
      <c r="GY215" s="6"/>
      <c r="GZ215" s="6"/>
      <c r="HA215" s="6"/>
      <c r="HB215" s="6"/>
      <c r="HC215" s="6"/>
      <c r="HD215" s="6"/>
      <c r="HE215" s="6"/>
      <c r="HF215" s="6"/>
      <c r="HG215" s="6"/>
      <c r="HH215" s="6"/>
      <c r="HI215" s="6"/>
      <c r="HJ215" s="6"/>
      <c r="HK215" s="6"/>
      <c r="HL215" s="6"/>
      <c r="HM215" s="6"/>
      <c r="HN215" s="6"/>
      <c r="HO215" s="6"/>
      <c r="HP215" s="6"/>
      <c r="HQ215" s="6"/>
      <c r="HR215" s="6"/>
      <c r="HS215" s="6"/>
      <c r="HT215" s="6"/>
      <c r="HU215" s="6"/>
    </row>
    <row r="216" spans="1:229">
      <c r="A216" s="8"/>
      <c r="B216" s="8"/>
      <c r="C216" s="8"/>
      <c r="E216" s="6"/>
      <c r="F216" s="83"/>
      <c r="G216" s="55"/>
      <c r="H216" s="6"/>
      <c r="I216" s="6"/>
      <c r="J216" s="6"/>
      <c r="K216" s="6"/>
      <c r="L216" s="88"/>
      <c r="M216" s="83"/>
      <c r="N216" s="89"/>
      <c r="O216" s="89"/>
      <c r="P216" s="89"/>
      <c r="Q216" s="89"/>
      <c r="R216" s="89"/>
      <c r="S216" s="6"/>
      <c r="T216" s="90"/>
      <c r="U216" s="84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  <c r="GT216" s="6"/>
      <c r="GU216" s="6"/>
      <c r="GV216" s="6"/>
      <c r="GW216" s="6"/>
      <c r="GX216" s="6"/>
      <c r="GY216" s="6"/>
      <c r="GZ216" s="6"/>
      <c r="HA216" s="6"/>
      <c r="HB216" s="6"/>
      <c r="HC216" s="6"/>
      <c r="HD216" s="6"/>
      <c r="HE216" s="6"/>
      <c r="HF216" s="6"/>
      <c r="HG216" s="6"/>
      <c r="HH216" s="6"/>
      <c r="HI216" s="6"/>
      <c r="HJ216" s="6"/>
      <c r="HK216" s="6"/>
      <c r="HL216" s="6"/>
      <c r="HM216" s="6"/>
      <c r="HN216" s="6"/>
      <c r="HO216" s="6"/>
      <c r="HP216" s="6"/>
      <c r="HQ216" s="6"/>
      <c r="HR216" s="6"/>
      <c r="HS216" s="6"/>
      <c r="HT216" s="6"/>
      <c r="HU216" s="6"/>
    </row>
    <row r="217" spans="1:229">
      <c r="A217" s="8"/>
      <c r="B217" s="8"/>
      <c r="C217" s="8"/>
      <c r="E217" s="6"/>
      <c r="F217" s="83"/>
      <c r="G217" s="55"/>
      <c r="H217" s="6"/>
      <c r="I217" s="6"/>
      <c r="J217" s="6"/>
      <c r="K217" s="6"/>
      <c r="L217" s="88"/>
      <c r="M217" s="83"/>
      <c r="N217" s="89"/>
      <c r="O217" s="89"/>
      <c r="P217" s="89"/>
      <c r="Q217" s="89"/>
      <c r="R217" s="89"/>
      <c r="S217" s="6"/>
      <c r="T217" s="90"/>
      <c r="U217" s="84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</row>
    <row r="218" spans="1:229">
      <c r="A218" s="8"/>
      <c r="B218" s="8"/>
      <c r="C218" s="8"/>
      <c r="E218" s="6"/>
      <c r="F218" s="83"/>
      <c r="G218" s="55"/>
      <c r="H218" s="6"/>
      <c r="I218" s="6"/>
      <c r="J218" s="6"/>
      <c r="K218" s="6"/>
      <c r="L218" s="88"/>
      <c r="M218" s="83"/>
      <c r="N218" s="89"/>
      <c r="O218" s="89"/>
      <c r="P218" s="89"/>
      <c r="Q218" s="89"/>
      <c r="R218" s="89"/>
      <c r="S218" s="6"/>
      <c r="T218" s="90"/>
      <c r="U218" s="84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  <c r="GT218" s="6"/>
      <c r="GU218" s="6"/>
      <c r="GV218" s="6"/>
      <c r="GW218" s="6"/>
      <c r="GX218" s="6"/>
      <c r="GY218" s="6"/>
      <c r="GZ218" s="6"/>
      <c r="HA218" s="6"/>
      <c r="HB218" s="6"/>
      <c r="HC218" s="6"/>
      <c r="HD218" s="6"/>
      <c r="HE218" s="6"/>
      <c r="HF218" s="6"/>
      <c r="HG218" s="6"/>
      <c r="HH218" s="6"/>
      <c r="HI218" s="6"/>
      <c r="HJ218" s="6"/>
      <c r="HK218" s="6"/>
      <c r="HL218" s="6"/>
      <c r="HM218" s="6"/>
      <c r="HN218" s="6"/>
      <c r="HO218" s="6"/>
      <c r="HP218" s="6"/>
      <c r="HQ218" s="6"/>
      <c r="HR218" s="6"/>
      <c r="HS218" s="6"/>
      <c r="HT218" s="6"/>
      <c r="HU218" s="6"/>
    </row>
    <row r="219" spans="1:229">
      <c r="A219" s="8"/>
      <c r="B219" s="8"/>
      <c r="C219" s="8"/>
      <c r="E219" s="6"/>
      <c r="F219" s="84"/>
      <c r="G219" s="55"/>
      <c r="H219" s="6"/>
      <c r="I219" s="6"/>
      <c r="J219" s="6"/>
      <c r="K219" s="6"/>
      <c r="L219" s="88"/>
      <c r="M219" s="83"/>
      <c r="N219" s="89"/>
      <c r="O219" s="89"/>
      <c r="P219" s="89"/>
      <c r="Q219" s="89"/>
      <c r="R219" s="89"/>
      <c r="S219" s="6"/>
      <c r="T219" s="90"/>
      <c r="U219" s="84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  <c r="GT219" s="6"/>
      <c r="GU219" s="6"/>
      <c r="GV219" s="6"/>
      <c r="GW219" s="6"/>
      <c r="GX219" s="6"/>
      <c r="GY219" s="6"/>
      <c r="GZ219" s="6"/>
      <c r="HA219" s="6"/>
      <c r="HB219" s="6"/>
      <c r="HC219" s="6"/>
      <c r="HD219" s="6"/>
      <c r="HE219" s="6"/>
      <c r="HF219" s="6"/>
      <c r="HG219" s="6"/>
      <c r="HH219" s="6"/>
      <c r="HI219" s="6"/>
      <c r="HJ219" s="6"/>
      <c r="HK219" s="6"/>
      <c r="HL219" s="6"/>
      <c r="HM219" s="6"/>
      <c r="HN219" s="6"/>
      <c r="HO219" s="6"/>
      <c r="HP219" s="6"/>
      <c r="HQ219" s="6"/>
      <c r="HR219" s="6"/>
      <c r="HS219" s="6"/>
      <c r="HT219" s="6"/>
      <c r="HU219" s="6"/>
    </row>
    <row r="220" spans="1:229">
      <c r="A220" s="8"/>
      <c r="B220" s="8"/>
      <c r="C220" s="8"/>
      <c r="E220" s="6"/>
      <c r="F220" s="6"/>
      <c r="G220" s="6"/>
      <c r="H220" s="6"/>
      <c r="I220" s="6"/>
      <c r="J220" s="6"/>
      <c r="K220" s="6"/>
      <c r="L220" s="88"/>
      <c r="M220" s="83"/>
      <c r="N220" s="89"/>
      <c r="O220" s="89"/>
      <c r="P220" s="89"/>
      <c r="Q220" s="89"/>
      <c r="R220" s="89"/>
      <c r="S220" s="6"/>
      <c r="T220" s="90"/>
      <c r="U220" s="84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  <c r="HE220" s="6"/>
      <c r="HF220" s="6"/>
      <c r="HG220" s="6"/>
      <c r="HH220" s="6"/>
      <c r="HI220" s="6"/>
      <c r="HJ220" s="6"/>
      <c r="HK220" s="6"/>
      <c r="HL220" s="6"/>
      <c r="HM220" s="6"/>
      <c r="HN220" s="6"/>
      <c r="HO220" s="6"/>
      <c r="HP220" s="6"/>
      <c r="HQ220" s="6"/>
      <c r="HR220" s="6"/>
      <c r="HS220" s="6"/>
      <c r="HT220" s="6"/>
      <c r="HU220" s="6"/>
    </row>
    <row r="221" spans="1:229">
      <c r="E221" s="6"/>
      <c r="F221" s="83"/>
      <c r="G221" s="55"/>
      <c r="H221" s="95"/>
      <c r="I221" s="6"/>
      <c r="J221" s="6"/>
      <c r="K221" s="6"/>
      <c r="L221" s="88"/>
      <c r="M221" s="83"/>
      <c r="N221" s="89"/>
      <c r="O221" s="89"/>
      <c r="P221" s="89"/>
      <c r="Q221" s="89"/>
      <c r="R221" s="89"/>
      <c r="S221" s="6"/>
      <c r="T221" s="90"/>
      <c r="U221" s="84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</row>
    <row r="222" spans="1:229">
      <c r="E222" s="6"/>
      <c r="F222" s="83"/>
      <c r="G222" s="55"/>
      <c r="H222" s="6"/>
      <c r="I222" s="6"/>
      <c r="J222" s="6"/>
      <c r="K222" s="6"/>
      <c r="L222" s="88"/>
      <c r="M222" s="83"/>
      <c r="N222" s="89"/>
      <c r="O222" s="89"/>
      <c r="P222" s="89"/>
      <c r="Q222" s="89"/>
      <c r="R222" s="89"/>
      <c r="S222" s="6"/>
      <c r="T222" s="90"/>
      <c r="U222" s="84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  <c r="GT222" s="6"/>
      <c r="GU222" s="6"/>
      <c r="GV222" s="6"/>
      <c r="GW222" s="6"/>
      <c r="GX222" s="6"/>
      <c r="GY222" s="6"/>
      <c r="GZ222" s="6"/>
      <c r="HA222" s="6"/>
      <c r="HB222" s="6"/>
      <c r="HC222" s="6"/>
      <c r="HD222" s="6"/>
      <c r="HE222" s="6"/>
      <c r="HF222" s="6"/>
      <c r="HG222" s="6"/>
      <c r="HH222" s="6"/>
      <c r="HI222" s="6"/>
      <c r="HJ222" s="6"/>
      <c r="HK222" s="6"/>
      <c r="HL222" s="6"/>
      <c r="HM222" s="6"/>
      <c r="HN222" s="6"/>
      <c r="HO222" s="6"/>
      <c r="HP222" s="6"/>
      <c r="HQ222" s="6"/>
      <c r="HR222" s="6"/>
      <c r="HS222" s="6"/>
      <c r="HT222" s="6"/>
      <c r="HU222" s="6"/>
    </row>
    <row r="223" spans="1:229">
      <c r="E223" s="6"/>
      <c r="F223" s="83"/>
      <c r="G223" s="6"/>
      <c r="H223" s="6"/>
      <c r="I223" s="6"/>
      <c r="J223" s="6"/>
      <c r="K223" s="6"/>
      <c r="L223" s="88"/>
      <c r="M223" s="83"/>
      <c r="N223" s="89"/>
      <c r="O223" s="89"/>
      <c r="P223" s="89"/>
      <c r="Q223" s="89"/>
      <c r="R223" s="89"/>
      <c r="S223" s="6"/>
      <c r="T223" s="90"/>
      <c r="U223" s="84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  <c r="GT223" s="6"/>
      <c r="GU223" s="6"/>
      <c r="GV223" s="6"/>
      <c r="GW223" s="6"/>
      <c r="GX223" s="6"/>
      <c r="GY223" s="6"/>
      <c r="GZ223" s="6"/>
      <c r="HA223" s="6"/>
      <c r="HB223" s="6"/>
      <c r="HC223" s="6"/>
      <c r="HD223" s="6"/>
      <c r="HE223" s="6"/>
      <c r="HF223" s="6"/>
      <c r="HG223" s="6"/>
      <c r="HH223" s="6"/>
      <c r="HI223" s="6"/>
      <c r="HJ223" s="6"/>
      <c r="HK223" s="6"/>
      <c r="HL223" s="6"/>
      <c r="HM223" s="6"/>
      <c r="HN223" s="6"/>
      <c r="HO223" s="6"/>
      <c r="HP223" s="6"/>
      <c r="HQ223" s="6"/>
      <c r="HR223" s="6"/>
      <c r="HS223" s="6"/>
      <c r="HT223" s="6"/>
      <c r="HU223" s="6"/>
    </row>
    <row r="224" spans="1:229">
      <c r="E224" s="6"/>
      <c r="F224" s="83"/>
      <c r="G224" s="55"/>
      <c r="H224" s="6"/>
      <c r="I224" s="6"/>
      <c r="J224" s="6"/>
      <c r="K224" s="6"/>
      <c r="L224" s="88"/>
      <c r="M224" s="83"/>
      <c r="N224" s="89"/>
      <c r="O224" s="89"/>
      <c r="P224" s="89"/>
      <c r="Q224" s="89"/>
      <c r="R224" s="89"/>
      <c r="S224" s="6"/>
      <c r="T224" s="90"/>
      <c r="U224" s="84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  <c r="GT224" s="6"/>
      <c r="GU224" s="6"/>
      <c r="GV224" s="6"/>
      <c r="GW224" s="6"/>
      <c r="GX224" s="6"/>
      <c r="GY224" s="6"/>
      <c r="GZ224" s="6"/>
      <c r="HA224" s="6"/>
      <c r="HB224" s="6"/>
      <c r="HC224" s="6"/>
      <c r="HD224" s="6"/>
      <c r="HE224" s="6"/>
      <c r="HF224" s="6"/>
      <c r="HG224" s="6"/>
      <c r="HH224" s="6"/>
      <c r="HI224" s="6"/>
      <c r="HJ224" s="6"/>
      <c r="HK224" s="6"/>
      <c r="HL224" s="6"/>
      <c r="HM224" s="6"/>
      <c r="HN224" s="6"/>
      <c r="HO224" s="6"/>
      <c r="HP224" s="6"/>
      <c r="HQ224" s="6"/>
      <c r="HR224" s="6"/>
      <c r="HS224" s="6"/>
      <c r="HT224" s="6"/>
      <c r="HU224" s="6"/>
    </row>
    <row r="225" spans="5:229">
      <c r="E225" s="6"/>
      <c r="F225" s="83"/>
      <c r="G225" s="55"/>
      <c r="H225" s="6"/>
      <c r="I225" s="6"/>
      <c r="J225" s="6"/>
      <c r="K225" s="6"/>
      <c r="L225" s="88"/>
      <c r="M225" s="83"/>
      <c r="N225" s="89"/>
      <c r="O225" s="89"/>
      <c r="P225" s="89"/>
      <c r="Q225" s="89"/>
      <c r="R225" s="89"/>
      <c r="S225" s="6"/>
      <c r="T225" s="90"/>
      <c r="U225" s="84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  <c r="GT225" s="6"/>
      <c r="GU225" s="6"/>
      <c r="GV225" s="6"/>
      <c r="GW225" s="6"/>
      <c r="GX225" s="6"/>
      <c r="GY225" s="6"/>
      <c r="GZ225" s="6"/>
      <c r="HA225" s="6"/>
      <c r="HB225" s="6"/>
      <c r="HC225" s="6"/>
      <c r="HD225" s="6"/>
      <c r="HE225" s="6"/>
      <c r="HF225" s="6"/>
      <c r="HG225" s="6"/>
      <c r="HH225" s="6"/>
      <c r="HI225" s="6"/>
      <c r="HJ225" s="6"/>
      <c r="HK225" s="6"/>
      <c r="HL225" s="6"/>
      <c r="HM225" s="6"/>
      <c r="HN225" s="6"/>
      <c r="HO225" s="6"/>
      <c r="HP225" s="6"/>
      <c r="HQ225" s="6"/>
      <c r="HR225" s="6"/>
      <c r="HS225" s="6"/>
      <c r="HT225" s="6"/>
      <c r="HU225" s="6"/>
    </row>
    <row r="226" spans="5:229">
      <c r="E226" s="6"/>
      <c r="F226" s="83"/>
      <c r="G226" s="55"/>
      <c r="H226" s="6"/>
      <c r="I226" s="6"/>
      <c r="J226" s="6"/>
      <c r="K226" s="6"/>
      <c r="L226" s="88"/>
      <c r="M226" s="83"/>
      <c r="N226" s="89"/>
      <c r="O226" s="89"/>
      <c r="P226" s="89"/>
      <c r="Q226" s="89"/>
      <c r="R226" s="89"/>
      <c r="S226" s="6"/>
      <c r="T226" s="90"/>
      <c r="U226" s="84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  <c r="GT226" s="6"/>
      <c r="GU226" s="6"/>
      <c r="GV226" s="6"/>
      <c r="GW226" s="6"/>
      <c r="GX226" s="6"/>
      <c r="GY226" s="6"/>
      <c r="GZ226" s="6"/>
      <c r="HA226" s="6"/>
      <c r="HB226" s="6"/>
      <c r="HC226" s="6"/>
      <c r="HD226" s="6"/>
      <c r="HE226" s="6"/>
      <c r="HF226" s="6"/>
      <c r="HG226" s="6"/>
      <c r="HH226" s="6"/>
      <c r="HI226" s="6"/>
      <c r="HJ226" s="6"/>
      <c r="HK226" s="6"/>
      <c r="HL226" s="6"/>
      <c r="HM226" s="6"/>
      <c r="HN226" s="6"/>
      <c r="HO226" s="6"/>
      <c r="HP226" s="6"/>
      <c r="HQ226" s="6"/>
      <c r="HR226" s="6"/>
      <c r="HS226" s="6"/>
      <c r="HT226" s="6"/>
      <c r="HU226" s="6"/>
    </row>
    <row r="227" spans="5:229">
      <c r="E227" s="6"/>
      <c r="F227" s="83"/>
      <c r="G227" s="55"/>
      <c r="H227" s="6"/>
      <c r="I227" s="6"/>
      <c r="J227" s="6"/>
      <c r="K227" s="6"/>
      <c r="L227" s="88"/>
      <c r="M227" s="83"/>
      <c r="N227" s="89"/>
      <c r="O227" s="89"/>
      <c r="P227" s="89"/>
      <c r="Q227" s="89"/>
      <c r="R227" s="89"/>
      <c r="S227" s="6"/>
      <c r="T227" s="90"/>
      <c r="U227" s="84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  <c r="GT227" s="6"/>
      <c r="GU227" s="6"/>
      <c r="GV227" s="6"/>
      <c r="GW227" s="6"/>
      <c r="GX227" s="6"/>
      <c r="GY227" s="6"/>
      <c r="GZ227" s="6"/>
      <c r="HA227" s="6"/>
      <c r="HB227" s="6"/>
      <c r="HC227" s="6"/>
      <c r="HD227" s="6"/>
      <c r="HE227" s="6"/>
      <c r="HF227" s="6"/>
      <c r="HG227" s="6"/>
      <c r="HH227" s="6"/>
      <c r="HI227" s="6"/>
      <c r="HJ227" s="6"/>
      <c r="HK227" s="6"/>
      <c r="HL227" s="6"/>
      <c r="HM227" s="6"/>
      <c r="HN227" s="6"/>
      <c r="HO227" s="6"/>
      <c r="HP227" s="6"/>
      <c r="HQ227" s="6"/>
      <c r="HR227" s="6"/>
      <c r="HS227" s="6"/>
      <c r="HT227" s="6"/>
      <c r="HU227" s="6"/>
    </row>
    <row r="228" spans="5:229">
      <c r="E228" s="6"/>
      <c r="F228" s="83"/>
      <c r="G228" s="55"/>
      <c r="H228" s="6"/>
      <c r="I228" s="6"/>
      <c r="J228" s="6"/>
      <c r="K228" s="6"/>
      <c r="L228" s="88"/>
      <c r="M228" s="83"/>
      <c r="N228" s="89"/>
      <c r="O228" s="89"/>
      <c r="P228" s="89"/>
      <c r="Q228" s="89"/>
      <c r="R228" s="89"/>
      <c r="S228" s="6"/>
      <c r="T228" s="90"/>
      <c r="U228" s="84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  <c r="GM228" s="6"/>
      <c r="GN228" s="6"/>
      <c r="GO228" s="6"/>
      <c r="GP228" s="6"/>
      <c r="GQ228" s="6"/>
      <c r="GR228" s="6"/>
      <c r="GS228" s="6"/>
      <c r="GT228" s="6"/>
      <c r="GU228" s="6"/>
      <c r="GV228" s="6"/>
      <c r="GW228" s="6"/>
      <c r="GX228" s="6"/>
      <c r="GY228" s="6"/>
      <c r="GZ228" s="6"/>
      <c r="HA228" s="6"/>
      <c r="HB228" s="6"/>
      <c r="HC228" s="6"/>
      <c r="HD228" s="6"/>
      <c r="HE228" s="6"/>
      <c r="HF228" s="6"/>
      <c r="HG228" s="6"/>
      <c r="HH228" s="6"/>
      <c r="HI228" s="6"/>
      <c r="HJ228" s="6"/>
      <c r="HK228" s="6"/>
      <c r="HL228" s="6"/>
      <c r="HM228" s="6"/>
      <c r="HN228" s="6"/>
      <c r="HO228" s="6"/>
      <c r="HP228" s="6"/>
      <c r="HQ228" s="6"/>
      <c r="HR228" s="6"/>
      <c r="HS228" s="6"/>
      <c r="HT228" s="6"/>
      <c r="HU228" s="6"/>
    </row>
    <row r="229" spans="5:229">
      <c r="E229" s="6"/>
      <c r="F229" s="83"/>
      <c r="G229" s="55"/>
      <c r="H229" s="6"/>
      <c r="I229" s="6"/>
      <c r="J229" s="6"/>
      <c r="K229" s="6"/>
      <c r="L229" s="88"/>
      <c r="M229" s="83"/>
      <c r="N229" s="89"/>
      <c r="O229" s="89"/>
      <c r="P229" s="89"/>
      <c r="Q229" s="89"/>
      <c r="R229" s="89"/>
      <c r="S229" s="6"/>
      <c r="T229" s="90"/>
      <c r="U229" s="84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  <c r="GM229" s="6"/>
      <c r="GN229" s="6"/>
      <c r="GO229" s="6"/>
      <c r="GP229" s="6"/>
      <c r="GQ229" s="6"/>
      <c r="GR229" s="6"/>
      <c r="GS229" s="6"/>
      <c r="GT229" s="6"/>
      <c r="GU229" s="6"/>
      <c r="GV229" s="6"/>
      <c r="GW229" s="6"/>
      <c r="GX229" s="6"/>
      <c r="GY229" s="6"/>
      <c r="GZ229" s="6"/>
      <c r="HA229" s="6"/>
      <c r="HB229" s="6"/>
      <c r="HC229" s="6"/>
      <c r="HD229" s="6"/>
      <c r="HE229" s="6"/>
      <c r="HF229" s="6"/>
      <c r="HG229" s="6"/>
      <c r="HH229" s="6"/>
      <c r="HI229" s="6"/>
      <c r="HJ229" s="6"/>
      <c r="HK229" s="6"/>
      <c r="HL229" s="6"/>
      <c r="HM229" s="6"/>
      <c r="HN229" s="6"/>
      <c r="HO229" s="6"/>
      <c r="HP229" s="6"/>
      <c r="HQ229" s="6"/>
      <c r="HR229" s="6"/>
      <c r="HS229" s="6"/>
      <c r="HT229" s="6"/>
      <c r="HU229" s="6"/>
    </row>
    <row r="230" spans="5:229">
      <c r="E230" s="6"/>
      <c r="F230" s="83"/>
      <c r="G230" s="55"/>
      <c r="H230" s="6"/>
      <c r="I230" s="6"/>
      <c r="J230" s="6"/>
      <c r="K230" s="6"/>
      <c r="L230" s="88"/>
      <c r="M230" s="83"/>
      <c r="N230" s="89"/>
      <c r="O230" s="89"/>
      <c r="P230" s="89"/>
      <c r="Q230" s="89"/>
      <c r="R230" s="89"/>
      <c r="S230" s="6"/>
      <c r="T230" s="90"/>
      <c r="U230" s="84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  <c r="GM230" s="6"/>
      <c r="GN230" s="6"/>
      <c r="GO230" s="6"/>
      <c r="GP230" s="6"/>
      <c r="GQ230" s="6"/>
      <c r="GR230" s="6"/>
      <c r="GS230" s="6"/>
      <c r="GT230" s="6"/>
      <c r="GU230" s="6"/>
      <c r="GV230" s="6"/>
      <c r="GW230" s="6"/>
      <c r="GX230" s="6"/>
      <c r="GY230" s="6"/>
      <c r="GZ230" s="6"/>
      <c r="HA230" s="6"/>
      <c r="HB230" s="6"/>
      <c r="HC230" s="6"/>
      <c r="HD230" s="6"/>
      <c r="HE230" s="6"/>
      <c r="HF230" s="6"/>
      <c r="HG230" s="6"/>
      <c r="HH230" s="6"/>
      <c r="HI230" s="6"/>
      <c r="HJ230" s="6"/>
      <c r="HK230" s="6"/>
      <c r="HL230" s="6"/>
      <c r="HM230" s="6"/>
      <c r="HN230" s="6"/>
      <c r="HO230" s="6"/>
      <c r="HP230" s="6"/>
      <c r="HQ230" s="6"/>
      <c r="HR230" s="6"/>
      <c r="HS230" s="6"/>
      <c r="HT230" s="6"/>
      <c r="HU230" s="6"/>
    </row>
    <row r="231" spans="5:229">
      <c r="E231" s="6"/>
      <c r="F231" s="84"/>
      <c r="G231" s="55"/>
      <c r="H231" s="6"/>
      <c r="I231" s="6"/>
      <c r="J231" s="6"/>
      <c r="K231" s="6"/>
      <c r="L231" s="88"/>
      <c r="M231" s="83"/>
      <c r="N231" s="89"/>
      <c r="O231" s="89"/>
      <c r="P231" s="89"/>
      <c r="Q231" s="89"/>
      <c r="R231" s="89"/>
      <c r="S231" s="6"/>
      <c r="T231" s="90"/>
      <c r="U231" s="84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  <c r="GM231" s="6"/>
      <c r="GN231" s="6"/>
      <c r="GO231" s="6"/>
      <c r="GP231" s="6"/>
      <c r="GQ231" s="6"/>
      <c r="GR231" s="6"/>
      <c r="GS231" s="6"/>
      <c r="GT231" s="6"/>
      <c r="GU231" s="6"/>
      <c r="GV231" s="6"/>
      <c r="GW231" s="6"/>
      <c r="GX231" s="6"/>
      <c r="GY231" s="6"/>
      <c r="GZ231" s="6"/>
      <c r="HA231" s="6"/>
      <c r="HB231" s="6"/>
      <c r="HC231" s="6"/>
      <c r="HD231" s="6"/>
      <c r="HE231" s="6"/>
      <c r="HF231" s="6"/>
      <c r="HG231" s="6"/>
      <c r="HH231" s="6"/>
      <c r="HI231" s="6"/>
      <c r="HJ231" s="6"/>
      <c r="HK231" s="6"/>
      <c r="HL231" s="6"/>
      <c r="HM231" s="6"/>
      <c r="HN231" s="6"/>
      <c r="HO231" s="6"/>
      <c r="HP231" s="6"/>
      <c r="HQ231" s="6"/>
      <c r="HR231" s="6"/>
      <c r="HS231" s="6"/>
      <c r="HT231" s="6"/>
      <c r="HU231" s="6"/>
    </row>
    <row r="232" spans="5:229">
      <c r="E232" s="6"/>
      <c r="F232" s="6"/>
      <c r="G232" s="6"/>
      <c r="H232" s="6"/>
      <c r="I232" s="6"/>
      <c r="J232" s="6"/>
      <c r="K232" s="6"/>
      <c r="L232" s="88"/>
      <c r="M232" s="83"/>
      <c r="N232" s="89"/>
      <c r="O232" s="89"/>
      <c r="P232" s="89"/>
      <c r="Q232" s="89"/>
      <c r="R232" s="89"/>
      <c r="S232" s="6"/>
      <c r="T232" s="90"/>
      <c r="U232" s="84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  <c r="GM232" s="6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  <c r="HE232" s="6"/>
      <c r="HF232" s="6"/>
      <c r="HG232" s="6"/>
      <c r="HH232" s="6"/>
      <c r="HI232" s="6"/>
      <c r="HJ232" s="6"/>
      <c r="HK232" s="6"/>
      <c r="HL232" s="6"/>
      <c r="HM232" s="6"/>
      <c r="HN232" s="6"/>
      <c r="HO232" s="6"/>
      <c r="HP232" s="6"/>
      <c r="HQ232" s="6"/>
      <c r="HR232" s="6"/>
      <c r="HS232" s="6"/>
      <c r="HT232" s="6"/>
      <c r="HU232" s="6"/>
    </row>
    <row r="233" spans="5:229">
      <c r="E233" s="6"/>
      <c r="F233" s="83"/>
      <c r="G233" s="55"/>
      <c r="H233" s="95"/>
      <c r="I233" s="6"/>
      <c r="J233" s="6"/>
      <c r="K233" s="6"/>
      <c r="L233" s="88"/>
      <c r="M233" s="83"/>
      <c r="N233" s="89"/>
      <c r="O233" s="89"/>
      <c r="P233" s="89"/>
      <c r="Q233" s="89"/>
      <c r="R233" s="89"/>
      <c r="S233" s="6"/>
      <c r="T233" s="90"/>
      <c r="U233" s="84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  <c r="GM233" s="6"/>
      <c r="GN233" s="6"/>
      <c r="GO233" s="6"/>
      <c r="GP233" s="6"/>
      <c r="GQ233" s="6"/>
      <c r="GR233" s="6"/>
      <c r="GS233" s="6"/>
      <c r="GT233" s="6"/>
      <c r="GU233" s="6"/>
      <c r="GV233" s="6"/>
      <c r="GW233" s="6"/>
      <c r="GX233" s="6"/>
      <c r="GY233" s="6"/>
      <c r="GZ233" s="6"/>
      <c r="HA233" s="6"/>
      <c r="HB233" s="6"/>
      <c r="HC233" s="6"/>
      <c r="HD233" s="6"/>
      <c r="HE233" s="6"/>
      <c r="HF233" s="6"/>
      <c r="HG233" s="6"/>
      <c r="HH233" s="6"/>
      <c r="HI233" s="6"/>
      <c r="HJ233" s="6"/>
      <c r="HK233" s="6"/>
      <c r="HL233" s="6"/>
      <c r="HM233" s="6"/>
      <c r="HN233" s="6"/>
      <c r="HO233" s="6"/>
      <c r="HP233" s="6"/>
      <c r="HQ233" s="6"/>
      <c r="HR233" s="6"/>
      <c r="HS233" s="6"/>
      <c r="HT233" s="6"/>
      <c r="HU233" s="6"/>
    </row>
    <row r="234" spans="5:229">
      <c r="E234" s="6"/>
      <c r="F234" s="83"/>
      <c r="G234" s="55"/>
      <c r="H234" s="6"/>
      <c r="I234" s="6"/>
      <c r="J234" s="6"/>
      <c r="K234" s="6"/>
      <c r="L234" s="88"/>
      <c r="M234" s="83"/>
      <c r="N234" s="89"/>
      <c r="O234" s="89"/>
      <c r="P234" s="89"/>
      <c r="Q234" s="89"/>
      <c r="R234" s="89"/>
      <c r="S234" s="6"/>
      <c r="T234" s="90"/>
      <c r="U234" s="84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  <c r="GM234" s="6"/>
      <c r="GN234" s="6"/>
      <c r="GO234" s="6"/>
      <c r="GP234" s="6"/>
      <c r="GQ234" s="6"/>
      <c r="GR234" s="6"/>
      <c r="GS234" s="6"/>
      <c r="GT234" s="6"/>
      <c r="GU234" s="6"/>
      <c r="GV234" s="6"/>
      <c r="GW234" s="6"/>
      <c r="GX234" s="6"/>
      <c r="GY234" s="6"/>
      <c r="GZ234" s="6"/>
      <c r="HA234" s="6"/>
      <c r="HB234" s="6"/>
      <c r="HC234" s="6"/>
      <c r="HD234" s="6"/>
      <c r="HE234" s="6"/>
      <c r="HF234" s="6"/>
      <c r="HG234" s="6"/>
      <c r="HH234" s="6"/>
      <c r="HI234" s="6"/>
      <c r="HJ234" s="6"/>
      <c r="HK234" s="6"/>
      <c r="HL234" s="6"/>
      <c r="HM234" s="6"/>
      <c r="HN234" s="6"/>
      <c r="HO234" s="6"/>
      <c r="HP234" s="6"/>
      <c r="HQ234" s="6"/>
      <c r="HR234" s="6"/>
      <c r="HS234" s="6"/>
      <c r="HT234" s="6"/>
      <c r="HU234" s="6"/>
    </row>
    <row r="235" spans="5:229">
      <c r="E235" s="6"/>
      <c r="F235" s="83"/>
      <c r="G235" s="6"/>
      <c r="H235" s="6"/>
      <c r="I235" s="6"/>
      <c r="J235" s="6"/>
      <c r="K235" s="6"/>
      <c r="L235" s="88"/>
      <c r="M235" s="83"/>
      <c r="N235" s="89"/>
      <c r="O235" s="89"/>
      <c r="P235" s="89"/>
      <c r="Q235" s="89"/>
      <c r="R235" s="89"/>
      <c r="S235" s="6"/>
      <c r="T235" s="90"/>
      <c r="U235" s="84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  <c r="GM235" s="6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  <c r="HE235" s="6"/>
      <c r="HF235" s="6"/>
      <c r="HG235" s="6"/>
      <c r="HH235" s="6"/>
      <c r="HI235" s="6"/>
      <c r="HJ235" s="6"/>
      <c r="HK235" s="6"/>
      <c r="HL235" s="6"/>
      <c r="HM235" s="6"/>
      <c r="HN235" s="6"/>
      <c r="HO235" s="6"/>
      <c r="HP235" s="6"/>
      <c r="HQ235" s="6"/>
      <c r="HR235" s="6"/>
      <c r="HS235" s="6"/>
      <c r="HT235" s="6"/>
      <c r="HU235" s="6"/>
    </row>
    <row r="236" spans="5:229">
      <c r="E236" s="6"/>
      <c r="F236" s="83"/>
      <c r="G236" s="55"/>
      <c r="H236" s="6"/>
      <c r="I236" s="6"/>
      <c r="J236" s="6"/>
      <c r="K236" s="6"/>
      <c r="L236" s="88"/>
      <c r="M236" s="83"/>
      <c r="N236" s="89"/>
      <c r="O236" s="89"/>
      <c r="P236" s="89"/>
      <c r="Q236" s="89"/>
      <c r="R236" s="89"/>
      <c r="S236" s="6"/>
      <c r="T236" s="90"/>
      <c r="U236" s="84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  <c r="GM236" s="6"/>
      <c r="GN236" s="6"/>
      <c r="GO236" s="6"/>
      <c r="GP236" s="6"/>
      <c r="GQ236" s="6"/>
      <c r="GR236" s="6"/>
      <c r="GS236" s="6"/>
      <c r="GT236" s="6"/>
      <c r="GU236" s="6"/>
      <c r="GV236" s="6"/>
      <c r="GW236" s="6"/>
      <c r="GX236" s="6"/>
      <c r="GY236" s="6"/>
      <c r="GZ236" s="6"/>
      <c r="HA236" s="6"/>
      <c r="HB236" s="6"/>
      <c r="HC236" s="6"/>
      <c r="HD236" s="6"/>
      <c r="HE236" s="6"/>
      <c r="HF236" s="6"/>
      <c r="HG236" s="6"/>
      <c r="HH236" s="6"/>
      <c r="HI236" s="6"/>
      <c r="HJ236" s="6"/>
      <c r="HK236" s="6"/>
      <c r="HL236" s="6"/>
      <c r="HM236" s="6"/>
      <c r="HN236" s="6"/>
      <c r="HO236" s="6"/>
      <c r="HP236" s="6"/>
      <c r="HQ236" s="6"/>
      <c r="HR236" s="6"/>
      <c r="HS236" s="6"/>
      <c r="HT236" s="6"/>
      <c r="HU236" s="6"/>
    </row>
    <row r="237" spans="5:229">
      <c r="E237" s="6"/>
      <c r="F237" s="83"/>
      <c r="G237" s="55"/>
      <c r="H237" s="6"/>
      <c r="I237" s="6"/>
      <c r="J237" s="6"/>
      <c r="K237" s="6"/>
      <c r="L237" s="88"/>
      <c r="M237" s="83"/>
      <c r="N237" s="89"/>
      <c r="O237" s="89"/>
      <c r="P237" s="89"/>
      <c r="Q237" s="89"/>
      <c r="R237" s="89"/>
      <c r="S237" s="6"/>
      <c r="T237" s="90"/>
      <c r="U237" s="84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  <c r="GM237" s="6"/>
      <c r="GN237" s="6"/>
      <c r="GO237" s="6"/>
      <c r="GP237" s="6"/>
      <c r="GQ237" s="6"/>
      <c r="GR237" s="6"/>
      <c r="GS237" s="6"/>
      <c r="GT237" s="6"/>
      <c r="GU237" s="6"/>
      <c r="GV237" s="6"/>
      <c r="GW237" s="6"/>
      <c r="GX237" s="6"/>
      <c r="GY237" s="6"/>
      <c r="GZ237" s="6"/>
      <c r="HA237" s="6"/>
      <c r="HB237" s="6"/>
      <c r="HC237" s="6"/>
      <c r="HD237" s="6"/>
      <c r="HE237" s="6"/>
      <c r="HF237" s="6"/>
      <c r="HG237" s="6"/>
      <c r="HH237" s="6"/>
      <c r="HI237" s="6"/>
      <c r="HJ237" s="6"/>
      <c r="HK237" s="6"/>
      <c r="HL237" s="6"/>
      <c r="HM237" s="6"/>
      <c r="HN237" s="6"/>
      <c r="HO237" s="6"/>
      <c r="HP237" s="6"/>
      <c r="HQ237" s="6"/>
      <c r="HR237" s="6"/>
      <c r="HS237" s="6"/>
      <c r="HT237" s="6"/>
      <c r="HU237" s="6"/>
    </row>
    <row r="238" spans="5:229">
      <c r="E238" s="6"/>
      <c r="F238" s="83"/>
      <c r="G238" s="55"/>
      <c r="H238" s="6"/>
      <c r="I238" s="6"/>
      <c r="J238" s="6"/>
      <c r="K238" s="6"/>
      <c r="L238" s="88"/>
      <c r="M238" s="83"/>
      <c r="N238" s="89"/>
      <c r="O238" s="89"/>
      <c r="P238" s="89"/>
      <c r="Q238" s="89"/>
      <c r="R238" s="89"/>
      <c r="S238" s="6"/>
      <c r="T238" s="90"/>
      <c r="U238" s="84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  <c r="GM238" s="6"/>
      <c r="GN238" s="6"/>
      <c r="GO238" s="6"/>
      <c r="GP238" s="6"/>
      <c r="GQ238" s="6"/>
      <c r="GR238" s="6"/>
      <c r="GS238" s="6"/>
      <c r="GT238" s="6"/>
      <c r="GU238" s="6"/>
      <c r="GV238" s="6"/>
      <c r="GW238" s="6"/>
      <c r="GX238" s="6"/>
      <c r="GY238" s="6"/>
      <c r="GZ238" s="6"/>
      <c r="HA238" s="6"/>
      <c r="HB238" s="6"/>
      <c r="HC238" s="6"/>
      <c r="HD238" s="6"/>
      <c r="HE238" s="6"/>
      <c r="HF238" s="6"/>
      <c r="HG238" s="6"/>
      <c r="HH238" s="6"/>
      <c r="HI238" s="6"/>
      <c r="HJ238" s="6"/>
      <c r="HK238" s="6"/>
      <c r="HL238" s="6"/>
      <c r="HM238" s="6"/>
      <c r="HN238" s="6"/>
      <c r="HO238" s="6"/>
      <c r="HP238" s="6"/>
      <c r="HQ238" s="6"/>
      <c r="HR238" s="6"/>
      <c r="HS238" s="6"/>
      <c r="HT238" s="6"/>
      <c r="HU238" s="6"/>
    </row>
    <row r="239" spans="5:229">
      <c r="E239" s="6"/>
      <c r="F239" s="83"/>
      <c r="G239" s="55"/>
      <c r="H239" s="6"/>
      <c r="I239" s="6"/>
      <c r="J239" s="6"/>
      <c r="K239" s="6"/>
      <c r="L239" s="88"/>
      <c r="M239" s="83"/>
      <c r="N239" s="89"/>
      <c r="O239" s="89"/>
      <c r="P239" s="89"/>
      <c r="Q239" s="89"/>
      <c r="R239" s="89"/>
      <c r="S239" s="6"/>
      <c r="T239" s="90"/>
      <c r="U239" s="84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  <c r="GM239" s="6"/>
      <c r="GN239" s="6"/>
      <c r="GO239" s="6"/>
      <c r="GP239" s="6"/>
      <c r="GQ239" s="6"/>
      <c r="GR239" s="6"/>
      <c r="GS239" s="6"/>
      <c r="GT239" s="6"/>
      <c r="GU239" s="6"/>
      <c r="GV239" s="6"/>
      <c r="GW239" s="6"/>
      <c r="GX239" s="6"/>
      <c r="GY239" s="6"/>
      <c r="GZ239" s="6"/>
      <c r="HA239" s="6"/>
      <c r="HB239" s="6"/>
      <c r="HC239" s="6"/>
      <c r="HD239" s="6"/>
      <c r="HE239" s="6"/>
      <c r="HF239" s="6"/>
      <c r="HG239" s="6"/>
      <c r="HH239" s="6"/>
      <c r="HI239" s="6"/>
      <c r="HJ239" s="6"/>
      <c r="HK239" s="6"/>
      <c r="HL239" s="6"/>
      <c r="HM239" s="6"/>
      <c r="HN239" s="6"/>
      <c r="HO239" s="6"/>
      <c r="HP239" s="6"/>
      <c r="HQ239" s="6"/>
      <c r="HR239" s="6"/>
      <c r="HS239" s="6"/>
      <c r="HT239" s="6"/>
      <c r="HU239" s="6"/>
    </row>
    <row r="240" spans="5:229">
      <c r="E240" s="6"/>
      <c r="F240" s="83"/>
      <c r="G240" s="55"/>
      <c r="H240" s="6"/>
      <c r="I240" s="6"/>
      <c r="J240" s="6"/>
      <c r="K240" s="6"/>
      <c r="L240" s="88"/>
      <c r="M240" s="83"/>
      <c r="N240" s="89"/>
      <c r="O240" s="89"/>
      <c r="P240" s="89"/>
      <c r="Q240" s="89"/>
      <c r="R240" s="89"/>
      <c r="S240" s="6"/>
      <c r="T240" s="90"/>
      <c r="U240" s="84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  <c r="GM240" s="6"/>
      <c r="GN240" s="6"/>
      <c r="GO240" s="6"/>
      <c r="GP240" s="6"/>
      <c r="GQ240" s="6"/>
      <c r="GR240" s="6"/>
      <c r="GS240" s="6"/>
      <c r="GT240" s="6"/>
      <c r="GU240" s="6"/>
      <c r="GV240" s="6"/>
      <c r="GW240" s="6"/>
      <c r="GX240" s="6"/>
      <c r="GY240" s="6"/>
      <c r="GZ240" s="6"/>
      <c r="HA240" s="6"/>
      <c r="HB240" s="6"/>
      <c r="HC240" s="6"/>
      <c r="HD240" s="6"/>
      <c r="HE240" s="6"/>
      <c r="HF240" s="6"/>
      <c r="HG240" s="6"/>
      <c r="HH240" s="6"/>
      <c r="HI240" s="6"/>
      <c r="HJ240" s="6"/>
      <c r="HK240" s="6"/>
      <c r="HL240" s="6"/>
      <c r="HM240" s="6"/>
      <c r="HN240" s="6"/>
      <c r="HO240" s="6"/>
      <c r="HP240" s="6"/>
      <c r="HQ240" s="6"/>
      <c r="HR240" s="6"/>
      <c r="HS240" s="6"/>
      <c r="HT240" s="6"/>
      <c r="HU240" s="6"/>
    </row>
    <row r="241" spans="5:229">
      <c r="E241" s="6"/>
      <c r="F241" s="83"/>
      <c r="G241" s="55"/>
      <c r="H241" s="6"/>
      <c r="I241" s="6"/>
      <c r="J241" s="6"/>
      <c r="K241" s="6"/>
      <c r="L241" s="88"/>
      <c r="M241" s="83"/>
      <c r="N241" s="89"/>
      <c r="O241" s="89"/>
      <c r="P241" s="89"/>
      <c r="Q241" s="89"/>
      <c r="R241" s="89"/>
      <c r="S241" s="6"/>
      <c r="T241" s="90"/>
      <c r="U241" s="84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  <c r="ER241" s="6"/>
      <c r="ES241" s="6"/>
      <c r="ET241" s="6"/>
      <c r="EU241" s="6"/>
      <c r="EV241" s="6"/>
      <c r="EW241" s="6"/>
      <c r="EX241" s="6"/>
      <c r="EY241" s="6"/>
      <c r="EZ241" s="6"/>
      <c r="FA241" s="6"/>
      <c r="FB241" s="6"/>
      <c r="FC241" s="6"/>
      <c r="FD241" s="6"/>
      <c r="FE241" s="6"/>
      <c r="FF241" s="6"/>
      <c r="FG241" s="6"/>
      <c r="FH241" s="6"/>
      <c r="FI241" s="6"/>
      <c r="FJ241" s="6"/>
      <c r="FK241" s="6"/>
      <c r="FL241" s="6"/>
      <c r="FM241" s="6"/>
      <c r="FN241" s="6"/>
      <c r="FO241" s="6"/>
      <c r="FP241" s="6"/>
      <c r="FQ241" s="6"/>
      <c r="FR241" s="6"/>
      <c r="FS241" s="6"/>
      <c r="FT241" s="6"/>
      <c r="FU241" s="6"/>
      <c r="FV241" s="6"/>
      <c r="FW241" s="6"/>
      <c r="FX241" s="6"/>
      <c r="FY241" s="6"/>
      <c r="FZ241" s="6"/>
      <c r="GA241" s="6"/>
      <c r="GB241" s="6"/>
      <c r="GC241" s="6"/>
      <c r="GD241" s="6"/>
      <c r="GE241" s="6"/>
      <c r="GF241" s="6"/>
      <c r="GG241" s="6"/>
      <c r="GH241" s="6"/>
      <c r="GI241" s="6"/>
      <c r="GJ241" s="6"/>
      <c r="GK241" s="6"/>
      <c r="GL241" s="6"/>
      <c r="GM241" s="6"/>
      <c r="GN241" s="6"/>
      <c r="GO241" s="6"/>
      <c r="GP241" s="6"/>
      <c r="GQ241" s="6"/>
      <c r="GR241" s="6"/>
      <c r="GS241" s="6"/>
      <c r="GT241" s="6"/>
      <c r="GU241" s="6"/>
      <c r="GV241" s="6"/>
      <c r="GW241" s="6"/>
      <c r="GX241" s="6"/>
      <c r="GY241" s="6"/>
      <c r="GZ241" s="6"/>
      <c r="HA241" s="6"/>
      <c r="HB241" s="6"/>
      <c r="HC241" s="6"/>
      <c r="HD241" s="6"/>
      <c r="HE241" s="6"/>
      <c r="HF241" s="6"/>
      <c r="HG241" s="6"/>
      <c r="HH241" s="6"/>
      <c r="HI241" s="6"/>
      <c r="HJ241" s="6"/>
      <c r="HK241" s="6"/>
      <c r="HL241" s="6"/>
      <c r="HM241" s="6"/>
      <c r="HN241" s="6"/>
      <c r="HO241" s="6"/>
      <c r="HP241" s="6"/>
      <c r="HQ241" s="6"/>
      <c r="HR241" s="6"/>
      <c r="HS241" s="6"/>
      <c r="HT241" s="6"/>
      <c r="HU241" s="6"/>
    </row>
    <row r="242" spans="5:229">
      <c r="E242" s="6"/>
      <c r="F242" s="83"/>
      <c r="G242" s="55"/>
      <c r="H242" s="6"/>
      <c r="I242" s="6"/>
      <c r="J242" s="6"/>
      <c r="K242" s="6"/>
      <c r="L242" s="88"/>
      <c r="M242" s="83"/>
      <c r="N242" s="89"/>
      <c r="O242" s="89"/>
      <c r="P242" s="89"/>
      <c r="Q242" s="89"/>
      <c r="R242" s="89"/>
      <c r="S242" s="6"/>
      <c r="T242" s="90"/>
      <c r="U242" s="84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  <c r="ER242" s="6"/>
      <c r="ES242" s="6"/>
      <c r="ET242" s="6"/>
      <c r="EU242" s="6"/>
      <c r="EV242" s="6"/>
      <c r="EW242" s="6"/>
      <c r="EX242" s="6"/>
      <c r="EY242" s="6"/>
      <c r="EZ242" s="6"/>
      <c r="FA242" s="6"/>
      <c r="FB242" s="6"/>
      <c r="FC242" s="6"/>
      <c r="FD242" s="6"/>
      <c r="FE242" s="6"/>
      <c r="FF242" s="6"/>
      <c r="FG242" s="6"/>
      <c r="FH242" s="6"/>
      <c r="FI242" s="6"/>
      <c r="FJ242" s="6"/>
      <c r="FK242" s="6"/>
      <c r="FL242" s="6"/>
      <c r="FM242" s="6"/>
      <c r="FN242" s="6"/>
      <c r="FO242" s="6"/>
      <c r="FP242" s="6"/>
      <c r="FQ242" s="6"/>
      <c r="FR242" s="6"/>
      <c r="FS242" s="6"/>
      <c r="FT242" s="6"/>
      <c r="FU242" s="6"/>
      <c r="FV242" s="6"/>
      <c r="FW242" s="6"/>
      <c r="FX242" s="6"/>
      <c r="FY242" s="6"/>
      <c r="FZ242" s="6"/>
      <c r="GA242" s="6"/>
      <c r="GB242" s="6"/>
      <c r="GC242" s="6"/>
      <c r="GD242" s="6"/>
      <c r="GE242" s="6"/>
      <c r="GF242" s="6"/>
      <c r="GG242" s="6"/>
      <c r="GH242" s="6"/>
      <c r="GI242" s="6"/>
      <c r="GJ242" s="6"/>
      <c r="GK242" s="6"/>
      <c r="GL242" s="6"/>
      <c r="GM242" s="6"/>
      <c r="GN242" s="6"/>
      <c r="GO242" s="6"/>
      <c r="GP242" s="6"/>
      <c r="GQ242" s="6"/>
      <c r="GR242" s="6"/>
      <c r="GS242" s="6"/>
      <c r="GT242" s="6"/>
      <c r="GU242" s="6"/>
      <c r="GV242" s="6"/>
      <c r="GW242" s="6"/>
      <c r="GX242" s="6"/>
      <c r="GY242" s="6"/>
      <c r="GZ242" s="6"/>
      <c r="HA242" s="6"/>
      <c r="HB242" s="6"/>
      <c r="HC242" s="6"/>
      <c r="HD242" s="6"/>
      <c r="HE242" s="6"/>
      <c r="HF242" s="6"/>
      <c r="HG242" s="6"/>
      <c r="HH242" s="6"/>
      <c r="HI242" s="6"/>
      <c r="HJ242" s="6"/>
      <c r="HK242" s="6"/>
      <c r="HL242" s="6"/>
      <c r="HM242" s="6"/>
      <c r="HN242" s="6"/>
      <c r="HO242" s="6"/>
      <c r="HP242" s="6"/>
      <c r="HQ242" s="6"/>
      <c r="HR242" s="6"/>
      <c r="HS242" s="6"/>
      <c r="HT242" s="6"/>
      <c r="HU242" s="6"/>
    </row>
    <row r="243" spans="5:229">
      <c r="E243" s="6"/>
      <c r="F243" s="84"/>
      <c r="G243" s="55"/>
      <c r="H243" s="6"/>
      <c r="I243" s="6"/>
      <c r="J243" s="6"/>
      <c r="K243" s="6"/>
      <c r="L243" s="88"/>
      <c r="M243" s="83"/>
      <c r="N243" s="89"/>
      <c r="O243" s="89"/>
      <c r="P243" s="89"/>
      <c r="Q243" s="89"/>
      <c r="R243" s="89"/>
      <c r="S243" s="6"/>
      <c r="T243" s="90"/>
      <c r="U243" s="84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  <c r="ER243" s="6"/>
      <c r="ES243" s="6"/>
      <c r="ET243" s="6"/>
      <c r="EU243" s="6"/>
      <c r="EV243" s="6"/>
      <c r="EW243" s="6"/>
      <c r="EX243" s="6"/>
      <c r="EY243" s="6"/>
      <c r="EZ243" s="6"/>
      <c r="FA243" s="6"/>
      <c r="FB243" s="6"/>
      <c r="FC243" s="6"/>
      <c r="FD243" s="6"/>
      <c r="FE243" s="6"/>
      <c r="FF243" s="6"/>
      <c r="FG243" s="6"/>
      <c r="FH243" s="6"/>
      <c r="FI243" s="6"/>
      <c r="FJ243" s="6"/>
      <c r="FK243" s="6"/>
      <c r="FL243" s="6"/>
      <c r="FM243" s="6"/>
      <c r="FN243" s="6"/>
      <c r="FO243" s="6"/>
      <c r="FP243" s="6"/>
      <c r="FQ243" s="6"/>
      <c r="FR243" s="6"/>
      <c r="FS243" s="6"/>
      <c r="FT243" s="6"/>
      <c r="FU243" s="6"/>
      <c r="FV243" s="6"/>
      <c r="FW243" s="6"/>
      <c r="FX243" s="6"/>
      <c r="FY243" s="6"/>
      <c r="FZ243" s="6"/>
      <c r="GA243" s="6"/>
      <c r="GB243" s="6"/>
      <c r="GC243" s="6"/>
      <c r="GD243" s="6"/>
      <c r="GE243" s="6"/>
      <c r="GF243" s="6"/>
      <c r="GG243" s="6"/>
      <c r="GH243" s="6"/>
      <c r="GI243" s="6"/>
      <c r="GJ243" s="6"/>
      <c r="GK243" s="6"/>
      <c r="GL243" s="6"/>
      <c r="GM243" s="6"/>
      <c r="GN243" s="6"/>
      <c r="GO243" s="6"/>
      <c r="GP243" s="6"/>
      <c r="GQ243" s="6"/>
      <c r="GR243" s="6"/>
      <c r="GS243" s="6"/>
      <c r="GT243" s="6"/>
      <c r="GU243" s="6"/>
      <c r="GV243" s="6"/>
      <c r="GW243" s="6"/>
      <c r="GX243" s="6"/>
      <c r="GY243" s="6"/>
      <c r="GZ243" s="6"/>
      <c r="HA243" s="6"/>
      <c r="HB243" s="6"/>
      <c r="HC243" s="6"/>
      <c r="HD243" s="6"/>
      <c r="HE243" s="6"/>
      <c r="HF243" s="6"/>
      <c r="HG243" s="6"/>
      <c r="HH243" s="6"/>
      <c r="HI243" s="6"/>
      <c r="HJ243" s="6"/>
      <c r="HK243" s="6"/>
      <c r="HL243" s="6"/>
      <c r="HM243" s="6"/>
      <c r="HN243" s="6"/>
      <c r="HO243" s="6"/>
      <c r="HP243" s="6"/>
      <c r="HQ243" s="6"/>
      <c r="HR243" s="6"/>
      <c r="HS243" s="6"/>
      <c r="HT243" s="6"/>
      <c r="HU243" s="6"/>
    </row>
    <row r="244" spans="5:229">
      <c r="E244" s="6"/>
      <c r="F244" s="6"/>
      <c r="G244" s="6"/>
      <c r="H244" s="6"/>
      <c r="I244" s="6"/>
      <c r="J244" s="6"/>
      <c r="K244" s="6"/>
      <c r="L244" s="88"/>
      <c r="M244" s="83"/>
      <c r="N244" s="89"/>
      <c r="O244" s="89"/>
      <c r="P244" s="89"/>
      <c r="Q244" s="89"/>
      <c r="R244" s="89"/>
      <c r="S244" s="6"/>
      <c r="T244" s="90"/>
      <c r="U244" s="84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  <c r="ER244" s="6"/>
      <c r="ES244" s="6"/>
      <c r="ET244" s="6"/>
      <c r="EU244" s="6"/>
      <c r="EV244" s="6"/>
      <c r="EW244" s="6"/>
      <c r="EX244" s="6"/>
      <c r="EY244" s="6"/>
      <c r="EZ244" s="6"/>
      <c r="FA244" s="6"/>
      <c r="FB244" s="6"/>
      <c r="FC244" s="6"/>
      <c r="FD244" s="6"/>
      <c r="FE244" s="6"/>
      <c r="FF244" s="6"/>
      <c r="FG244" s="6"/>
      <c r="FH244" s="6"/>
      <c r="FI244" s="6"/>
      <c r="FJ244" s="6"/>
      <c r="FK244" s="6"/>
      <c r="FL244" s="6"/>
      <c r="FM244" s="6"/>
      <c r="FN244" s="6"/>
      <c r="FO244" s="6"/>
      <c r="FP244" s="6"/>
      <c r="FQ244" s="6"/>
      <c r="FR244" s="6"/>
      <c r="FS244" s="6"/>
      <c r="FT244" s="6"/>
      <c r="FU244" s="6"/>
      <c r="FV244" s="6"/>
      <c r="FW244" s="6"/>
      <c r="FX244" s="6"/>
      <c r="FY244" s="6"/>
      <c r="FZ244" s="6"/>
      <c r="GA244" s="6"/>
      <c r="GB244" s="6"/>
      <c r="GC244" s="6"/>
      <c r="GD244" s="6"/>
      <c r="GE244" s="6"/>
      <c r="GF244" s="6"/>
      <c r="GG244" s="6"/>
      <c r="GH244" s="6"/>
      <c r="GI244" s="6"/>
      <c r="GJ244" s="6"/>
      <c r="GK244" s="6"/>
      <c r="GL244" s="6"/>
      <c r="GM244" s="6"/>
      <c r="GN244" s="6"/>
      <c r="GO244" s="6"/>
      <c r="GP244" s="6"/>
      <c r="GQ244" s="6"/>
      <c r="GR244" s="6"/>
      <c r="GS244" s="6"/>
      <c r="GT244" s="6"/>
      <c r="GU244" s="6"/>
      <c r="GV244" s="6"/>
      <c r="GW244" s="6"/>
      <c r="GX244" s="6"/>
      <c r="GY244" s="6"/>
      <c r="GZ244" s="6"/>
      <c r="HA244" s="6"/>
      <c r="HB244" s="6"/>
      <c r="HC244" s="6"/>
      <c r="HD244" s="6"/>
      <c r="HE244" s="6"/>
      <c r="HF244" s="6"/>
      <c r="HG244" s="6"/>
      <c r="HH244" s="6"/>
      <c r="HI244" s="6"/>
      <c r="HJ244" s="6"/>
      <c r="HK244" s="6"/>
      <c r="HL244" s="6"/>
      <c r="HM244" s="6"/>
      <c r="HN244" s="6"/>
      <c r="HO244" s="6"/>
      <c r="HP244" s="6"/>
      <c r="HQ244" s="6"/>
      <c r="HR244" s="6"/>
      <c r="HS244" s="6"/>
      <c r="HT244" s="6"/>
      <c r="HU244" s="6"/>
    </row>
    <row r="245" spans="5:229">
      <c r="E245" s="6"/>
      <c r="F245" s="6"/>
      <c r="G245" s="6"/>
      <c r="H245" s="6"/>
      <c r="I245" s="6"/>
      <c r="J245" s="6"/>
      <c r="K245" s="6"/>
      <c r="L245" s="88"/>
      <c r="M245" s="83"/>
      <c r="N245" s="89"/>
      <c r="O245" s="89"/>
      <c r="P245" s="89"/>
      <c r="Q245" s="89"/>
      <c r="R245" s="89"/>
      <c r="S245" s="6"/>
      <c r="T245" s="90"/>
      <c r="U245" s="84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  <c r="ER245" s="6"/>
      <c r="ES245" s="6"/>
      <c r="ET245" s="6"/>
      <c r="EU245" s="6"/>
      <c r="EV245" s="6"/>
      <c r="EW245" s="6"/>
      <c r="EX245" s="6"/>
      <c r="EY245" s="6"/>
      <c r="EZ245" s="6"/>
      <c r="FA245" s="6"/>
      <c r="FB245" s="6"/>
      <c r="FC245" s="6"/>
      <c r="FD245" s="6"/>
      <c r="FE245" s="6"/>
      <c r="FF245" s="6"/>
      <c r="FG245" s="6"/>
      <c r="FH245" s="6"/>
      <c r="FI245" s="6"/>
      <c r="FJ245" s="6"/>
      <c r="FK245" s="6"/>
      <c r="FL245" s="6"/>
      <c r="FM245" s="6"/>
      <c r="FN245" s="6"/>
      <c r="FO245" s="6"/>
      <c r="FP245" s="6"/>
      <c r="FQ245" s="6"/>
      <c r="FR245" s="6"/>
      <c r="FS245" s="6"/>
      <c r="FT245" s="6"/>
      <c r="FU245" s="6"/>
      <c r="FV245" s="6"/>
      <c r="FW245" s="6"/>
      <c r="FX245" s="6"/>
      <c r="FY245" s="6"/>
      <c r="FZ245" s="6"/>
      <c r="GA245" s="6"/>
      <c r="GB245" s="6"/>
      <c r="GC245" s="6"/>
      <c r="GD245" s="6"/>
      <c r="GE245" s="6"/>
      <c r="GF245" s="6"/>
      <c r="GG245" s="6"/>
      <c r="GH245" s="6"/>
      <c r="GI245" s="6"/>
      <c r="GJ245" s="6"/>
      <c r="GK245" s="6"/>
      <c r="GL245" s="6"/>
      <c r="GM245" s="6"/>
      <c r="GN245" s="6"/>
      <c r="GO245" s="6"/>
      <c r="GP245" s="6"/>
      <c r="GQ245" s="6"/>
      <c r="GR245" s="6"/>
      <c r="GS245" s="6"/>
      <c r="GT245" s="6"/>
      <c r="GU245" s="6"/>
      <c r="GV245" s="6"/>
      <c r="GW245" s="6"/>
      <c r="GX245" s="6"/>
      <c r="GY245" s="6"/>
      <c r="GZ245" s="6"/>
      <c r="HA245" s="6"/>
      <c r="HB245" s="6"/>
      <c r="HC245" s="6"/>
      <c r="HD245" s="6"/>
      <c r="HE245" s="6"/>
      <c r="HF245" s="6"/>
      <c r="HG245" s="6"/>
      <c r="HH245" s="6"/>
      <c r="HI245" s="6"/>
      <c r="HJ245" s="6"/>
      <c r="HK245" s="6"/>
      <c r="HL245" s="6"/>
      <c r="HM245" s="6"/>
      <c r="HN245" s="6"/>
      <c r="HO245" s="6"/>
      <c r="HP245" s="6"/>
      <c r="HQ245" s="6"/>
      <c r="HR245" s="6"/>
      <c r="HS245" s="6"/>
      <c r="HT245" s="6"/>
      <c r="HU245" s="6"/>
    </row>
    <row r="246" spans="5:229"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  <c r="ER246" s="6"/>
      <c r="ES246" s="6"/>
      <c r="ET246" s="6"/>
      <c r="EU246" s="6"/>
      <c r="EV246" s="6"/>
      <c r="EW246" s="6"/>
      <c r="EX246" s="6"/>
      <c r="EY246" s="6"/>
      <c r="EZ246" s="6"/>
      <c r="FA246" s="6"/>
      <c r="FB246" s="6"/>
      <c r="FC246" s="6"/>
      <c r="FD246" s="6"/>
      <c r="FE246" s="6"/>
      <c r="FF246" s="6"/>
      <c r="FG246" s="6"/>
      <c r="FH246" s="6"/>
      <c r="FI246" s="6"/>
      <c r="FJ246" s="6"/>
      <c r="FK246" s="6"/>
      <c r="FL246" s="6"/>
      <c r="FM246" s="6"/>
      <c r="FN246" s="6"/>
      <c r="FO246" s="6"/>
      <c r="FP246" s="6"/>
      <c r="FQ246" s="6"/>
      <c r="FR246" s="6"/>
      <c r="FS246" s="6"/>
      <c r="FT246" s="6"/>
      <c r="FU246" s="6"/>
      <c r="FV246" s="6"/>
      <c r="FW246" s="6"/>
      <c r="FX246" s="6"/>
      <c r="FY246" s="6"/>
      <c r="FZ246" s="6"/>
      <c r="GA246" s="6"/>
      <c r="GB246" s="6"/>
      <c r="GC246" s="6"/>
      <c r="GD246" s="6"/>
      <c r="GE246" s="6"/>
      <c r="GF246" s="6"/>
      <c r="GG246" s="6"/>
      <c r="GH246" s="6"/>
      <c r="GI246" s="6"/>
      <c r="GJ246" s="6"/>
      <c r="GK246" s="6"/>
      <c r="GL246" s="6"/>
      <c r="GM246" s="6"/>
      <c r="GN246" s="6"/>
      <c r="GO246" s="6"/>
      <c r="GP246" s="6"/>
      <c r="GQ246" s="6"/>
      <c r="GR246" s="6"/>
      <c r="GS246" s="6"/>
      <c r="GT246" s="6"/>
      <c r="GU246" s="6"/>
      <c r="GV246" s="6"/>
      <c r="GW246" s="6"/>
      <c r="GX246" s="6"/>
      <c r="GY246" s="6"/>
      <c r="GZ246" s="6"/>
      <c r="HA246" s="6"/>
      <c r="HB246" s="6"/>
      <c r="HC246" s="6"/>
      <c r="HD246" s="6"/>
      <c r="HE246" s="6"/>
      <c r="HF246" s="6"/>
      <c r="HG246" s="6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6"/>
    </row>
    <row r="247" spans="5:229"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  <c r="ER247" s="6"/>
      <c r="ES247" s="6"/>
      <c r="ET247" s="6"/>
      <c r="EU247" s="6"/>
      <c r="EV247" s="6"/>
      <c r="EW247" s="6"/>
      <c r="EX247" s="6"/>
      <c r="EY247" s="6"/>
      <c r="EZ247" s="6"/>
      <c r="FA247" s="6"/>
      <c r="FB247" s="6"/>
      <c r="FC247" s="6"/>
      <c r="FD247" s="6"/>
      <c r="FE247" s="6"/>
      <c r="FF247" s="6"/>
      <c r="FG247" s="6"/>
      <c r="FH247" s="6"/>
      <c r="FI247" s="6"/>
      <c r="FJ247" s="6"/>
      <c r="FK247" s="6"/>
      <c r="FL247" s="6"/>
      <c r="FM247" s="6"/>
      <c r="FN247" s="6"/>
      <c r="FO247" s="6"/>
      <c r="FP247" s="6"/>
      <c r="FQ247" s="6"/>
      <c r="FR247" s="6"/>
      <c r="FS247" s="6"/>
      <c r="FT247" s="6"/>
      <c r="FU247" s="6"/>
      <c r="FV247" s="6"/>
      <c r="FW247" s="6"/>
      <c r="FX247" s="6"/>
      <c r="FY247" s="6"/>
      <c r="FZ247" s="6"/>
      <c r="GA247" s="6"/>
      <c r="GB247" s="6"/>
      <c r="GC247" s="6"/>
      <c r="GD247" s="6"/>
      <c r="GE247" s="6"/>
      <c r="GF247" s="6"/>
      <c r="GG247" s="6"/>
      <c r="GH247" s="6"/>
      <c r="GI247" s="6"/>
      <c r="GJ247" s="6"/>
      <c r="GK247" s="6"/>
      <c r="GL247" s="6"/>
      <c r="GM247" s="6"/>
      <c r="GN247" s="6"/>
      <c r="GO247" s="6"/>
      <c r="GP247" s="6"/>
      <c r="GQ247" s="6"/>
      <c r="GR247" s="6"/>
      <c r="GS247" s="6"/>
      <c r="GT247" s="6"/>
      <c r="GU247" s="6"/>
      <c r="GV247" s="6"/>
      <c r="GW247" s="6"/>
      <c r="GX247" s="6"/>
      <c r="GY247" s="6"/>
      <c r="GZ247" s="6"/>
      <c r="HA247" s="6"/>
      <c r="HB247" s="6"/>
      <c r="HC247" s="6"/>
      <c r="HD247" s="6"/>
      <c r="HE247" s="6"/>
      <c r="HF247" s="6"/>
      <c r="HG247" s="6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6"/>
    </row>
    <row r="248" spans="5:229"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  <c r="ER248" s="6"/>
      <c r="ES248" s="6"/>
      <c r="ET248" s="6"/>
      <c r="EU248" s="6"/>
      <c r="EV248" s="6"/>
      <c r="EW248" s="6"/>
      <c r="EX248" s="6"/>
      <c r="EY248" s="6"/>
      <c r="EZ248" s="6"/>
      <c r="FA248" s="6"/>
      <c r="FB248" s="6"/>
      <c r="FC248" s="6"/>
      <c r="FD248" s="6"/>
      <c r="FE248" s="6"/>
      <c r="FF248" s="6"/>
      <c r="FG248" s="6"/>
      <c r="FH248" s="6"/>
      <c r="FI248" s="6"/>
      <c r="FJ248" s="6"/>
      <c r="FK248" s="6"/>
      <c r="FL248" s="6"/>
      <c r="FM248" s="6"/>
      <c r="FN248" s="6"/>
      <c r="FO248" s="6"/>
      <c r="FP248" s="6"/>
      <c r="FQ248" s="6"/>
      <c r="FR248" s="6"/>
      <c r="FS248" s="6"/>
      <c r="FT248" s="6"/>
      <c r="FU248" s="6"/>
      <c r="FV248" s="6"/>
      <c r="FW248" s="6"/>
      <c r="FX248" s="6"/>
      <c r="FY248" s="6"/>
      <c r="FZ248" s="6"/>
      <c r="GA248" s="6"/>
      <c r="GB248" s="6"/>
      <c r="GC248" s="6"/>
      <c r="GD248" s="6"/>
      <c r="GE248" s="6"/>
      <c r="GF248" s="6"/>
      <c r="GG248" s="6"/>
      <c r="GH248" s="6"/>
      <c r="GI248" s="6"/>
      <c r="GJ248" s="6"/>
      <c r="GK248" s="6"/>
      <c r="GL248" s="6"/>
      <c r="GM248" s="6"/>
      <c r="GN248" s="6"/>
      <c r="GO248" s="6"/>
      <c r="GP248" s="6"/>
      <c r="GQ248" s="6"/>
      <c r="GR248" s="6"/>
      <c r="GS248" s="6"/>
      <c r="GT248" s="6"/>
      <c r="GU248" s="6"/>
      <c r="GV248" s="6"/>
      <c r="GW248" s="6"/>
      <c r="GX248" s="6"/>
      <c r="GY248" s="6"/>
      <c r="GZ248" s="6"/>
      <c r="HA248" s="6"/>
      <c r="HB248" s="6"/>
      <c r="HC248" s="6"/>
      <c r="HD248" s="6"/>
      <c r="HE248" s="6"/>
      <c r="HF248" s="6"/>
      <c r="HG248" s="6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6"/>
    </row>
    <row r="249" spans="5:229"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  <c r="ER249" s="6"/>
      <c r="ES249" s="6"/>
      <c r="ET249" s="6"/>
      <c r="EU249" s="6"/>
      <c r="EV249" s="6"/>
      <c r="EW249" s="6"/>
      <c r="EX249" s="6"/>
      <c r="EY249" s="6"/>
      <c r="EZ249" s="6"/>
      <c r="FA249" s="6"/>
      <c r="FB249" s="6"/>
      <c r="FC249" s="6"/>
      <c r="FD249" s="6"/>
      <c r="FE249" s="6"/>
      <c r="FF249" s="6"/>
      <c r="FG249" s="6"/>
      <c r="FH249" s="6"/>
      <c r="FI249" s="6"/>
      <c r="FJ249" s="6"/>
      <c r="FK249" s="6"/>
      <c r="FL249" s="6"/>
      <c r="FM249" s="6"/>
      <c r="FN249" s="6"/>
      <c r="FO249" s="6"/>
      <c r="FP249" s="6"/>
      <c r="FQ249" s="6"/>
      <c r="FR249" s="6"/>
      <c r="FS249" s="6"/>
      <c r="FT249" s="6"/>
      <c r="FU249" s="6"/>
      <c r="FV249" s="6"/>
      <c r="FW249" s="6"/>
      <c r="FX249" s="6"/>
      <c r="FY249" s="6"/>
      <c r="FZ249" s="6"/>
      <c r="GA249" s="6"/>
      <c r="GB249" s="6"/>
      <c r="GC249" s="6"/>
      <c r="GD249" s="6"/>
      <c r="GE249" s="6"/>
      <c r="GF249" s="6"/>
      <c r="GG249" s="6"/>
      <c r="GH249" s="6"/>
      <c r="GI249" s="6"/>
      <c r="GJ249" s="6"/>
      <c r="GK249" s="6"/>
      <c r="GL249" s="6"/>
      <c r="GM249" s="6"/>
      <c r="GN249" s="6"/>
      <c r="GO249" s="6"/>
      <c r="GP249" s="6"/>
      <c r="GQ249" s="6"/>
      <c r="GR249" s="6"/>
      <c r="GS249" s="6"/>
      <c r="GT249" s="6"/>
      <c r="GU249" s="6"/>
      <c r="GV249" s="6"/>
      <c r="GW249" s="6"/>
      <c r="GX249" s="6"/>
      <c r="GY249" s="6"/>
      <c r="GZ249" s="6"/>
      <c r="HA249" s="6"/>
      <c r="HB249" s="6"/>
      <c r="HC249" s="6"/>
      <c r="HD249" s="6"/>
      <c r="HE249" s="6"/>
      <c r="HF249" s="6"/>
      <c r="HG249" s="6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6"/>
    </row>
    <row r="250" spans="5:229"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  <c r="ER250" s="6"/>
      <c r="ES250" s="6"/>
      <c r="ET250" s="6"/>
      <c r="EU250" s="6"/>
      <c r="EV250" s="6"/>
      <c r="EW250" s="6"/>
      <c r="EX250" s="6"/>
      <c r="EY250" s="6"/>
      <c r="EZ250" s="6"/>
      <c r="FA250" s="6"/>
      <c r="FB250" s="6"/>
      <c r="FC250" s="6"/>
      <c r="FD250" s="6"/>
      <c r="FE250" s="6"/>
      <c r="FF250" s="6"/>
      <c r="FG250" s="6"/>
      <c r="FH250" s="6"/>
      <c r="FI250" s="6"/>
      <c r="FJ250" s="6"/>
      <c r="FK250" s="6"/>
      <c r="FL250" s="6"/>
      <c r="FM250" s="6"/>
      <c r="FN250" s="6"/>
      <c r="FO250" s="6"/>
      <c r="FP250" s="6"/>
      <c r="FQ250" s="6"/>
      <c r="FR250" s="6"/>
      <c r="FS250" s="6"/>
      <c r="FT250" s="6"/>
      <c r="FU250" s="6"/>
      <c r="FV250" s="6"/>
      <c r="FW250" s="6"/>
      <c r="FX250" s="6"/>
      <c r="FY250" s="6"/>
      <c r="FZ250" s="6"/>
      <c r="GA250" s="6"/>
      <c r="GB250" s="6"/>
      <c r="GC250" s="6"/>
      <c r="GD250" s="6"/>
      <c r="GE250" s="6"/>
      <c r="GF250" s="6"/>
      <c r="GG250" s="6"/>
      <c r="GH250" s="6"/>
      <c r="GI250" s="6"/>
      <c r="GJ250" s="6"/>
      <c r="GK250" s="6"/>
      <c r="GL250" s="6"/>
      <c r="GM250" s="6"/>
      <c r="GN250" s="6"/>
      <c r="GO250" s="6"/>
      <c r="GP250" s="6"/>
      <c r="GQ250" s="6"/>
      <c r="GR250" s="6"/>
      <c r="GS250" s="6"/>
      <c r="GT250" s="6"/>
      <c r="GU250" s="6"/>
      <c r="GV250" s="6"/>
      <c r="GW250" s="6"/>
      <c r="GX250" s="6"/>
      <c r="GY250" s="6"/>
      <c r="GZ250" s="6"/>
      <c r="HA250" s="6"/>
      <c r="HB250" s="6"/>
      <c r="HC250" s="6"/>
      <c r="HD250" s="6"/>
      <c r="HE250" s="6"/>
      <c r="HF250" s="6"/>
      <c r="HG250" s="6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6"/>
    </row>
    <row r="251" spans="5:229"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  <c r="ER251" s="6"/>
      <c r="ES251" s="6"/>
      <c r="ET251" s="6"/>
      <c r="EU251" s="6"/>
      <c r="EV251" s="6"/>
      <c r="EW251" s="6"/>
      <c r="EX251" s="6"/>
      <c r="EY251" s="6"/>
      <c r="EZ251" s="6"/>
      <c r="FA251" s="6"/>
      <c r="FB251" s="6"/>
      <c r="FC251" s="6"/>
      <c r="FD251" s="6"/>
      <c r="FE251" s="6"/>
      <c r="FF251" s="6"/>
      <c r="FG251" s="6"/>
      <c r="FH251" s="6"/>
      <c r="FI251" s="6"/>
      <c r="FJ251" s="6"/>
      <c r="FK251" s="6"/>
      <c r="FL251" s="6"/>
      <c r="FM251" s="6"/>
      <c r="FN251" s="6"/>
      <c r="FO251" s="6"/>
      <c r="FP251" s="6"/>
      <c r="FQ251" s="6"/>
      <c r="FR251" s="6"/>
      <c r="FS251" s="6"/>
      <c r="FT251" s="6"/>
      <c r="FU251" s="6"/>
      <c r="FV251" s="6"/>
      <c r="FW251" s="6"/>
      <c r="FX251" s="6"/>
      <c r="FY251" s="6"/>
      <c r="FZ251" s="6"/>
      <c r="GA251" s="6"/>
      <c r="GB251" s="6"/>
      <c r="GC251" s="6"/>
      <c r="GD251" s="6"/>
      <c r="GE251" s="6"/>
      <c r="GF251" s="6"/>
      <c r="GG251" s="6"/>
      <c r="GH251" s="6"/>
      <c r="GI251" s="6"/>
      <c r="GJ251" s="6"/>
      <c r="GK251" s="6"/>
      <c r="GL251" s="6"/>
      <c r="GM251" s="6"/>
      <c r="GN251" s="6"/>
      <c r="GO251" s="6"/>
      <c r="GP251" s="6"/>
      <c r="GQ251" s="6"/>
      <c r="GR251" s="6"/>
      <c r="GS251" s="6"/>
      <c r="GT251" s="6"/>
      <c r="GU251" s="6"/>
      <c r="GV251" s="6"/>
      <c r="GW251" s="6"/>
      <c r="GX251" s="6"/>
      <c r="GY251" s="6"/>
      <c r="GZ251" s="6"/>
      <c r="HA251" s="6"/>
      <c r="HB251" s="6"/>
      <c r="HC251" s="6"/>
      <c r="HD251" s="6"/>
      <c r="HE251" s="6"/>
      <c r="HF251" s="6"/>
      <c r="HG251" s="6"/>
      <c r="HH251" s="6"/>
      <c r="HI251" s="6"/>
      <c r="HJ251" s="6"/>
      <c r="HK251" s="6"/>
      <c r="HL251" s="6"/>
      <c r="HM251" s="6"/>
      <c r="HN251" s="6"/>
      <c r="HO251" s="6"/>
      <c r="HP251" s="6"/>
      <c r="HQ251" s="6"/>
      <c r="HR251" s="6"/>
      <c r="HS251" s="6"/>
      <c r="HT251" s="6"/>
      <c r="HU251" s="6"/>
    </row>
    <row r="252" spans="5:229"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  <c r="ER252" s="6"/>
      <c r="ES252" s="6"/>
      <c r="ET252" s="6"/>
      <c r="EU252" s="6"/>
      <c r="EV252" s="6"/>
      <c r="EW252" s="6"/>
      <c r="EX252" s="6"/>
      <c r="EY252" s="6"/>
      <c r="EZ252" s="6"/>
      <c r="FA252" s="6"/>
      <c r="FB252" s="6"/>
      <c r="FC252" s="6"/>
      <c r="FD252" s="6"/>
      <c r="FE252" s="6"/>
      <c r="FF252" s="6"/>
      <c r="FG252" s="6"/>
      <c r="FH252" s="6"/>
      <c r="FI252" s="6"/>
      <c r="FJ252" s="6"/>
      <c r="FK252" s="6"/>
      <c r="FL252" s="6"/>
      <c r="FM252" s="6"/>
      <c r="FN252" s="6"/>
      <c r="FO252" s="6"/>
      <c r="FP252" s="6"/>
      <c r="FQ252" s="6"/>
      <c r="FR252" s="6"/>
      <c r="FS252" s="6"/>
      <c r="FT252" s="6"/>
      <c r="FU252" s="6"/>
      <c r="FV252" s="6"/>
      <c r="FW252" s="6"/>
      <c r="FX252" s="6"/>
      <c r="FY252" s="6"/>
      <c r="FZ252" s="6"/>
      <c r="GA252" s="6"/>
      <c r="GB252" s="6"/>
      <c r="GC252" s="6"/>
      <c r="GD252" s="6"/>
      <c r="GE252" s="6"/>
      <c r="GF252" s="6"/>
      <c r="GG252" s="6"/>
      <c r="GH252" s="6"/>
      <c r="GI252" s="6"/>
      <c r="GJ252" s="6"/>
      <c r="GK252" s="6"/>
      <c r="GL252" s="6"/>
      <c r="GM252" s="6"/>
      <c r="GN252" s="6"/>
      <c r="GO252" s="6"/>
      <c r="GP252" s="6"/>
      <c r="GQ252" s="6"/>
      <c r="GR252" s="6"/>
      <c r="GS252" s="6"/>
      <c r="GT252" s="6"/>
      <c r="GU252" s="6"/>
      <c r="GV252" s="6"/>
      <c r="GW252" s="6"/>
      <c r="GX252" s="6"/>
      <c r="GY252" s="6"/>
      <c r="GZ252" s="6"/>
      <c r="HA252" s="6"/>
      <c r="HB252" s="6"/>
      <c r="HC252" s="6"/>
      <c r="HD252" s="6"/>
      <c r="HE252" s="6"/>
      <c r="HF252" s="6"/>
      <c r="HG252" s="6"/>
      <c r="HH252" s="6"/>
      <c r="HI252" s="6"/>
      <c r="HJ252" s="6"/>
      <c r="HK252" s="6"/>
      <c r="HL252" s="6"/>
      <c r="HM252" s="6"/>
      <c r="HN252" s="6"/>
      <c r="HO252" s="6"/>
      <c r="HP252" s="6"/>
      <c r="HQ252" s="6"/>
      <c r="HR252" s="6"/>
      <c r="HS252" s="6"/>
      <c r="HT252" s="6"/>
      <c r="HU252" s="6"/>
    </row>
    <row r="253" spans="5:229"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  <c r="ER253" s="6"/>
      <c r="ES253" s="6"/>
      <c r="ET253" s="6"/>
      <c r="EU253" s="6"/>
      <c r="EV253" s="6"/>
      <c r="EW253" s="6"/>
      <c r="EX253" s="6"/>
      <c r="EY253" s="6"/>
      <c r="EZ253" s="6"/>
      <c r="FA253" s="6"/>
      <c r="FB253" s="6"/>
      <c r="FC253" s="6"/>
      <c r="FD253" s="6"/>
      <c r="FE253" s="6"/>
      <c r="FF253" s="6"/>
      <c r="FG253" s="6"/>
      <c r="FH253" s="6"/>
      <c r="FI253" s="6"/>
      <c r="FJ253" s="6"/>
      <c r="FK253" s="6"/>
      <c r="FL253" s="6"/>
      <c r="FM253" s="6"/>
      <c r="FN253" s="6"/>
      <c r="FO253" s="6"/>
      <c r="FP253" s="6"/>
      <c r="FQ253" s="6"/>
      <c r="FR253" s="6"/>
      <c r="FS253" s="6"/>
      <c r="FT253" s="6"/>
      <c r="FU253" s="6"/>
      <c r="FV253" s="6"/>
      <c r="FW253" s="6"/>
      <c r="FX253" s="6"/>
      <c r="FY253" s="6"/>
      <c r="FZ253" s="6"/>
      <c r="GA253" s="6"/>
      <c r="GB253" s="6"/>
      <c r="GC253" s="6"/>
      <c r="GD253" s="6"/>
      <c r="GE253" s="6"/>
      <c r="GF253" s="6"/>
      <c r="GG253" s="6"/>
      <c r="GH253" s="6"/>
      <c r="GI253" s="6"/>
      <c r="GJ253" s="6"/>
      <c r="GK253" s="6"/>
      <c r="GL253" s="6"/>
      <c r="GM253" s="6"/>
      <c r="GN253" s="6"/>
      <c r="GO253" s="6"/>
      <c r="GP253" s="6"/>
      <c r="GQ253" s="6"/>
      <c r="GR253" s="6"/>
      <c r="GS253" s="6"/>
      <c r="GT253" s="6"/>
      <c r="GU253" s="6"/>
      <c r="GV253" s="6"/>
      <c r="GW253" s="6"/>
      <c r="GX253" s="6"/>
      <c r="GY253" s="6"/>
      <c r="GZ253" s="6"/>
      <c r="HA253" s="6"/>
      <c r="HB253" s="6"/>
      <c r="HC253" s="6"/>
      <c r="HD253" s="6"/>
      <c r="HE253" s="6"/>
      <c r="HF253" s="6"/>
      <c r="HG253" s="6"/>
      <c r="HH253" s="6"/>
      <c r="HI253" s="6"/>
      <c r="HJ253" s="6"/>
      <c r="HK253" s="6"/>
      <c r="HL253" s="6"/>
      <c r="HM253" s="6"/>
      <c r="HN253" s="6"/>
      <c r="HO253" s="6"/>
      <c r="HP253" s="6"/>
      <c r="HQ253" s="6"/>
      <c r="HR253" s="6"/>
      <c r="HS253" s="6"/>
      <c r="HT253" s="6"/>
      <c r="HU253" s="6"/>
    </row>
    <row r="254" spans="5:229"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  <c r="ER254" s="6"/>
      <c r="ES254" s="6"/>
      <c r="ET254" s="6"/>
      <c r="EU254" s="6"/>
      <c r="EV254" s="6"/>
      <c r="EW254" s="6"/>
      <c r="EX254" s="6"/>
      <c r="EY254" s="6"/>
      <c r="EZ254" s="6"/>
      <c r="FA254" s="6"/>
      <c r="FB254" s="6"/>
      <c r="FC254" s="6"/>
      <c r="FD254" s="6"/>
      <c r="FE254" s="6"/>
      <c r="FF254" s="6"/>
      <c r="FG254" s="6"/>
      <c r="FH254" s="6"/>
      <c r="FI254" s="6"/>
      <c r="FJ254" s="6"/>
      <c r="FK254" s="6"/>
      <c r="FL254" s="6"/>
      <c r="FM254" s="6"/>
      <c r="FN254" s="6"/>
      <c r="FO254" s="6"/>
      <c r="FP254" s="6"/>
      <c r="FQ254" s="6"/>
      <c r="FR254" s="6"/>
      <c r="FS254" s="6"/>
      <c r="FT254" s="6"/>
      <c r="FU254" s="6"/>
      <c r="FV254" s="6"/>
      <c r="FW254" s="6"/>
      <c r="FX254" s="6"/>
      <c r="FY254" s="6"/>
      <c r="FZ254" s="6"/>
      <c r="GA254" s="6"/>
      <c r="GB254" s="6"/>
      <c r="GC254" s="6"/>
      <c r="GD254" s="6"/>
      <c r="GE254" s="6"/>
      <c r="GF254" s="6"/>
      <c r="GG254" s="6"/>
      <c r="GH254" s="6"/>
      <c r="GI254" s="6"/>
      <c r="GJ254" s="6"/>
      <c r="GK254" s="6"/>
      <c r="GL254" s="6"/>
      <c r="GM254" s="6"/>
      <c r="GN254" s="6"/>
      <c r="GO254" s="6"/>
      <c r="GP254" s="6"/>
      <c r="GQ254" s="6"/>
      <c r="GR254" s="6"/>
      <c r="GS254" s="6"/>
      <c r="GT254" s="6"/>
      <c r="GU254" s="6"/>
      <c r="GV254" s="6"/>
      <c r="GW254" s="6"/>
      <c r="GX254" s="6"/>
      <c r="GY254" s="6"/>
      <c r="GZ254" s="6"/>
      <c r="HA254" s="6"/>
      <c r="HB254" s="6"/>
      <c r="HC254" s="6"/>
      <c r="HD254" s="6"/>
      <c r="HE254" s="6"/>
      <c r="HF254" s="6"/>
      <c r="HG254" s="6"/>
      <c r="HH254" s="6"/>
      <c r="HI254" s="6"/>
      <c r="HJ254" s="6"/>
      <c r="HK254" s="6"/>
      <c r="HL254" s="6"/>
      <c r="HM254" s="6"/>
      <c r="HN254" s="6"/>
      <c r="HO254" s="6"/>
      <c r="HP254" s="6"/>
      <c r="HQ254" s="6"/>
      <c r="HR254" s="6"/>
      <c r="HS254" s="6"/>
      <c r="HT254" s="6"/>
      <c r="HU254" s="6"/>
    </row>
    <row r="255" spans="5:229"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  <c r="ER255" s="6"/>
      <c r="ES255" s="6"/>
      <c r="ET255" s="6"/>
      <c r="EU255" s="6"/>
      <c r="EV255" s="6"/>
      <c r="EW255" s="6"/>
      <c r="EX255" s="6"/>
      <c r="EY255" s="6"/>
      <c r="EZ255" s="6"/>
      <c r="FA255" s="6"/>
      <c r="FB255" s="6"/>
      <c r="FC255" s="6"/>
      <c r="FD255" s="6"/>
      <c r="FE255" s="6"/>
      <c r="FF255" s="6"/>
      <c r="FG255" s="6"/>
      <c r="FH255" s="6"/>
      <c r="FI255" s="6"/>
      <c r="FJ255" s="6"/>
      <c r="FK255" s="6"/>
      <c r="FL255" s="6"/>
      <c r="FM255" s="6"/>
      <c r="FN255" s="6"/>
      <c r="FO255" s="6"/>
      <c r="FP255" s="6"/>
      <c r="FQ255" s="6"/>
      <c r="FR255" s="6"/>
      <c r="FS255" s="6"/>
      <c r="FT255" s="6"/>
      <c r="FU255" s="6"/>
      <c r="FV255" s="6"/>
      <c r="FW255" s="6"/>
      <c r="FX255" s="6"/>
      <c r="FY255" s="6"/>
      <c r="FZ255" s="6"/>
      <c r="GA255" s="6"/>
      <c r="GB255" s="6"/>
      <c r="GC255" s="6"/>
      <c r="GD255" s="6"/>
      <c r="GE255" s="6"/>
      <c r="GF255" s="6"/>
      <c r="GG255" s="6"/>
      <c r="GH255" s="6"/>
      <c r="GI255" s="6"/>
      <c r="GJ255" s="6"/>
      <c r="GK255" s="6"/>
      <c r="GL255" s="6"/>
      <c r="GM255" s="6"/>
      <c r="GN255" s="6"/>
      <c r="GO255" s="6"/>
      <c r="GP255" s="6"/>
      <c r="GQ255" s="6"/>
      <c r="GR255" s="6"/>
      <c r="GS255" s="6"/>
      <c r="GT255" s="6"/>
      <c r="GU255" s="6"/>
      <c r="GV255" s="6"/>
      <c r="GW255" s="6"/>
      <c r="GX255" s="6"/>
      <c r="GY255" s="6"/>
      <c r="GZ255" s="6"/>
      <c r="HA255" s="6"/>
      <c r="HB255" s="6"/>
      <c r="HC255" s="6"/>
      <c r="HD255" s="6"/>
      <c r="HE255" s="6"/>
      <c r="HF255" s="6"/>
      <c r="HG255" s="6"/>
      <c r="HH255" s="6"/>
      <c r="HI255" s="6"/>
      <c r="HJ255" s="6"/>
      <c r="HK255" s="6"/>
      <c r="HL255" s="6"/>
      <c r="HM255" s="6"/>
      <c r="HN255" s="6"/>
      <c r="HO255" s="6"/>
      <c r="HP255" s="6"/>
      <c r="HQ255" s="6"/>
      <c r="HR255" s="6"/>
      <c r="HS255" s="6"/>
      <c r="HT255" s="6"/>
      <c r="HU255" s="6"/>
    </row>
    <row r="256" spans="5:229"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  <c r="ER256" s="6"/>
      <c r="ES256" s="6"/>
      <c r="ET256" s="6"/>
      <c r="EU256" s="6"/>
      <c r="EV256" s="6"/>
      <c r="EW256" s="6"/>
      <c r="EX256" s="6"/>
      <c r="EY256" s="6"/>
      <c r="EZ256" s="6"/>
      <c r="FA256" s="6"/>
      <c r="FB256" s="6"/>
      <c r="FC256" s="6"/>
      <c r="FD256" s="6"/>
      <c r="FE256" s="6"/>
      <c r="FF256" s="6"/>
      <c r="FG256" s="6"/>
      <c r="FH256" s="6"/>
      <c r="FI256" s="6"/>
      <c r="FJ256" s="6"/>
      <c r="FK256" s="6"/>
      <c r="FL256" s="6"/>
      <c r="FM256" s="6"/>
      <c r="FN256" s="6"/>
      <c r="FO256" s="6"/>
      <c r="FP256" s="6"/>
      <c r="FQ256" s="6"/>
      <c r="FR256" s="6"/>
      <c r="FS256" s="6"/>
      <c r="FT256" s="6"/>
      <c r="FU256" s="6"/>
      <c r="FV256" s="6"/>
      <c r="FW256" s="6"/>
      <c r="FX256" s="6"/>
      <c r="FY256" s="6"/>
      <c r="FZ256" s="6"/>
      <c r="GA256" s="6"/>
      <c r="GB256" s="6"/>
      <c r="GC256" s="6"/>
      <c r="GD256" s="6"/>
      <c r="GE256" s="6"/>
      <c r="GF256" s="6"/>
      <c r="GG256" s="6"/>
      <c r="GH256" s="6"/>
      <c r="GI256" s="6"/>
      <c r="GJ256" s="6"/>
      <c r="GK256" s="6"/>
      <c r="GL256" s="6"/>
      <c r="GM256" s="6"/>
      <c r="GN256" s="6"/>
      <c r="GO256" s="6"/>
      <c r="GP256" s="6"/>
      <c r="GQ256" s="6"/>
      <c r="GR256" s="6"/>
      <c r="GS256" s="6"/>
      <c r="GT256" s="6"/>
      <c r="GU256" s="6"/>
      <c r="GV256" s="6"/>
      <c r="GW256" s="6"/>
      <c r="GX256" s="6"/>
      <c r="GY256" s="6"/>
      <c r="GZ256" s="6"/>
      <c r="HA256" s="6"/>
      <c r="HB256" s="6"/>
      <c r="HC256" s="6"/>
      <c r="HD256" s="6"/>
      <c r="HE256" s="6"/>
      <c r="HF256" s="6"/>
      <c r="HG256" s="6"/>
      <c r="HH256" s="6"/>
      <c r="HI256" s="6"/>
      <c r="HJ256" s="6"/>
      <c r="HK256" s="6"/>
      <c r="HL256" s="6"/>
      <c r="HM256" s="6"/>
      <c r="HN256" s="6"/>
      <c r="HO256" s="6"/>
      <c r="HP256" s="6"/>
      <c r="HQ256" s="6"/>
      <c r="HR256" s="6"/>
      <c r="HS256" s="6"/>
      <c r="HT256" s="6"/>
      <c r="HU256" s="6"/>
    </row>
    <row r="257" spans="9:229"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  <c r="ER257" s="6"/>
      <c r="ES257" s="6"/>
      <c r="ET257" s="6"/>
      <c r="EU257" s="6"/>
      <c r="EV257" s="6"/>
      <c r="EW257" s="6"/>
      <c r="EX257" s="6"/>
      <c r="EY257" s="6"/>
      <c r="EZ257" s="6"/>
      <c r="FA257" s="6"/>
      <c r="FB257" s="6"/>
      <c r="FC257" s="6"/>
      <c r="FD257" s="6"/>
      <c r="FE257" s="6"/>
      <c r="FF257" s="6"/>
      <c r="FG257" s="6"/>
      <c r="FH257" s="6"/>
      <c r="FI257" s="6"/>
      <c r="FJ257" s="6"/>
      <c r="FK257" s="6"/>
      <c r="FL257" s="6"/>
      <c r="FM257" s="6"/>
      <c r="FN257" s="6"/>
      <c r="FO257" s="6"/>
      <c r="FP257" s="6"/>
      <c r="FQ257" s="6"/>
      <c r="FR257" s="6"/>
      <c r="FS257" s="6"/>
      <c r="FT257" s="6"/>
      <c r="FU257" s="6"/>
      <c r="FV257" s="6"/>
      <c r="FW257" s="6"/>
      <c r="FX257" s="6"/>
      <c r="FY257" s="6"/>
      <c r="FZ257" s="6"/>
      <c r="GA257" s="6"/>
      <c r="GB257" s="6"/>
      <c r="GC257" s="6"/>
      <c r="GD257" s="6"/>
      <c r="GE257" s="6"/>
      <c r="GF257" s="6"/>
      <c r="GG257" s="6"/>
      <c r="GH257" s="6"/>
      <c r="GI257" s="6"/>
      <c r="GJ257" s="6"/>
      <c r="GK257" s="6"/>
      <c r="GL257" s="6"/>
      <c r="GM257" s="6"/>
      <c r="GN257" s="6"/>
      <c r="GO257" s="6"/>
      <c r="GP257" s="6"/>
      <c r="GQ257" s="6"/>
      <c r="GR257" s="6"/>
      <c r="GS257" s="6"/>
      <c r="GT257" s="6"/>
      <c r="GU257" s="6"/>
      <c r="GV257" s="6"/>
      <c r="GW257" s="6"/>
      <c r="GX257" s="6"/>
      <c r="GY257" s="6"/>
      <c r="GZ257" s="6"/>
      <c r="HA257" s="6"/>
      <c r="HB257" s="6"/>
      <c r="HC257" s="6"/>
      <c r="HD257" s="6"/>
      <c r="HE257" s="6"/>
      <c r="HF257" s="6"/>
      <c r="HG257" s="6"/>
      <c r="HH257" s="6"/>
      <c r="HI257" s="6"/>
      <c r="HJ257" s="6"/>
      <c r="HK257" s="6"/>
      <c r="HL257" s="6"/>
      <c r="HM257" s="6"/>
      <c r="HN257" s="6"/>
      <c r="HO257" s="6"/>
      <c r="HP257" s="6"/>
      <c r="HQ257" s="6"/>
      <c r="HR257" s="6"/>
      <c r="HS257" s="6"/>
      <c r="HT257" s="6"/>
      <c r="HU257" s="6"/>
    </row>
    <row r="258" spans="9:229"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  <c r="ER258" s="6"/>
      <c r="ES258" s="6"/>
      <c r="ET258" s="6"/>
      <c r="EU258" s="6"/>
      <c r="EV258" s="6"/>
      <c r="EW258" s="6"/>
      <c r="EX258" s="6"/>
      <c r="EY258" s="6"/>
      <c r="EZ258" s="6"/>
      <c r="FA258" s="6"/>
      <c r="FB258" s="6"/>
      <c r="FC258" s="6"/>
      <c r="FD258" s="6"/>
      <c r="FE258" s="6"/>
      <c r="FF258" s="6"/>
      <c r="FG258" s="6"/>
      <c r="FH258" s="6"/>
      <c r="FI258" s="6"/>
      <c r="FJ258" s="6"/>
      <c r="FK258" s="6"/>
      <c r="FL258" s="6"/>
      <c r="FM258" s="6"/>
      <c r="FN258" s="6"/>
      <c r="FO258" s="6"/>
      <c r="FP258" s="6"/>
      <c r="FQ258" s="6"/>
      <c r="FR258" s="6"/>
      <c r="FS258" s="6"/>
      <c r="FT258" s="6"/>
      <c r="FU258" s="6"/>
      <c r="FV258" s="6"/>
      <c r="FW258" s="6"/>
      <c r="FX258" s="6"/>
      <c r="FY258" s="6"/>
      <c r="FZ258" s="6"/>
      <c r="GA258" s="6"/>
      <c r="GB258" s="6"/>
      <c r="GC258" s="6"/>
      <c r="GD258" s="6"/>
      <c r="GE258" s="6"/>
      <c r="GF258" s="6"/>
      <c r="GG258" s="6"/>
      <c r="GH258" s="6"/>
      <c r="GI258" s="6"/>
      <c r="GJ258" s="6"/>
      <c r="GK258" s="6"/>
      <c r="GL258" s="6"/>
      <c r="GM258" s="6"/>
      <c r="GN258" s="6"/>
      <c r="GO258" s="6"/>
      <c r="GP258" s="6"/>
      <c r="GQ258" s="6"/>
      <c r="GR258" s="6"/>
      <c r="GS258" s="6"/>
      <c r="GT258" s="6"/>
      <c r="GU258" s="6"/>
      <c r="GV258" s="6"/>
      <c r="GW258" s="6"/>
      <c r="GX258" s="6"/>
      <c r="GY258" s="6"/>
      <c r="GZ258" s="6"/>
      <c r="HA258" s="6"/>
      <c r="HB258" s="6"/>
      <c r="HC258" s="6"/>
      <c r="HD258" s="6"/>
      <c r="HE258" s="6"/>
      <c r="HF258" s="6"/>
      <c r="HG258" s="6"/>
      <c r="HH258" s="6"/>
      <c r="HI258" s="6"/>
      <c r="HJ258" s="6"/>
      <c r="HK258" s="6"/>
      <c r="HL258" s="6"/>
      <c r="HM258" s="6"/>
      <c r="HN258" s="6"/>
      <c r="HO258" s="6"/>
      <c r="HP258" s="6"/>
      <c r="HQ258" s="6"/>
      <c r="HR258" s="6"/>
      <c r="HS258" s="6"/>
      <c r="HT258" s="6"/>
      <c r="HU258" s="6"/>
    </row>
    <row r="259" spans="9:229"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  <c r="ER259" s="6"/>
      <c r="ES259" s="6"/>
      <c r="ET259" s="6"/>
      <c r="EU259" s="6"/>
      <c r="EV259" s="6"/>
      <c r="EW259" s="6"/>
      <c r="EX259" s="6"/>
      <c r="EY259" s="6"/>
      <c r="EZ259" s="6"/>
      <c r="FA259" s="6"/>
      <c r="FB259" s="6"/>
      <c r="FC259" s="6"/>
      <c r="FD259" s="6"/>
      <c r="FE259" s="6"/>
      <c r="FF259" s="6"/>
      <c r="FG259" s="6"/>
      <c r="FH259" s="6"/>
      <c r="FI259" s="6"/>
      <c r="FJ259" s="6"/>
      <c r="FK259" s="6"/>
      <c r="FL259" s="6"/>
      <c r="FM259" s="6"/>
      <c r="FN259" s="6"/>
      <c r="FO259" s="6"/>
      <c r="FP259" s="6"/>
      <c r="FQ259" s="6"/>
      <c r="FR259" s="6"/>
      <c r="FS259" s="6"/>
      <c r="FT259" s="6"/>
      <c r="FU259" s="6"/>
      <c r="FV259" s="6"/>
      <c r="FW259" s="6"/>
      <c r="FX259" s="6"/>
      <c r="FY259" s="6"/>
      <c r="FZ259" s="6"/>
      <c r="GA259" s="6"/>
      <c r="GB259" s="6"/>
      <c r="GC259" s="6"/>
      <c r="GD259" s="6"/>
      <c r="GE259" s="6"/>
      <c r="GF259" s="6"/>
      <c r="GG259" s="6"/>
      <c r="GH259" s="6"/>
      <c r="GI259" s="6"/>
      <c r="GJ259" s="6"/>
      <c r="GK259" s="6"/>
      <c r="GL259" s="6"/>
      <c r="GM259" s="6"/>
      <c r="GN259" s="6"/>
      <c r="GO259" s="6"/>
      <c r="GP259" s="6"/>
      <c r="GQ259" s="6"/>
      <c r="GR259" s="6"/>
      <c r="GS259" s="6"/>
      <c r="GT259" s="6"/>
      <c r="GU259" s="6"/>
      <c r="GV259" s="6"/>
      <c r="GW259" s="6"/>
      <c r="GX259" s="6"/>
      <c r="GY259" s="6"/>
      <c r="GZ259" s="6"/>
      <c r="HA259" s="6"/>
      <c r="HB259" s="6"/>
      <c r="HC259" s="6"/>
      <c r="HD259" s="6"/>
      <c r="HE259" s="6"/>
      <c r="HF259" s="6"/>
      <c r="HG259" s="6"/>
      <c r="HH259" s="6"/>
      <c r="HI259" s="6"/>
      <c r="HJ259" s="6"/>
      <c r="HK259" s="6"/>
      <c r="HL259" s="6"/>
      <c r="HM259" s="6"/>
      <c r="HN259" s="6"/>
      <c r="HO259" s="6"/>
      <c r="HP259" s="6"/>
      <c r="HQ259" s="6"/>
      <c r="HR259" s="6"/>
      <c r="HS259" s="6"/>
      <c r="HT259" s="6"/>
      <c r="HU259" s="6"/>
    </row>
    <row r="260" spans="9:229"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  <c r="ER260" s="6"/>
      <c r="ES260" s="6"/>
      <c r="ET260" s="6"/>
      <c r="EU260" s="6"/>
      <c r="EV260" s="6"/>
      <c r="EW260" s="6"/>
      <c r="EX260" s="6"/>
      <c r="EY260" s="6"/>
      <c r="EZ260" s="6"/>
      <c r="FA260" s="6"/>
      <c r="FB260" s="6"/>
      <c r="FC260" s="6"/>
      <c r="FD260" s="6"/>
      <c r="FE260" s="6"/>
      <c r="FF260" s="6"/>
      <c r="FG260" s="6"/>
      <c r="FH260" s="6"/>
      <c r="FI260" s="6"/>
      <c r="FJ260" s="6"/>
      <c r="FK260" s="6"/>
      <c r="FL260" s="6"/>
      <c r="FM260" s="6"/>
      <c r="FN260" s="6"/>
      <c r="FO260" s="6"/>
      <c r="FP260" s="6"/>
      <c r="FQ260" s="6"/>
      <c r="FR260" s="6"/>
      <c r="FS260" s="6"/>
      <c r="FT260" s="6"/>
      <c r="FU260" s="6"/>
      <c r="FV260" s="6"/>
      <c r="FW260" s="6"/>
      <c r="FX260" s="6"/>
      <c r="FY260" s="6"/>
      <c r="FZ260" s="6"/>
      <c r="GA260" s="6"/>
      <c r="GB260" s="6"/>
      <c r="GC260" s="6"/>
      <c r="GD260" s="6"/>
      <c r="GE260" s="6"/>
      <c r="GF260" s="6"/>
      <c r="GG260" s="6"/>
      <c r="GH260" s="6"/>
      <c r="GI260" s="6"/>
      <c r="GJ260" s="6"/>
      <c r="GK260" s="6"/>
      <c r="GL260" s="6"/>
      <c r="GM260" s="6"/>
      <c r="GN260" s="6"/>
      <c r="GO260" s="6"/>
      <c r="GP260" s="6"/>
      <c r="GQ260" s="6"/>
      <c r="GR260" s="6"/>
      <c r="GS260" s="6"/>
      <c r="GT260" s="6"/>
      <c r="GU260" s="6"/>
      <c r="GV260" s="6"/>
      <c r="GW260" s="6"/>
      <c r="GX260" s="6"/>
      <c r="GY260" s="6"/>
      <c r="GZ260" s="6"/>
      <c r="HA260" s="6"/>
      <c r="HB260" s="6"/>
      <c r="HC260" s="6"/>
      <c r="HD260" s="6"/>
      <c r="HE260" s="6"/>
      <c r="HF260" s="6"/>
      <c r="HG260" s="6"/>
      <c r="HH260" s="6"/>
      <c r="HI260" s="6"/>
      <c r="HJ260" s="6"/>
      <c r="HK260" s="6"/>
      <c r="HL260" s="6"/>
      <c r="HM260" s="6"/>
      <c r="HN260" s="6"/>
      <c r="HO260" s="6"/>
      <c r="HP260" s="6"/>
      <c r="HQ260" s="6"/>
      <c r="HR260" s="6"/>
      <c r="HS260" s="6"/>
      <c r="HT260" s="6"/>
      <c r="HU260" s="6"/>
    </row>
    <row r="261" spans="9:229"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  <c r="ER261" s="6"/>
      <c r="ES261" s="6"/>
      <c r="ET261" s="6"/>
      <c r="EU261" s="6"/>
      <c r="EV261" s="6"/>
      <c r="EW261" s="6"/>
      <c r="EX261" s="6"/>
      <c r="EY261" s="6"/>
      <c r="EZ261" s="6"/>
      <c r="FA261" s="6"/>
      <c r="FB261" s="6"/>
      <c r="FC261" s="6"/>
      <c r="FD261" s="6"/>
      <c r="FE261" s="6"/>
      <c r="FF261" s="6"/>
      <c r="FG261" s="6"/>
      <c r="FH261" s="6"/>
      <c r="FI261" s="6"/>
      <c r="FJ261" s="6"/>
      <c r="FK261" s="6"/>
      <c r="FL261" s="6"/>
      <c r="FM261" s="6"/>
      <c r="FN261" s="6"/>
      <c r="FO261" s="6"/>
      <c r="FP261" s="6"/>
      <c r="FQ261" s="6"/>
      <c r="FR261" s="6"/>
      <c r="FS261" s="6"/>
      <c r="FT261" s="6"/>
      <c r="FU261" s="6"/>
      <c r="FV261" s="6"/>
      <c r="FW261" s="6"/>
      <c r="FX261" s="6"/>
      <c r="FY261" s="6"/>
      <c r="FZ261" s="6"/>
      <c r="GA261" s="6"/>
      <c r="GB261" s="6"/>
      <c r="GC261" s="6"/>
      <c r="GD261" s="6"/>
      <c r="GE261" s="6"/>
      <c r="GF261" s="6"/>
      <c r="GG261" s="6"/>
      <c r="GH261" s="6"/>
      <c r="GI261" s="6"/>
      <c r="GJ261" s="6"/>
      <c r="GK261" s="6"/>
      <c r="GL261" s="6"/>
      <c r="GM261" s="6"/>
      <c r="GN261" s="6"/>
      <c r="GO261" s="6"/>
      <c r="GP261" s="6"/>
      <c r="GQ261" s="6"/>
      <c r="GR261" s="6"/>
      <c r="GS261" s="6"/>
      <c r="GT261" s="6"/>
      <c r="GU261" s="6"/>
      <c r="GV261" s="6"/>
      <c r="GW261" s="6"/>
      <c r="GX261" s="6"/>
      <c r="GY261" s="6"/>
      <c r="GZ261" s="6"/>
      <c r="HA261" s="6"/>
      <c r="HB261" s="6"/>
      <c r="HC261" s="6"/>
      <c r="HD261" s="6"/>
      <c r="HE261" s="6"/>
      <c r="HF261" s="6"/>
      <c r="HG261" s="6"/>
      <c r="HH261" s="6"/>
      <c r="HI261" s="6"/>
      <c r="HJ261" s="6"/>
      <c r="HK261" s="6"/>
      <c r="HL261" s="6"/>
      <c r="HM261" s="6"/>
      <c r="HN261" s="6"/>
      <c r="HO261" s="6"/>
      <c r="HP261" s="6"/>
      <c r="HQ261" s="6"/>
      <c r="HR261" s="6"/>
      <c r="HS261" s="6"/>
      <c r="HT261" s="6"/>
      <c r="HU261" s="6"/>
    </row>
    <row r="262" spans="9:229"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  <c r="ER262" s="6"/>
      <c r="ES262" s="6"/>
      <c r="ET262" s="6"/>
      <c r="EU262" s="6"/>
      <c r="EV262" s="6"/>
      <c r="EW262" s="6"/>
      <c r="EX262" s="6"/>
      <c r="EY262" s="6"/>
      <c r="EZ262" s="6"/>
      <c r="FA262" s="6"/>
      <c r="FB262" s="6"/>
      <c r="FC262" s="6"/>
      <c r="FD262" s="6"/>
      <c r="FE262" s="6"/>
      <c r="FF262" s="6"/>
      <c r="FG262" s="6"/>
      <c r="FH262" s="6"/>
      <c r="FI262" s="6"/>
      <c r="FJ262" s="6"/>
      <c r="FK262" s="6"/>
      <c r="FL262" s="6"/>
      <c r="FM262" s="6"/>
      <c r="FN262" s="6"/>
      <c r="FO262" s="6"/>
      <c r="FP262" s="6"/>
      <c r="FQ262" s="6"/>
      <c r="FR262" s="6"/>
      <c r="FS262" s="6"/>
      <c r="FT262" s="6"/>
      <c r="FU262" s="6"/>
      <c r="FV262" s="6"/>
      <c r="FW262" s="6"/>
      <c r="FX262" s="6"/>
      <c r="FY262" s="6"/>
      <c r="FZ262" s="6"/>
      <c r="GA262" s="6"/>
      <c r="GB262" s="6"/>
      <c r="GC262" s="6"/>
      <c r="GD262" s="6"/>
      <c r="GE262" s="6"/>
      <c r="GF262" s="6"/>
      <c r="GG262" s="6"/>
      <c r="GH262" s="6"/>
      <c r="GI262" s="6"/>
      <c r="GJ262" s="6"/>
      <c r="GK262" s="6"/>
      <c r="GL262" s="6"/>
      <c r="GM262" s="6"/>
      <c r="GN262" s="6"/>
      <c r="GO262" s="6"/>
      <c r="GP262" s="6"/>
      <c r="GQ262" s="6"/>
      <c r="GR262" s="6"/>
      <c r="GS262" s="6"/>
      <c r="GT262" s="6"/>
      <c r="GU262" s="6"/>
      <c r="GV262" s="6"/>
      <c r="GW262" s="6"/>
      <c r="GX262" s="6"/>
      <c r="GY262" s="6"/>
      <c r="GZ262" s="6"/>
      <c r="HA262" s="6"/>
      <c r="HB262" s="6"/>
      <c r="HC262" s="6"/>
      <c r="HD262" s="6"/>
      <c r="HE262" s="6"/>
      <c r="HF262" s="6"/>
      <c r="HG262" s="6"/>
      <c r="HH262" s="6"/>
      <c r="HI262" s="6"/>
      <c r="HJ262" s="6"/>
      <c r="HK262" s="6"/>
      <c r="HL262" s="6"/>
      <c r="HM262" s="6"/>
      <c r="HN262" s="6"/>
      <c r="HO262" s="6"/>
      <c r="HP262" s="6"/>
      <c r="HQ262" s="6"/>
      <c r="HR262" s="6"/>
      <c r="HS262" s="6"/>
      <c r="HT262" s="6"/>
      <c r="HU262" s="6"/>
    </row>
    <row r="263" spans="9:229"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  <c r="ER263" s="6"/>
      <c r="ES263" s="6"/>
      <c r="ET263" s="6"/>
      <c r="EU263" s="6"/>
      <c r="EV263" s="6"/>
      <c r="EW263" s="6"/>
      <c r="EX263" s="6"/>
      <c r="EY263" s="6"/>
      <c r="EZ263" s="6"/>
      <c r="FA263" s="6"/>
      <c r="FB263" s="6"/>
      <c r="FC263" s="6"/>
      <c r="FD263" s="6"/>
      <c r="FE263" s="6"/>
      <c r="FF263" s="6"/>
      <c r="FG263" s="6"/>
      <c r="FH263" s="6"/>
      <c r="FI263" s="6"/>
      <c r="FJ263" s="6"/>
      <c r="FK263" s="6"/>
      <c r="FL263" s="6"/>
      <c r="FM263" s="6"/>
      <c r="FN263" s="6"/>
      <c r="FO263" s="6"/>
      <c r="FP263" s="6"/>
      <c r="FQ263" s="6"/>
      <c r="FR263" s="6"/>
      <c r="FS263" s="6"/>
      <c r="FT263" s="6"/>
      <c r="FU263" s="6"/>
      <c r="FV263" s="6"/>
      <c r="FW263" s="6"/>
      <c r="FX263" s="6"/>
      <c r="FY263" s="6"/>
      <c r="FZ263" s="6"/>
      <c r="GA263" s="6"/>
      <c r="GB263" s="6"/>
      <c r="GC263" s="6"/>
      <c r="GD263" s="6"/>
      <c r="GE263" s="6"/>
      <c r="GF263" s="6"/>
      <c r="GG263" s="6"/>
      <c r="GH263" s="6"/>
      <c r="GI263" s="6"/>
      <c r="GJ263" s="6"/>
      <c r="GK263" s="6"/>
      <c r="GL263" s="6"/>
      <c r="GM263" s="6"/>
      <c r="GN263" s="6"/>
      <c r="GO263" s="6"/>
      <c r="GP263" s="6"/>
      <c r="GQ263" s="6"/>
      <c r="GR263" s="6"/>
      <c r="GS263" s="6"/>
      <c r="GT263" s="6"/>
      <c r="GU263" s="6"/>
      <c r="GV263" s="6"/>
      <c r="GW263" s="6"/>
      <c r="GX263" s="6"/>
      <c r="GY263" s="6"/>
      <c r="GZ263" s="6"/>
      <c r="HA263" s="6"/>
      <c r="HB263" s="6"/>
      <c r="HC263" s="6"/>
      <c r="HD263" s="6"/>
      <c r="HE263" s="6"/>
      <c r="HF263" s="6"/>
      <c r="HG263" s="6"/>
      <c r="HH263" s="6"/>
      <c r="HI263" s="6"/>
      <c r="HJ263" s="6"/>
      <c r="HK263" s="6"/>
      <c r="HL263" s="6"/>
      <c r="HM263" s="6"/>
      <c r="HN263" s="6"/>
      <c r="HO263" s="6"/>
      <c r="HP263" s="6"/>
      <c r="HQ263" s="6"/>
      <c r="HR263" s="6"/>
      <c r="HS263" s="6"/>
      <c r="HT263" s="6"/>
      <c r="HU263" s="6"/>
    </row>
    <row r="264" spans="9:229"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  <c r="ER264" s="6"/>
      <c r="ES264" s="6"/>
      <c r="ET264" s="6"/>
      <c r="EU264" s="6"/>
      <c r="EV264" s="6"/>
      <c r="EW264" s="6"/>
      <c r="EX264" s="6"/>
      <c r="EY264" s="6"/>
      <c r="EZ264" s="6"/>
      <c r="FA264" s="6"/>
      <c r="FB264" s="6"/>
      <c r="FC264" s="6"/>
      <c r="FD264" s="6"/>
      <c r="FE264" s="6"/>
      <c r="FF264" s="6"/>
      <c r="FG264" s="6"/>
      <c r="FH264" s="6"/>
      <c r="FI264" s="6"/>
      <c r="FJ264" s="6"/>
      <c r="FK264" s="6"/>
      <c r="FL264" s="6"/>
      <c r="FM264" s="6"/>
      <c r="FN264" s="6"/>
      <c r="FO264" s="6"/>
      <c r="FP264" s="6"/>
      <c r="FQ264" s="6"/>
      <c r="FR264" s="6"/>
      <c r="FS264" s="6"/>
      <c r="FT264" s="6"/>
      <c r="FU264" s="6"/>
      <c r="FV264" s="6"/>
      <c r="FW264" s="6"/>
      <c r="FX264" s="6"/>
      <c r="FY264" s="6"/>
      <c r="FZ264" s="6"/>
      <c r="GA264" s="6"/>
      <c r="GB264" s="6"/>
      <c r="GC264" s="6"/>
      <c r="GD264" s="6"/>
      <c r="GE264" s="6"/>
      <c r="GF264" s="6"/>
      <c r="GG264" s="6"/>
      <c r="GH264" s="6"/>
      <c r="GI264" s="6"/>
      <c r="GJ264" s="6"/>
      <c r="GK264" s="6"/>
      <c r="GL264" s="6"/>
      <c r="GM264" s="6"/>
      <c r="GN264" s="6"/>
      <c r="GO264" s="6"/>
      <c r="GP264" s="6"/>
      <c r="GQ264" s="6"/>
      <c r="GR264" s="6"/>
      <c r="GS264" s="6"/>
      <c r="GT264" s="6"/>
      <c r="GU264" s="6"/>
      <c r="GV264" s="6"/>
      <c r="GW264" s="6"/>
      <c r="GX264" s="6"/>
      <c r="GY264" s="6"/>
      <c r="GZ264" s="6"/>
      <c r="HA264" s="6"/>
      <c r="HB264" s="6"/>
      <c r="HC264" s="6"/>
      <c r="HD264" s="6"/>
      <c r="HE264" s="6"/>
      <c r="HF264" s="6"/>
      <c r="HG264" s="6"/>
      <c r="HH264" s="6"/>
      <c r="HI264" s="6"/>
      <c r="HJ264" s="6"/>
      <c r="HK264" s="6"/>
      <c r="HL264" s="6"/>
      <c r="HM264" s="6"/>
      <c r="HN264" s="6"/>
      <c r="HO264" s="6"/>
      <c r="HP264" s="6"/>
      <c r="HQ264" s="6"/>
      <c r="HR264" s="6"/>
      <c r="HS264" s="6"/>
      <c r="HT264" s="6"/>
      <c r="HU264" s="6"/>
    </row>
    <row r="265" spans="9:229"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  <c r="ER265" s="6"/>
      <c r="ES265" s="6"/>
      <c r="ET265" s="6"/>
      <c r="EU265" s="6"/>
      <c r="EV265" s="6"/>
      <c r="EW265" s="6"/>
      <c r="EX265" s="6"/>
      <c r="EY265" s="6"/>
      <c r="EZ265" s="6"/>
      <c r="FA265" s="6"/>
      <c r="FB265" s="6"/>
      <c r="FC265" s="6"/>
      <c r="FD265" s="6"/>
      <c r="FE265" s="6"/>
      <c r="FF265" s="6"/>
      <c r="FG265" s="6"/>
      <c r="FH265" s="6"/>
      <c r="FI265" s="6"/>
      <c r="FJ265" s="6"/>
      <c r="FK265" s="6"/>
      <c r="FL265" s="6"/>
      <c r="FM265" s="6"/>
      <c r="FN265" s="6"/>
      <c r="FO265" s="6"/>
      <c r="FP265" s="6"/>
      <c r="FQ265" s="6"/>
      <c r="FR265" s="6"/>
      <c r="FS265" s="6"/>
      <c r="FT265" s="6"/>
      <c r="FU265" s="6"/>
      <c r="FV265" s="6"/>
      <c r="FW265" s="6"/>
      <c r="FX265" s="6"/>
      <c r="FY265" s="6"/>
      <c r="FZ265" s="6"/>
      <c r="GA265" s="6"/>
      <c r="GB265" s="6"/>
      <c r="GC265" s="6"/>
      <c r="GD265" s="6"/>
      <c r="GE265" s="6"/>
      <c r="GF265" s="6"/>
      <c r="GG265" s="6"/>
      <c r="GH265" s="6"/>
      <c r="GI265" s="6"/>
      <c r="GJ265" s="6"/>
      <c r="GK265" s="6"/>
      <c r="GL265" s="6"/>
      <c r="GM265" s="6"/>
      <c r="GN265" s="6"/>
      <c r="GO265" s="6"/>
      <c r="GP265" s="6"/>
      <c r="GQ265" s="6"/>
      <c r="GR265" s="6"/>
      <c r="GS265" s="6"/>
      <c r="GT265" s="6"/>
      <c r="GU265" s="6"/>
      <c r="GV265" s="6"/>
      <c r="GW265" s="6"/>
      <c r="GX265" s="6"/>
      <c r="GY265" s="6"/>
      <c r="GZ265" s="6"/>
      <c r="HA265" s="6"/>
      <c r="HB265" s="6"/>
      <c r="HC265" s="6"/>
      <c r="HD265" s="6"/>
      <c r="HE265" s="6"/>
      <c r="HF265" s="6"/>
      <c r="HG265" s="6"/>
      <c r="HH265" s="6"/>
      <c r="HI265" s="6"/>
      <c r="HJ265" s="6"/>
      <c r="HK265" s="6"/>
      <c r="HL265" s="6"/>
      <c r="HM265" s="6"/>
      <c r="HN265" s="6"/>
      <c r="HO265" s="6"/>
      <c r="HP265" s="6"/>
      <c r="HQ265" s="6"/>
      <c r="HR265" s="6"/>
      <c r="HS265" s="6"/>
      <c r="HT265" s="6"/>
      <c r="HU265" s="6"/>
    </row>
    <row r="266" spans="9:229"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  <c r="ER266" s="6"/>
      <c r="ES266" s="6"/>
      <c r="ET266" s="6"/>
      <c r="EU266" s="6"/>
      <c r="EV266" s="6"/>
      <c r="EW266" s="6"/>
      <c r="EX266" s="6"/>
      <c r="EY266" s="6"/>
      <c r="EZ266" s="6"/>
      <c r="FA266" s="6"/>
      <c r="FB266" s="6"/>
      <c r="FC266" s="6"/>
      <c r="FD266" s="6"/>
      <c r="FE266" s="6"/>
      <c r="FF266" s="6"/>
      <c r="FG266" s="6"/>
      <c r="FH266" s="6"/>
      <c r="FI266" s="6"/>
      <c r="FJ266" s="6"/>
      <c r="FK266" s="6"/>
      <c r="FL266" s="6"/>
      <c r="FM266" s="6"/>
      <c r="FN266" s="6"/>
      <c r="FO266" s="6"/>
      <c r="FP266" s="6"/>
      <c r="FQ266" s="6"/>
      <c r="FR266" s="6"/>
      <c r="FS266" s="6"/>
      <c r="FT266" s="6"/>
      <c r="FU266" s="6"/>
      <c r="FV266" s="6"/>
      <c r="FW266" s="6"/>
      <c r="FX266" s="6"/>
      <c r="FY266" s="6"/>
      <c r="FZ266" s="6"/>
      <c r="GA266" s="6"/>
      <c r="GB266" s="6"/>
      <c r="GC266" s="6"/>
      <c r="GD266" s="6"/>
      <c r="GE266" s="6"/>
      <c r="GF266" s="6"/>
      <c r="GG266" s="6"/>
      <c r="GH266" s="6"/>
      <c r="GI266" s="6"/>
      <c r="GJ266" s="6"/>
      <c r="GK266" s="6"/>
      <c r="GL266" s="6"/>
      <c r="GM266" s="6"/>
      <c r="GN266" s="6"/>
      <c r="GO266" s="6"/>
      <c r="GP266" s="6"/>
      <c r="GQ266" s="6"/>
      <c r="GR266" s="6"/>
      <c r="GS266" s="6"/>
      <c r="GT266" s="6"/>
      <c r="GU266" s="6"/>
      <c r="GV266" s="6"/>
      <c r="GW266" s="6"/>
      <c r="GX266" s="6"/>
      <c r="GY266" s="6"/>
      <c r="GZ266" s="6"/>
      <c r="HA266" s="6"/>
      <c r="HB266" s="6"/>
      <c r="HC266" s="6"/>
      <c r="HD266" s="6"/>
      <c r="HE266" s="6"/>
      <c r="HF266" s="6"/>
      <c r="HG266" s="6"/>
      <c r="HH266" s="6"/>
      <c r="HI266" s="6"/>
      <c r="HJ266" s="6"/>
      <c r="HK266" s="6"/>
      <c r="HL266" s="6"/>
      <c r="HM266" s="6"/>
      <c r="HN266" s="6"/>
      <c r="HO266" s="6"/>
      <c r="HP266" s="6"/>
      <c r="HQ266" s="6"/>
      <c r="HR266" s="6"/>
      <c r="HS266" s="6"/>
      <c r="HT266" s="6"/>
      <c r="HU266" s="6"/>
    </row>
    <row r="267" spans="9:229"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  <c r="ER267" s="6"/>
      <c r="ES267" s="6"/>
      <c r="ET267" s="6"/>
      <c r="EU267" s="6"/>
      <c r="EV267" s="6"/>
      <c r="EW267" s="6"/>
      <c r="EX267" s="6"/>
      <c r="EY267" s="6"/>
      <c r="EZ267" s="6"/>
      <c r="FA267" s="6"/>
      <c r="FB267" s="6"/>
      <c r="FC267" s="6"/>
      <c r="FD267" s="6"/>
      <c r="FE267" s="6"/>
      <c r="FF267" s="6"/>
      <c r="FG267" s="6"/>
      <c r="FH267" s="6"/>
      <c r="FI267" s="6"/>
      <c r="FJ267" s="6"/>
      <c r="FK267" s="6"/>
      <c r="FL267" s="6"/>
      <c r="FM267" s="6"/>
      <c r="FN267" s="6"/>
      <c r="FO267" s="6"/>
      <c r="FP267" s="6"/>
      <c r="FQ267" s="6"/>
      <c r="FR267" s="6"/>
      <c r="FS267" s="6"/>
      <c r="FT267" s="6"/>
      <c r="FU267" s="6"/>
      <c r="FV267" s="6"/>
      <c r="FW267" s="6"/>
      <c r="FX267" s="6"/>
      <c r="FY267" s="6"/>
      <c r="FZ267" s="6"/>
      <c r="GA267" s="6"/>
      <c r="GB267" s="6"/>
      <c r="GC267" s="6"/>
      <c r="GD267" s="6"/>
      <c r="GE267" s="6"/>
      <c r="GF267" s="6"/>
      <c r="GG267" s="6"/>
      <c r="GH267" s="6"/>
      <c r="GI267" s="6"/>
      <c r="GJ267" s="6"/>
      <c r="GK267" s="6"/>
      <c r="GL267" s="6"/>
      <c r="GM267" s="6"/>
      <c r="GN267" s="6"/>
      <c r="GO267" s="6"/>
      <c r="GP267" s="6"/>
      <c r="GQ267" s="6"/>
      <c r="GR267" s="6"/>
      <c r="GS267" s="6"/>
      <c r="GT267" s="6"/>
      <c r="GU267" s="6"/>
      <c r="GV267" s="6"/>
      <c r="GW267" s="6"/>
      <c r="GX267" s="6"/>
      <c r="GY267" s="6"/>
      <c r="GZ267" s="6"/>
      <c r="HA267" s="6"/>
      <c r="HB267" s="6"/>
      <c r="HC267" s="6"/>
      <c r="HD267" s="6"/>
      <c r="HE267" s="6"/>
      <c r="HF267" s="6"/>
      <c r="HG267" s="6"/>
      <c r="HH267" s="6"/>
      <c r="HI267" s="6"/>
      <c r="HJ267" s="6"/>
      <c r="HK267" s="6"/>
      <c r="HL267" s="6"/>
      <c r="HM267" s="6"/>
      <c r="HN267" s="6"/>
      <c r="HO267" s="6"/>
      <c r="HP267" s="6"/>
      <c r="HQ267" s="6"/>
      <c r="HR267" s="6"/>
      <c r="HS267" s="6"/>
      <c r="HT267" s="6"/>
      <c r="HU267" s="6"/>
    </row>
    <row r="268" spans="9:229"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  <c r="ER268" s="6"/>
      <c r="ES268" s="6"/>
      <c r="ET268" s="6"/>
      <c r="EU268" s="6"/>
      <c r="EV268" s="6"/>
      <c r="EW268" s="6"/>
      <c r="EX268" s="6"/>
      <c r="EY268" s="6"/>
      <c r="EZ268" s="6"/>
      <c r="FA268" s="6"/>
      <c r="FB268" s="6"/>
      <c r="FC268" s="6"/>
      <c r="FD268" s="6"/>
      <c r="FE268" s="6"/>
      <c r="FF268" s="6"/>
      <c r="FG268" s="6"/>
      <c r="FH268" s="6"/>
      <c r="FI268" s="6"/>
      <c r="FJ268" s="6"/>
      <c r="FK268" s="6"/>
      <c r="FL268" s="6"/>
      <c r="FM268" s="6"/>
      <c r="FN268" s="6"/>
      <c r="FO268" s="6"/>
      <c r="FP268" s="6"/>
      <c r="FQ268" s="6"/>
      <c r="FR268" s="6"/>
      <c r="FS268" s="6"/>
      <c r="FT268" s="6"/>
      <c r="FU268" s="6"/>
      <c r="FV268" s="6"/>
      <c r="FW268" s="6"/>
      <c r="FX268" s="6"/>
      <c r="FY268" s="6"/>
      <c r="FZ268" s="6"/>
      <c r="GA268" s="6"/>
      <c r="GB268" s="6"/>
      <c r="GC268" s="6"/>
      <c r="GD268" s="6"/>
      <c r="GE268" s="6"/>
      <c r="GF268" s="6"/>
      <c r="GG268" s="6"/>
      <c r="GH268" s="6"/>
      <c r="GI268" s="6"/>
      <c r="GJ268" s="6"/>
      <c r="GK268" s="6"/>
      <c r="GL268" s="6"/>
      <c r="GM268" s="6"/>
      <c r="GN268" s="6"/>
      <c r="GO268" s="6"/>
      <c r="GP268" s="6"/>
      <c r="GQ268" s="6"/>
      <c r="GR268" s="6"/>
      <c r="GS268" s="6"/>
      <c r="GT268" s="6"/>
      <c r="GU268" s="6"/>
      <c r="GV268" s="6"/>
      <c r="GW268" s="6"/>
      <c r="GX268" s="6"/>
      <c r="GY268" s="6"/>
      <c r="GZ268" s="6"/>
      <c r="HA268" s="6"/>
      <c r="HB268" s="6"/>
      <c r="HC268" s="6"/>
      <c r="HD268" s="6"/>
      <c r="HE268" s="6"/>
      <c r="HF268" s="6"/>
      <c r="HG268" s="6"/>
      <c r="HH268" s="6"/>
      <c r="HI268" s="6"/>
      <c r="HJ268" s="6"/>
      <c r="HK268" s="6"/>
      <c r="HL268" s="6"/>
      <c r="HM268" s="6"/>
      <c r="HN268" s="6"/>
      <c r="HO268" s="6"/>
      <c r="HP268" s="6"/>
      <c r="HQ268" s="6"/>
      <c r="HR268" s="6"/>
      <c r="HS268" s="6"/>
      <c r="HT268" s="6"/>
      <c r="HU268" s="6"/>
    </row>
    <row r="269" spans="9:229"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  <c r="ER269" s="6"/>
      <c r="ES269" s="6"/>
      <c r="ET269" s="6"/>
      <c r="EU269" s="6"/>
      <c r="EV269" s="6"/>
      <c r="EW269" s="6"/>
      <c r="EX269" s="6"/>
      <c r="EY269" s="6"/>
      <c r="EZ269" s="6"/>
      <c r="FA269" s="6"/>
      <c r="FB269" s="6"/>
      <c r="FC269" s="6"/>
      <c r="FD269" s="6"/>
      <c r="FE269" s="6"/>
      <c r="FF269" s="6"/>
      <c r="FG269" s="6"/>
      <c r="FH269" s="6"/>
      <c r="FI269" s="6"/>
      <c r="FJ269" s="6"/>
      <c r="FK269" s="6"/>
      <c r="FL269" s="6"/>
      <c r="FM269" s="6"/>
      <c r="FN269" s="6"/>
      <c r="FO269" s="6"/>
      <c r="FP269" s="6"/>
      <c r="FQ269" s="6"/>
      <c r="FR269" s="6"/>
      <c r="FS269" s="6"/>
      <c r="FT269" s="6"/>
      <c r="FU269" s="6"/>
      <c r="FV269" s="6"/>
      <c r="FW269" s="6"/>
      <c r="FX269" s="6"/>
      <c r="FY269" s="6"/>
      <c r="FZ269" s="6"/>
      <c r="GA269" s="6"/>
      <c r="GB269" s="6"/>
      <c r="GC269" s="6"/>
      <c r="GD269" s="6"/>
      <c r="GE269" s="6"/>
      <c r="GF269" s="6"/>
      <c r="GG269" s="6"/>
      <c r="GH269" s="6"/>
      <c r="GI269" s="6"/>
      <c r="GJ269" s="6"/>
      <c r="GK269" s="6"/>
      <c r="GL269" s="6"/>
      <c r="GM269" s="6"/>
      <c r="GN269" s="6"/>
      <c r="GO269" s="6"/>
      <c r="GP269" s="6"/>
      <c r="GQ269" s="6"/>
      <c r="GR269" s="6"/>
      <c r="GS269" s="6"/>
      <c r="GT269" s="6"/>
      <c r="GU269" s="6"/>
      <c r="GV269" s="6"/>
      <c r="GW269" s="6"/>
      <c r="GX269" s="6"/>
      <c r="GY269" s="6"/>
      <c r="GZ269" s="6"/>
      <c r="HA269" s="6"/>
      <c r="HB269" s="6"/>
      <c r="HC269" s="6"/>
      <c r="HD269" s="6"/>
      <c r="HE269" s="6"/>
      <c r="HF269" s="6"/>
      <c r="HG269" s="6"/>
      <c r="HH269" s="6"/>
      <c r="HI269" s="6"/>
      <c r="HJ269" s="6"/>
      <c r="HK269" s="6"/>
      <c r="HL269" s="6"/>
      <c r="HM269" s="6"/>
      <c r="HN269" s="6"/>
      <c r="HO269" s="6"/>
      <c r="HP269" s="6"/>
      <c r="HQ269" s="6"/>
      <c r="HR269" s="6"/>
      <c r="HS269" s="6"/>
      <c r="HT269" s="6"/>
      <c r="HU269" s="6"/>
    </row>
    <row r="270" spans="9:229"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  <c r="ER270" s="6"/>
      <c r="ES270" s="6"/>
      <c r="ET270" s="6"/>
      <c r="EU270" s="6"/>
      <c r="EV270" s="6"/>
      <c r="EW270" s="6"/>
      <c r="EX270" s="6"/>
      <c r="EY270" s="6"/>
      <c r="EZ270" s="6"/>
      <c r="FA270" s="6"/>
      <c r="FB270" s="6"/>
      <c r="FC270" s="6"/>
      <c r="FD270" s="6"/>
      <c r="FE270" s="6"/>
      <c r="FF270" s="6"/>
      <c r="FG270" s="6"/>
      <c r="FH270" s="6"/>
      <c r="FI270" s="6"/>
      <c r="FJ270" s="6"/>
      <c r="FK270" s="6"/>
      <c r="FL270" s="6"/>
      <c r="FM270" s="6"/>
      <c r="FN270" s="6"/>
      <c r="FO270" s="6"/>
      <c r="FP270" s="6"/>
      <c r="FQ270" s="6"/>
      <c r="FR270" s="6"/>
      <c r="FS270" s="6"/>
      <c r="FT270" s="6"/>
      <c r="FU270" s="6"/>
      <c r="FV270" s="6"/>
      <c r="FW270" s="6"/>
      <c r="FX270" s="6"/>
      <c r="FY270" s="6"/>
      <c r="FZ270" s="6"/>
      <c r="GA270" s="6"/>
      <c r="GB270" s="6"/>
      <c r="GC270" s="6"/>
      <c r="GD270" s="6"/>
      <c r="GE270" s="6"/>
      <c r="GF270" s="6"/>
      <c r="GG270" s="6"/>
      <c r="GH270" s="6"/>
      <c r="GI270" s="6"/>
      <c r="GJ270" s="6"/>
      <c r="GK270" s="6"/>
      <c r="GL270" s="6"/>
      <c r="GM270" s="6"/>
      <c r="GN270" s="6"/>
      <c r="GO270" s="6"/>
      <c r="GP270" s="6"/>
      <c r="GQ270" s="6"/>
      <c r="GR270" s="6"/>
      <c r="GS270" s="6"/>
      <c r="GT270" s="6"/>
      <c r="GU270" s="6"/>
      <c r="GV270" s="6"/>
      <c r="GW270" s="6"/>
      <c r="GX270" s="6"/>
      <c r="GY270" s="6"/>
      <c r="GZ270" s="6"/>
      <c r="HA270" s="6"/>
      <c r="HB270" s="6"/>
      <c r="HC270" s="6"/>
      <c r="HD270" s="6"/>
      <c r="HE270" s="6"/>
      <c r="HF270" s="6"/>
      <c r="HG270" s="6"/>
      <c r="HH270" s="6"/>
      <c r="HI270" s="6"/>
      <c r="HJ270" s="6"/>
      <c r="HK270" s="6"/>
      <c r="HL270" s="6"/>
      <c r="HM270" s="6"/>
      <c r="HN270" s="6"/>
      <c r="HO270" s="6"/>
      <c r="HP270" s="6"/>
      <c r="HQ270" s="6"/>
      <c r="HR270" s="6"/>
      <c r="HS270" s="6"/>
      <c r="HT270" s="6"/>
      <c r="HU270" s="6"/>
    </row>
    <row r="271" spans="9:229"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  <c r="ER271" s="6"/>
      <c r="ES271" s="6"/>
      <c r="ET271" s="6"/>
      <c r="EU271" s="6"/>
      <c r="EV271" s="6"/>
      <c r="EW271" s="6"/>
      <c r="EX271" s="6"/>
      <c r="EY271" s="6"/>
      <c r="EZ271" s="6"/>
      <c r="FA271" s="6"/>
      <c r="FB271" s="6"/>
      <c r="FC271" s="6"/>
      <c r="FD271" s="6"/>
      <c r="FE271" s="6"/>
      <c r="FF271" s="6"/>
      <c r="FG271" s="6"/>
      <c r="FH271" s="6"/>
      <c r="FI271" s="6"/>
      <c r="FJ271" s="6"/>
      <c r="FK271" s="6"/>
      <c r="FL271" s="6"/>
      <c r="FM271" s="6"/>
      <c r="FN271" s="6"/>
      <c r="FO271" s="6"/>
      <c r="FP271" s="6"/>
      <c r="FQ271" s="6"/>
      <c r="FR271" s="6"/>
      <c r="FS271" s="6"/>
      <c r="FT271" s="6"/>
      <c r="FU271" s="6"/>
      <c r="FV271" s="6"/>
      <c r="FW271" s="6"/>
      <c r="FX271" s="6"/>
      <c r="FY271" s="6"/>
      <c r="FZ271" s="6"/>
      <c r="GA271" s="6"/>
      <c r="GB271" s="6"/>
      <c r="GC271" s="6"/>
      <c r="GD271" s="6"/>
      <c r="GE271" s="6"/>
      <c r="GF271" s="6"/>
      <c r="GG271" s="6"/>
      <c r="GH271" s="6"/>
      <c r="GI271" s="6"/>
      <c r="GJ271" s="6"/>
      <c r="GK271" s="6"/>
      <c r="GL271" s="6"/>
      <c r="GM271" s="6"/>
      <c r="GN271" s="6"/>
      <c r="GO271" s="6"/>
      <c r="GP271" s="6"/>
      <c r="GQ271" s="6"/>
      <c r="GR271" s="6"/>
      <c r="GS271" s="6"/>
      <c r="GT271" s="6"/>
      <c r="GU271" s="6"/>
      <c r="GV271" s="6"/>
      <c r="GW271" s="6"/>
      <c r="GX271" s="6"/>
      <c r="GY271" s="6"/>
      <c r="GZ271" s="6"/>
      <c r="HA271" s="6"/>
      <c r="HB271" s="6"/>
      <c r="HC271" s="6"/>
      <c r="HD271" s="6"/>
      <c r="HE271" s="6"/>
      <c r="HF271" s="6"/>
      <c r="HG271" s="6"/>
      <c r="HH271" s="6"/>
      <c r="HI271" s="6"/>
      <c r="HJ271" s="6"/>
      <c r="HK271" s="6"/>
      <c r="HL271" s="6"/>
      <c r="HM271" s="6"/>
      <c r="HN271" s="6"/>
      <c r="HO271" s="6"/>
      <c r="HP271" s="6"/>
      <c r="HQ271" s="6"/>
      <c r="HR271" s="6"/>
      <c r="HS271" s="6"/>
      <c r="HT271" s="6"/>
      <c r="HU271" s="6"/>
    </row>
    <row r="272" spans="9:229"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  <c r="ER272" s="6"/>
      <c r="ES272" s="6"/>
      <c r="ET272" s="6"/>
      <c r="EU272" s="6"/>
      <c r="EV272" s="6"/>
      <c r="EW272" s="6"/>
      <c r="EX272" s="6"/>
      <c r="EY272" s="6"/>
      <c r="EZ272" s="6"/>
      <c r="FA272" s="6"/>
      <c r="FB272" s="6"/>
      <c r="FC272" s="6"/>
      <c r="FD272" s="6"/>
      <c r="FE272" s="6"/>
      <c r="FF272" s="6"/>
      <c r="FG272" s="6"/>
      <c r="FH272" s="6"/>
      <c r="FI272" s="6"/>
      <c r="FJ272" s="6"/>
      <c r="FK272" s="6"/>
      <c r="FL272" s="6"/>
      <c r="FM272" s="6"/>
      <c r="FN272" s="6"/>
      <c r="FO272" s="6"/>
      <c r="FP272" s="6"/>
      <c r="FQ272" s="6"/>
      <c r="FR272" s="6"/>
      <c r="FS272" s="6"/>
      <c r="FT272" s="6"/>
      <c r="FU272" s="6"/>
      <c r="FV272" s="6"/>
      <c r="FW272" s="6"/>
      <c r="FX272" s="6"/>
      <c r="FY272" s="6"/>
      <c r="FZ272" s="6"/>
      <c r="GA272" s="6"/>
      <c r="GB272" s="6"/>
      <c r="GC272" s="6"/>
      <c r="GD272" s="6"/>
      <c r="GE272" s="6"/>
      <c r="GF272" s="6"/>
      <c r="GG272" s="6"/>
      <c r="GH272" s="6"/>
      <c r="GI272" s="6"/>
      <c r="GJ272" s="6"/>
      <c r="GK272" s="6"/>
      <c r="GL272" s="6"/>
      <c r="GM272" s="6"/>
      <c r="GN272" s="6"/>
      <c r="GO272" s="6"/>
      <c r="GP272" s="6"/>
      <c r="GQ272" s="6"/>
      <c r="GR272" s="6"/>
      <c r="GS272" s="6"/>
      <c r="GT272" s="6"/>
      <c r="GU272" s="6"/>
      <c r="GV272" s="6"/>
      <c r="GW272" s="6"/>
      <c r="GX272" s="6"/>
      <c r="GY272" s="6"/>
      <c r="GZ272" s="6"/>
      <c r="HA272" s="6"/>
      <c r="HB272" s="6"/>
      <c r="HC272" s="6"/>
      <c r="HD272" s="6"/>
      <c r="HE272" s="6"/>
      <c r="HF272" s="6"/>
      <c r="HG272" s="6"/>
      <c r="HH272" s="6"/>
      <c r="HI272" s="6"/>
      <c r="HJ272" s="6"/>
      <c r="HK272" s="6"/>
      <c r="HL272" s="6"/>
      <c r="HM272" s="6"/>
      <c r="HN272" s="6"/>
      <c r="HO272" s="6"/>
      <c r="HP272" s="6"/>
      <c r="HQ272" s="6"/>
      <c r="HR272" s="6"/>
      <c r="HS272" s="6"/>
      <c r="HT272" s="6"/>
      <c r="HU272" s="6"/>
    </row>
    <row r="273" spans="9:229"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  <c r="ER273" s="6"/>
      <c r="ES273" s="6"/>
      <c r="ET273" s="6"/>
      <c r="EU273" s="6"/>
      <c r="EV273" s="6"/>
      <c r="EW273" s="6"/>
      <c r="EX273" s="6"/>
      <c r="EY273" s="6"/>
      <c r="EZ273" s="6"/>
      <c r="FA273" s="6"/>
      <c r="FB273" s="6"/>
      <c r="FC273" s="6"/>
      <c r="FD273" s="6"/>
      <c r="FE273" s="6"/>
      <c r="FF273" s="6"/>
      <c r="FG273" s="6"/>
      <c r="FH273" s="6"/>
      <c r="FI273" s="6"/>
      <c r="FJ273" s="6"/>
      <c r="FK273" s="6"/>
      <c r="FL273" s="6"/>
      <c r="FM273" s="6"/>
      <c r="FN273" s="6"/>
      <c r="FO273" s="6"/>
      <c r="FP273" s="6"/>
      <c r="FQ273" s="6"/>
      <c r="FR273" s="6"/>
      <c r="FS273" s="6"/>
      <c r="FT273" s="6"/>
      <c r="FU273" s="6"/>
      <c r="FV273" s="6"/>
      <c r="FW273" s="6"/>
      <c r="FX273" s="6"/>
      <c r="FY273" s="6"/>
      <c r="FZ273" s="6"/>
      <c r="GA273" s="6"/>
      <c r="GB273" s="6"/>
      <c r="GC273" s="6"/>
      <c r="GD273" s="6"/>
      <c r="GE273" s="6"/>
      <c r="GF273" s="6"/>
      <c r="GG273" s="6"/>
      <c r="GH273" s="6"/>
      <c r="GI273" s="6"/>
      <c r="GJ273" s="6"/>
      <c r="GK273" s="6"/>
      <c r="GL273" s="6"/>
      <c r="GM273" s="6"/>
      <c r="GN273" s="6"/>
      <c r="GO273" s="6"/>
      <c r="GP273" s="6"/>
      <c r="GQ273" s="6"/>
      <c r="GR273" s="6"/>
      <c r="GS273" s="6"/>
      <c r="GT273" s="6"/>
      <c r="GU273" s="6"/>
      <c r="GV273" s="6"/>
      <c r="GW273" s="6"/>
      <c r="GX273" s="6"/>
      <c r="GY273" s="6"/>
      <c r="GZ273" s="6"/>
      <c r="HA273" s="6"/>
      <c r="HB273" s="6"/>
      <c r="HC273" s="6"/>
      <c r="HD273" s="6"/>
      <c r="HE273" s="6"/>
      <c r="HF273" s="6"/>
      <c r="HG273" s="6"/>
      <c r="HH273" s="6"/>
      <c r="HI273" s="6"/>
      <c r="HJ273" s="6"/>
      <c r="HK273" s="6"/>
      <c r="HL273" s="6"/>
      <c r="HM273" s="6"/>
      <c r="HN273" s="6"/>
      <c r="HO273" s="6"/>
      <c r="HP273" s="6"/>
      <c r="HQ273" s="6"/>
      <c r="HR273" s="6"/>
      <c r="HS273" s="6"/>
      <c r="HT273" s="6"/>
      <c r="HU273" s="6"/>
    </row>
    <row r="274" spans="9:229"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  <c r="ER274" s="6"/>
      <c r="ES274" s="6"/>
      <c r="ET274" s="6"/>
      <c r="EU274" s="6"/>
      <c r="EV274" s="6"/>
      <c r="EW274" s="6"/>
      <c r="EX274" s="6"/>
      <c r="EY274" s="6"/>
      <c r="EZ274" s="6"/>
      <c r="FA274" s="6"/>
      <c r="FB274" s="6"/>
      <c r="FC274" s="6"/>
      <c r="FD274" s="6"/>
      <c r="FE274" s="6"/>
      <c r="FF274" s="6"/>
      <c r="FG274" s="6"/>
      <c r="FH274" s="6"/>
      <c r="FI274" s="6"/>
      <c r="FJ274" s="6"/>
      <c r="FK274" s="6"/>
      <c r="FL274" s="6"/>
      <c r="FM274" s="6"/>
      <c r="FN274" s="6"/>
      <c r="FO274" s="6"/>
      <c r="FP274" s="6"/>
      <c r="FQ274" s="6"/>
      <c r="FR274" s="6"/>
      <c r="FS274" s="6"/>
      <c r="FT274" s="6"/>
      <c r="FU274" s="6"/>
      <c r="FV274" s="6"/>
      <c r="FW274" s="6"/>
      <c r="FX274" s="6"/>
      <c r="FY274" s="6"/>
      <c r="FZ274" s="6"/>
      <c r="GA274" s="6"/>
      <c r="GB274" s="6"/>
      <c r="GC274" s="6"/>
      <c r="GD274" s="6"/>
      <c r="GE274" s="6"/>
      <c r="GF274" s="6"/>
      <c r="GG274" s="6"/>
      <c r="GH274" s="6"/>
      <c r="GI274" s="6"/>
      <c r="GJ274" s="6"/>
      <c r="GK274" s="6"/>
      <c r="GL274" s="6"/>
      <c r="GM274" s="6"/>
      <c r="GN274" s="6"/>
      <c r="GO274" s="6"/>
      <c r="GP274" s="6"/>
      <c r="GQ274" s="6"/>
      <c r="GR274" s="6"/>
      <c r="GS274" s="6"/>
      <c r="GT274" s="6"/>
      <c r="GU274" s="6"/>
      <c r="GV274" s="6"/>
      <c r="GW274" s="6"/>
      <c r="GX274" s="6"/>
      <c r="GY274" s="6"/>
      <c r="GZ274" s="6"/>
      <c r="HA274" s="6"/>
      <c r="HB274" s="6"/>
      <c r="HC274" s="6"/>
      <c r="HD274" s="6"/>
      <c r="HE274" s="6"/>
      <c r="HF274" s="6"/>
      <c r="HG274" s="6"/>
      <c r="HH274" s="6"/>
      <c r="HI274" s="6"/>
      <c r="HJ274" s="6"/>
      <c r="HK274" s="6"/>
      <c r="HL274" s="6"/>
      <c r="HM274" s="6"/>
      <c r="HN274" s="6"/>
      <c r="HO274" s="6"/>
      <c r="HP274" s="6"/>
      <c r="HQ274" s="6"/>
      <c r="HR274" s="6"/>
      <c r="HS274" s="6"/>
      <c r="HT274" s="6"/>
      <c r="HU274" s="6"/>
    </row>
    <row r="275" spans="9:229"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  <c r="ER275" s="6"/>
      <c r="ES275" s="6"/>
      <c r="ET275" s="6"/>
      <c r="EU275" s="6"/>
      <c r="EV275" s="6"/>
      <c r="EW275" s="6"/>
      <c r="EX275" s="6"/>
      <c r="EY275" s="6"/>
      <c r="EZ275" s="6"/>
      <c r="FA275" s="6"/>
      <c r="FB275" s="6"/>
      <c r="FC275" s="6"/>
      <c r="FD275" s="6"/>
      <c r="FE275" s="6"/>
      <c r="FF275" s="6"/>
      <c r="FG275" s="6"/>
      <c r="FH275" s="6"/>
      <c r="FI275" s="6"/>
      <c r="FJ275" s="6"/>
      <c r="FK275" s="6"/>
      <c r="FL275" s="6"/>
      <c r="FM275" s="6"/>
      <c r="FN275" s="6"/>
      <c r="FO275" s="6"/>
      <c r="FP275" s="6"/>
      <c r="FQ275" s="6"/>
      <c r="FR275" s="6"/>
      <c r="FS275" s="6"/>
      <c r="FT275" s="6"/>
      <c r="FU275" s="6"/>
      <c r="FV275" s="6"/>
      <c r="FW275" s="6"/>
      <c r="FX275" s="6"/>
      <c r="FY275" s="6"/>
      <c r="FZ275" s="6"/>
      <c r="GA275" s="6"/>
      <c r="GB275" s="6"/>
      <c r="GC275" s="6"/>
      <c r="GD275" s="6"/>
      <c r="GE275" s="6"/>
      <c r="GF275" s="6"/>
      <c r="GG275" s="6"/>
      <c r="GH275" s="6"/>
      <c r="GI275" s="6"/>
      <c r="GJ275" s="6"/>
      <c r="GK275" s="6"/>
      <c r="GL275" s="6"/>
      <c r="GM275" s="6"/>
      <c r="GN275" s="6"/>
      <c r="GO275" s="6"/>
      <c r="GP275" s="6"/>
      <c r="GQ275" s="6"/>
      <c r="GR275" s="6"/>
      <c r="GS275" s="6"/>
      <c r="GT275" s="6"/>
      <c r="GU275" s="6"/>
      <c r="GV275" s="6"/>
      <c r="GW275" s="6"/>
      <c r="GX275" s="6"/>
      <c r="GY275" s="6"/>
      <c r="GZ275" s="6"/>
      <c r="HA275" s="6"/>
      <c r="HB275" s="6"/>
      <c r="HC275" s="6"/>
      <c r="HD275" s="6"/>
      <c r="HE275" s="6"/>
      <c r="HF275" s="6"/>
      <c r="HG275" s="6"/>
      <c r="HH275" s="6"/>
      <c r="HI275" s="6"/>
      <c r="HJ275" s="6"/>
      <c r="HK275" s="6"/>
      <c r="HL275" s="6"/>
      <c r="HM275" s="6"/>
      <c r="HN275" s="6"/>
      <c r="HO275" s="6"/>
      <c r="HP275" s="6"/>
      <c r="HQ275" s="6"/>
      <c r="HR275" s="6"/>
      <c r="HS275" s="6"/>
      <c r="HT275" s="6"/>
      <c r="HU275" s="6"/>
    </row>
    <row r="276" spans="9:229"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  <c r="ER276" s="6"/>
      <c r="ES276" s="6"/>
      <c r="ET276" s="6"/>
      <c r="EU276" s="6"/>
      <c r="EV276" s="6"/>
      <c r="EW276" s="6"/>
      <c r="EX276" s="6"/>
      <c r="EY276" s="6"/>
      <c r="EZ276" s="6"/>
      <c r="FA276" s="6"/>
      <c r="FB276" s="6"/>
      <c r="FC276" s="6"/>
      <c r="FD276" s="6"/>
      <c r="FE276" s="6"/>
      <c r="FF276" s="6"/>
      <c r="FG276" s="6"/>
      <c r="FH276" s="6"/>
      <c r="FI276" s="6"/>
      <c r="FJ276" s="6"/>
      <c r="FK276" s="6"/>
      <c r="FL276" s="6"/>
      <c r="FM276" s="6"/>
      <c r="FN276" s="6"/>
      <c r="FO276" s="6"/>
      <c r="FP276" s="6"/>
      <c r="FQ276" s="6"/>
      <c r="FR276" s="6"/>
      <c r="FS276" s="6"/>
      <c r="FT276" s="6"/>
      <c r="FU276" s="6"/>
      <c r="FV276" s="6"/>
      <c r="FW276" s="6"/>
      <c r="FX276" s="6"/>
      <c r="FY276" s="6"/>
      <c r="FZ276" s="6"/>
      <c r="GA276" s="6"/>
      <c r="GB276" s="6"/>
      <c r="GC276" s="6"/>
      <c r="GD276" s="6"/>
      <c r="GE276" s="6"/>
      <c r="GF276" s="6"/>
      <c r="GG276" s="6"/>
      <c r="GH276" s="6"/>
      <c r="GI276" s="6"/>
      <c r="GJ276" s="6"/>
      <c r="GK276" s="6"/>
      <c r="GL276" s="6"/>
      <c r="GM276" s="6"/>
      <c r="GN276" s="6"/>
      <c r="GO276" s="6"/>
      <c r="GP276" s="6"/>
      <c r="GQ276" s="6"/>
      <c r="GR276" s="6"/>
      <c r="GS276" s="6"/>
      <c r="GT276" s="6"/>
      <c r="GU276" s="6"/>
      <c r="GV276" s="6"/>
      <c r="GW276" s="6"/>
      <c r="GX276" s="6"/>
      <c r="GY276" s="6"/>
      <c r="GZ276" s="6"/>
      <c r="HA276" s="6"/>
      <c r="HB276" s="6"/>
      <c r="HC276" s="6"/>
      <c r="HD276" s="6"/>
      <c r="HE276" s="6"/>
      <c r="HF276" s="6"/>
      <c r="HG276" s="6"/>
      <c r="HH276" s="6"/>
      <c r="HI276" s="6"/>
      <c r="HJ276" s="6"/>
      <c r="HK276" s="6"/>
      <c r="HL276" s="6"/>
      <c r="HM276" s="6"/>
      <c r="HN276" s="6"/>
      <c r="HO276" s="6"/>
      <c r="HP276" s="6"/>
      <c r="HQ276" s="6"/>
      <c r="HR276" s="6"/>
      <c r="HS276" s="6"/>
      <c r="HT276" s="6"/>
      <c r="HU276" s="6"/>
    </row>
    <row r="277" spans="9:229"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  <c r="ER277" s="6"/>
      <c r="ES277" s="6"/>
      <c r="ET277" s="6"/>
      <c r="EU277" s="6"/>
      <c r="EV277" s="6"/>
      <c r="EW277" s="6"/>
      <c r="EX277" s="6"/>
      <c r="EY277" s="6"/>
      <c r="EZ277" s="6"/>
      <c r="FA277" s="6"/>
      <c r="FB277" s="6"/>
      <c r="FC277" s="6"/>
      <c r="FD277" s="6"/>
      <c r="FE277" s="6"/>
      <c r="FF277" s="6"/>
      <c r="FG277" s="6"/>
      <c r="FH277" s="6"/>
      <c r="FI277" s="6"/>
      <c r="FJ277" s="6"/>
      <c r="FK277" s="6"/>
      <c r="FL277" s="6"/>
      <c r="FM277" s="6"/>
      <c r="FN277" s="6"/>
      <c r="FO277" s="6"/>
      <c r="FP277" s="6"/>
      <c r="FQ277" s="6"/>
      <c r="FR277" s="6"/>
      <c r="FS277" s="6"/>
      <c r="FT277" s="6"/>
      <c r="FU277" s="6"/>
      <c r="FV277" s="6"/>
      <c r="FW277" s="6"/>
      <c r="FX277" s="6"/>
      <c r="FY277" s="6"/>
      <c r="FZ277" s="6"/>
      <c r="GA277" s="6"/>
      <c r="GB277" s="6"/>
      <c r="GC277" s="6"/>
      <c r="GD277" s="6"/>
      <c r="GE277" s="6"/>
      <c r="GF277" s="6"/>
      <c r="GG277" s="6"/>
      <c r="GH277" s="6"/>
      <c r="GI277" s="6"/>
      <c r="GJ277" s="6"/>
      <c r="GK277" s="6"/>
      <c r="GL277" s="6"/>
      <c r="GM277" s="6"/>
      <c r="GN277" s="6"/>
      <c r="GO277" s="6"/>
      <c r="GP277" s="6"/>
      <c r="GQ277" s="6"/>
      <c r="GR277" s="6"/>
      <c r="GS277" s="6"/>
      <c r="GT277" s="6"/>
      <c r="GU277" s="6"/>
      <c r="GV277" s="6"/>
      <c r="GW277" s="6"/>
      <c r="GX277" s="6"/>
      <c r="GY277" s="6"/>
      <c r="GZ277" s="6"/>
      <c r="HA277" s="6"/>
      <c r="HB277" s="6"/>
      <c r="HC277" s="6"/>
      <c r="HD277" s="6"/>
      <c r="HE277" s="6"/>
      <c r="HF277" s="6"/>
      <c r="HG277" s="6"/>
      <c r="HH277" s="6"/>
      <c r="HI277" s="6"/>
      <c r="HJ277" s="6"/>
      <c r="HK277" s="6"/>
      <c r="HL277" s="6"/>
      <c r="HM277" s="6"/>
      <c r="HN277" s="6"/>
      <c r="HO277" s="6"/>
      <c r="HP277" s="6"/>
      <c r="HQ277" s="6"/>
      <c r="HR277" s="6"/>
      <c r="HS277" s="6"/>
      <c r="HT277" s="6"/>
      <c r="HU277" s="6"/>
    </row>
    <row r="278" spans="9:229"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  <c r="ER278" s="6"/>
      <c r="ES278" s="6"/>
      <c r="ET278" s="6"/>
      <c r="EU278" s="6"/>
      <c r="EV278" s="6"/>
      <c r="EW278" s="6"/>
      <c r="EX278" s="6"/>
      <c r="EY278" s="6"/>
      <c r="EZ278" s="6"/>
      <c r="FA278" s="6"/>
      <c r="FB278" s="6"/>
      <c r="FC278" s="6"/>
      <c r="FD278" s="6"/>
      <c r="FE278" s="6"/>
      <c r="FF278" s="6"/>
      <c r="FG278" s="6"/>
      <c r="FH278" s="6"/>
      <c r="FI278" s="6"/>
      <c r="FJ278" s="6"/>
      <c r="FK278" s="6"/>
      <c r="FL278" s="6"/>
      <c r="FM278" s="6"/>
      <c r="FN278" s="6"/>
      <c r="FO278" s="6"/>
      <c r="FP278" s="6"/>
      <c r="FQ278" s="6"/>
      <c r="FR278" s="6"/>
      <c r="FS278" s="6"/>
      <c r="FT278" s="6"/>
      <c r="FU278" s="6"/>
      <c r="FV278" s="6"/>
      <c r="FW278" s="6"/>
      <c r="FX278" s="6"/>
      <c r="FY278" s="6"/>
      <c r="FZ278" s="6"/>
      <c r="GA278" s="6"/>
      <c r="GB278" s="6"/>
      <c r="GC278" s="6"/>
      <c r="GD278" s="6"/>
      <c r="GE278" s="6"/>
      <c r="GF278" s="6"/>
      <c r="GG278" s="6"/>
      <c r="GH278" s="6"/>
      <c r="GI278" s="6"/>
      <c r="GJ278" s="6"/>
      <c r="GK278" s="6"/>
      <c r="GL278" s="6"/>
      <c r="GM278" s="6"/>
      <c r="GN278" s="6"/>
      <c r="GO278" s="6"/>
      <c r="GP278" s="6"/>
      <c r="GQ278" s="6"/>
      <c r="GR278" s="6"/>
      <c r="GS278" s="6"/>
      <c r="GT278" s="6"/>
      <c r="GU278" s="6"/>
      <c r="GV278" s="6"/>
      <c r="GW278" s="6"/>
      <c r="GX278" s="6"/>
      <c r="GY278" s="6"/>
      <c r="GZ278" s="6"/>
      <c r="HA278" s="6"/>
      <c r="HB278" s="6"/>
      <c r="HC278" s="6"/>
      <c r="HD278" s="6"/>
      <c r="HE278" s="6"/>
      <c r="HF278" s="6"/>
      <c r="HG278" s="6"/>
      <c r="HH278" s="6"/>
      <c r="HI278" s="6"/>
      <c r="HJ278" s="6"/>
      <c r="HK278" s="6"/>
      <c r="HL278" s="6"/>
      <c r="HM278" s="6"/>
      <c r="HN278" s="6"/>
      <c r="HO278" s="6"/>
      <c r="HP278" s="6"/>
      <c r="HQ278" s="6"/>
      <c r="HR278" s="6"/>
      <c r="HS278" s="6"/>
      <c r="HT278" s="6"/>
      <c r="HU278" s="6"/>
    </row>
    <row r="279" spans="9:229"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  <c r="ER279" s="6"/>
      <c r="ES279" s="6"/>
      <c r="ET279" s="6"/>
      <c r="EU279" s="6"/>
      <c r="EV279" s="6"/>
      <c r="EW279" s="6"/>
      <c r="EX279" s="6"/>
      <c r="EY279" s="6"/>
      <c r="EZ279" s="6"/>
      <c r="FA279" s="6"/>
      <c r="FB279" s="6"/>
      <c r="FC279" s="6"/>
      <c r="FD279" s="6"/>
      <c r="FE279" s="6"/>
      <c r="FF279" s="6"/>
      <c r="FG279" s="6"/>
      <c r="FH279" s="6"/>
      <c r="FI279" s="6"/>
      <c r="FJ279" s="6"/>
      <c r="FK279" s="6"/>
      <c r="FL279" s="6"/>
      <c r="FM279" s="6"/>
      <c r="FN279" s="6"/>
      <c r="FO279" s="6"/>
      <c r="FP279" s="6"/>
      <c r="FQ279" s="6"/>
      <c r="FR279" s="6"/>
      <c r="FS279" s="6"/>
      <c r="FT279" s="6"/>
      <c r="FU279" s="6"/>
      <c r="FV279" s="6"/>
      <c r="FW279" s="6"/>
      <c r="FX279" s="6"/>
      <c r="FY279" s="6"/>
      <c r="FZ279" s="6"/>
      <c r="GA279" s="6"/>
      <c r="GB279" s="6"/>
      <c r="GC279" s="6"/>
      <c r="GD279" s="6"/>
      <c r="GE279" s="6"/>
      <c r="GF279" s="6"/>
      <c r="GG279" s="6"/>
      <c r="GH279" s="6"/>
      <c r="GI279" s="6"/>
      <c r="GJ279" s="6"/>
      <c r="GK279" s="6"/>
      <c r="GL279" s="6"/>
      <c r="GM279" s="6"/>
      <c r="GN279" s="6"/>
      <c r="GO279" s="6"/>
      <c r="GP279" s="6"/>
      <c r="GQ279" s="6"/>
      <c r="GR279" s="6"/>
      <c r="GS279" s="6"/>
      <c r="GT279" s="6"/>
      <c r="GU279" s="6"/>
      <c r="GV279" s="6"/>
      <c r="GW279" s="6"/>
      <c r="GX279" s="6"/>
      <c r="GY279" s="6"/>
      <c r="GZ279" s="6"/>
      <c r="HA279" s="6"/>
      <c r="HB279" s="6"/>
      <c r="HC279" s="6"/>
      <c r="HD279" s="6"/>
      <c r="HE279" s="6"/>
      <c r="HF279" s="6"/>
      <c r="HG279" s="6"/>
      <c r="HH279" s="6"/>
      <c r="HI279" s="6"/>
      <c r="HJ279" s="6"/>
      <c r="HK279" s="6"/>
      <c r="HL279" s="6"/>
      <c r="HM279" s="6"/>
      <c r="HN279" s="6"/>
      <c r="HO279" s="6"/>
      <c r="HP279" s="6"/>
      <c r="HQ279" s="6"/>
      <c r="HR279" s="6"/>
      <c r="HS279" s="6"/>
      <c r="HT279" s="6"/>
      <c r="HU279" s="6"/>
    </row>
    <row r="280" spans="9:229"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  <c r="ER280" s="6"/>
      <c r="ES280" s="6"/>
      <c r="ET280" s="6"/>
      <c r="EU280" s="6"/>
      <c r="EV280" s="6"/>
      <c r="EW280" s="6"/>
      <c r="EX280" s="6"/>
      <c r="EY280" s="6"/>
      <c r="EZ280" s="6"/>
      <c r="FA280" s="6"/>
      <c r="FB280" s="6"/>
      <c r="FC280" s="6"/>
      <c r="FD280" s="6"/>
      <c r="FE280" s="6"/>
      <c r="FF280" s="6"/>
      <c r="FG280" s="6"/>
      <c r="FH280" s="6"/>
      <c r="FI280" s="6"/>
      <c r="FJ280" s="6"/>
      <c r="FK280" s="6"/>
      <c r="FL280" s="6"/>
      <c r="FM280" s="6"/>
      <c r="FN280" s="6"/>
      <c r="FO280" s="6"/>
      <c r="FP280" s="6"/>
      <c r="FQ280" s="6"/>
      <c r="FR280" s="6"/>
      <c r="FS280" s="6"/>
      <c r="FT280" s="6"/>
      <c r="FU280" s="6"/>
      <c r="FV280" s="6"/>
      <c r="FW280" s="6"/>
      <c r="FX280" s="6"/>
      <c r="FY280" s="6"/>
      <c r="FZ280" s="6"/>
      <c r="GA280" s="6"/>
      <c r="GB280" s="6"/>
      <c r="GC280" s="6"/>
      <c r="GD280" s="6"/>
      <c r="GE280" s="6"/>
      <c r="GF280" s="6"/>
      <c r="GG280" s="6"/>
      <c r="GH280" s="6"/>
      <c r="GI280" s="6"/>
      <c r="GJ280" s="6"/>
      <c r="GK280" s="6"/>
      <c r="GL280" s="6"/>
      <c r="GM280" s="6"/>
      <c r="GN280" s="6"/>
      <c r="GO280" s="6"/>
      <c r="GP280" s="6"/>
      <c r="GQ280" s="6"/>
      <c r="GR280" s="6"/>
      <c r="GS280" s="6"/>
      <c r="GT280" s="6"/>
      <c r="GU280" s="6"/>
      <c r="GV280" s="6"/>
      <c r="GW280" s="6"/>
      <c r="GX280" s="6"/>
      <c r="GY280" s="6"/>
      <c r="GZ280" s="6"/>
      <c r="HA280" s="6"/>
      <c r="HB280" s="6"/>
      <c r="HC280" s="6"/>
      <c r="HD280" s="6"/>
      <c r="HE280" s="6"/>
      <c r="HF280" s="6"/>
      <c r="HG280" s="6"/>
      <c r="HH280" s="6"/>
      <c r="HI280" s="6"/>
      <c r="HJ280" s="6"/>
      <c r="HK280" s="6"/>
      <c r="HL280" s="6"/>
      <c r="HM280" s="6"/>
      <c r="HN280" s="6"/>
      <c r="HO280" s="6"/>
      <c r="HP280" s="6"/>
      <c r="HQ280" s="6"/>
      <c r="HR280" s="6"/>
      <c r="HS280" s="6"/>
      <c r="HT280" s="6"/>
      <c r="HU280" s="6"/>
    </row>
    <row r="281" spans="9:229"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  <c r="ER281" s="6"/>
      <c r="ES281" s="6"/>
      <c r="ET281" s="6"/>
      <c r="EU281" s="6"/>
      <c r="EV281" s="6"/>
      <c r="EW281" s="6"/>
      <c r="EX281" s="6"/>
      <c r="EY281" s="6"/>
      <c r="EZ281" s="6"/>
      <c r="FA281" s="6"/>
      <c r="FB281" s="6"/>
      <c r="FC281" s="6"/>
      <c r="FD281" s="6"/>
      <c r="FE281" s="6"/>
      <c r="FF281" s="6"/>
      <c r="FG281" s="6"/>
      <c r="FH281" s="6"/>
      <c r="FI281" s="6"/>
      <c r="FJ281" s="6"/>
      <c r="FK281" s="6"/>
      <c r="FL281" s="6"/>
      <c r="FM281" s="6"/>
      <c r="FN281" s="6"/>
      <c r="FO281" s="6"/>
      <c r="FP281" s="6"/>
      <c r="FQ281" s="6"/>
      <c r="FR281" s="6"/>
      <c r="FS281" s="6"/>
      <c r="FT281" s="6"/>
      <c r="FU281" s="6"/>
      <c r="FV281" s="6"/>
      <c r="FW281" s="6"/>
      <c r="FX281" s="6"/>
      <c r="FY281" s="6"/>
      <c r="FZ281" s="6"/>
      <c r="GA281" s="6"/>
      <c r="GB281" s="6"/>
      <c r="GC281" s="6"/>
      <c r="GD281" s="6"/>
      <c r="GE281" s="6"/>
      <c r="GF281" s="6"/>
      <c r="GG281" s="6"/>
      <c r="GH281" s="6"/>
      <c r="GI281" s="6"/>
      <c r="GJ281" s="6"/>
      <c r="GK281" s="6"/>
      <c r="GL281" s="6"/>
      <c r="GM281" s="6"/>
      <c r="GN281" s="6"/>
      <c r="GO281" s="6"/>
      <c r="GP281" s="6"/>
      <c r="GQ281" s="6"/>
      <c r="GR281" s="6"/>
      <c r="GS281" s="6"/>
      <c r="GT281" s="6"/>
      <c r="GU281" s="6"/>
      <c r="GV281" s="6"/>
      <c r="GW281" s="6"/>
      <c r="GX281" s="6"/>
      <c r="GY281" s="6"/>
      <c r="GZ281" s="6"/>
      <c r="HA281" s="6"/>
      <c r="HB281" s="6"/>
      <c r="HC281" s="6"/>
      <c r="HD281" s="6"/>
      <c r="HE281" s="6"/>
      <c r="HF281" s="6"/>
      <c r="HG281" s="6"/>
      <c r="HH281" s="6"/>
      <c r="HI281" s="6"/>
      <c r="HJ281" s="6"/>
      <c r="HK281" s="6"/>
      <c r="HL281" s="6"/>
      <c r="HM281" s="6"/>
      <c r="HN281" s="6"/>
      <c r="HO281" s="6"/>
      <c r="HP281" s="6"/>
      <c r="HQ281" s="6"/>
      <c r="HR281" s="6"/>
      <c r="HS281" s="6"/>
      <c r="HT281" s="6"/>
      <c r="HU281" s="6"/>
    </row>
    <row r="282" spans="9:229"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  <c r="ER282" s="6"/>
      <c r="ES282" s="6"/>
      <c r="ET282" s="6"/>
      <c r="EU282" s="6"/>
      <c r="EV282" s="6"/>
      <c r="EW282" s="6"/>
      <c r="EX282" s="6"/>
      <c r="EY282" s="6"/>
      <c r="EZ282" s="6"/>
      <c r="FA282" s="6"/>
      <c r="FB282" s="6"/>
      <c r="FC282" s="6"/>
      <c r="FD282" s="6"/>
      <c r="FE282" s="6"/>
      <c r="FF282" s="6"/>
      <c r="FG282" s="6"/>
      <c r="FH282" s="6"/>
      <c r="FI282" s="6"/>
      <c r="FJ282" s="6"/>
      <c r="FK282" s="6"/>
      <c r="FL282" s="6"/>
      <c r="FM282" s="6"/>
      <c r="FN282" s="6"/>
      <c r="FO282" s="6"/>
      <c r="FP282" s="6"/>
      <c r="FQ282" s="6"/>
      <c r="FR282" s="6"/>
      <c r="FS282" s="6"/>
      <c r="FT282" s="6"/>
      <c r="FU282" s="6"/>
      <c r="FV282" s="6"/>
      <c r="FW282" s="6"/>
      <c r="FX282" s="6"/>
      <c r="FY282" s="6"/>
      <c r="FZ282" s="6"/>
      <c r="GA282" s="6"/>
      <c r="GB282" s="6"/>
      <c r="GC282" s="6"/>
      <c r="GD282" s="6"/>
      <c r="GE282" s="6"/>
      <c r="GF282" s="6"/>
      <c r="GG282" s="6"/>
      <c r="GH282" s="6"/>
      <c r="GI282" s="6"/>
      <c r="GJ282" s="6"/>
      <c r="GK282" s="6"/>
      <c r="GL282" s="6"/>
      <c r="GM282" s="6"/>
      <c r="GN282" s="6"/>
      <c r="GO282" s="6"/>
      <c r="GP282" s="6"/>
      <c r="GQ282" s="6"/>
      <c r="GR282" s="6"/>
      <c r="GS282" s="6"/>
      <c r="GT282" s="6"/>
      <c r="GU282" s="6"/>
      <c r="GV282" s="6"/>
      <c r="GW282" s="6"/>
      <c r="GX282" s="6"/>
      <c r="GY282" s="6"/>
      <c r="GZ282" s="6"/>
      <c r="HA282" s="6"/>
      <c r="HB282" s="6"/>
      <c r="HC282" s="6"/>
      <c r="HD282" s="6"/>
      <c r="HE282" s="6"/>
      <c r="HF282" s="6"/>
      <c r="HG282" s="6"/>
      <c r="HH282" s="6"/>
      <c r="HI282" s="6"/>
      <c r="HJ282" s="6"/>
      <c r="HK282" s="6"/>
      <c r="HL282" s="6"/>
      <c r="HM282" s="6"/>
      <c r="HN282" s="6"/>
      <c r="HO282" s="6"/>
      <c r="HP282" s="6"/>
      <c r="HQ282" s="6"/>
      <c r="HR282" s="6"/>
      <c r="HS282" s="6"/>
      <c r="HT282" s="6"/>
      <c r="HU282" s="6"/>
    </row>
    <row r="283" spans="9:229"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  <c r="ER283" s="6"/>
      <c r="ES283" s="6"/>
      <c r="ET283" s="6"/>
      <c r="EU283" s="6"/>
      <c r="EV283" s="6"/>
      <c r="EW283" s="6"/>
      <c r="EX283" s="6"/>
      <c r="EY283" s="6"/>
      <c r="EZ283" s="6"/>
      <c r="FA283" s="6"/>
      <c r="FB283" s="6"/>
      <c r="FC283" s="6"/>
      <c r="FD283" s="6"/>
      <c r="FE283" s="6"/>
      <c r="FF283" s="6"/>
      <c r="FG283" s="6"/>
      <c r="FH283" s="6"/>
      <c r="FI283" s="6"/>
      <c r="FJ283" s="6"/>
      <c r="FK283" s="6"/>
      <c r="FL283" s="6"/>
      <c r="FM283" s="6"/>
      <c r="FN283" s="6"/>
      <c r="FO283" s="6"/>
      <c r="FP283" s="6"/>
      <c r="FQ283" s="6"/>
      <c r="FR283" s="6"/>
      <c r="FS283" s="6"/>
      <c r="FT283" s="6"/>
      <c r="FU283" s="6"/>
      <c r="FV283" s="6"/>
      <c r="FW283" s="6"/>
      <c r="FX283" s="6"/>
      <c r="FY283" s="6"/>
      <c r="FZ283" s="6"/>
      <c r="GA283" s="6"/>
      <c r="GB283" s="6"/>
      <c r="GC283" s="6"/>
      <c r="GD283" s="6"/>
      <c r="GE283" s="6"/>
      <c r="GF283" s="6"/>
      <c r="GG283" s="6"/>
      <c r="GH283" s="6"/>
      <c r="GI283" s="6"/>
      <c r="GJ283" s="6"/>
      <c r="GK283" s="6"/>
      <c r="GL283" s="6"/>
      <c r="GM283" s="6"/>
      <c r="GN283" s="6"/>
      <c r="GO283" s="6"/>
      <c r="GP283" s="6"/>
      <c r="GQ283" s="6"/>
      <c r="GR283" s="6"/>
      <c r="GS283" s="6"/>
      <c r="GT283" s="6"/>
      <c r="GU283" s="6"/>
      <c r="GV283" s="6"/>
      <c r="GW283" s="6"/>
      <c r="GX283" s="6"/>
      <c r="GY283" s="6"/>
      <c r="GZ283" s="6"/>
      <c r="HA283" s="6"/>
      <c r="HB283" s="6"/>
      <c r="HC283" s="6"/>
      <c r="HD283" s="6"/>
      <c r="HE283" s="6"/>
      <c r="HF283" s="6"/>
      <c r="HG283" s="6"/>
      <c r="HH283" s="6"/>
      <c r="HI283" s="6"/>
      <c r="HJ283" s="6"/>
      <c r="HK283" s="6"/>
      <c r="HL283" s="6"/>
      <c r="HM283" s="6"/>
      <c r="HN283" s="6"/>
      <c r="HO283" s="6"/>
      <c r="HP283" s="6"/>
      <c r="HQ283" s="6"/>
      <c r="HR283" s="6"/>
      <c r="HS283" s="6"/>
      <c r="HT283" s="6"/>
      <c r="HU283" s="6"/>
    </row>
    <row r="284" spans="9:229"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  <c r="ER284" s="6"/>
      <c r="ES284" s="6"/>
      <c r="ET284" s="6"/>
      <c r="EU284" s="6"/>
      <c r="EV284" s="6"/>
      <c r="EW284" s="6"/>
      <c r="EX284" s="6"/>
      <c r="EY284" s="6"/>
      <c r="EZ284" s="6"/>
      <c r="FA284" s="6"/>
      <c r="FB284" s="6"/>
      <c r="FC284" s="6"/>
      <c r="FD284" s="6"/>
      <c r="FE284" s="6"/>
      <c r="FF284" s="6"/>
      <c r="FG284" s="6"/>
      <c r="FH284" s="6"/>
      <c r="FI284" s="6"/>
      <c r="FJ284" s="6"/>
      <c r="FK284" s="6"/>
      <c r="FL284" s="6"/>
      <c r="FM284" s="6"/>
      <c r="FN284" s="6"/>
      <c r="FO284" s="6"/>
      <c r="FP284" s="6"/>
      <c r="FQ284" s="6"/>
      <c r="FR284" s="6"/>
      <c r="FS284" s="6"/>
      <c r="FT284" s="6"/>
      <c r="FU284" s="6"/>
      <c r="FV284" s="6"/>
      <c r="FW284" s="6"/>
      <c r="FX284" s="6"/>
      <c r="FY284" s="6"/>
      <c r="FZ284" s="6"/>
      <c r="GA284" s="6"/>
      <c r="GB284" s="6"/>
      <c r="GC284" s="6"/>
      <c r="GD284" s="6"/>
      <c r="GE284" s="6"/>
      <c r="GF284" s="6"/>
      <c r="GG284" s="6"/>
      <c r="GH284" s="6"/>
      <c r="GI284" s="6"/>
      <c r="GJ284" s="6"/>
      <c r="GK284" s="6"/>
      <c r="GL284" s="6"/>
      <c r="GM284" s="6"/>
      <c r="GN284" s="6"/>
      <c r="GO284" s="6"/>
      <c r="GP284" s="6"/>
      <c r="GQ284" s="6"/>
      <c r="GR284" s="6"/>
      <c r="GS284" s="6"/>
      <c r="GT284" s="6"/>
      <c r="GU284" s="6"/>
      <c r="GV284" s="6"/>
      <c r="GW284" s="6"/>
      <c r="GX284" s="6"/>
      <c r="GY284" s="6"/>
      <c r="GZ284" s="6"/>
      <c r="HA284" s="6"/>
      <c r="HB284" s="6"/>
      <c r="HC284" s="6"/>
      <c r="HD284" s="6"/>
      <c r="HE284" s="6"/>
      <c r="HF284" s="6"/>
      <c r="HG284" s="6"/>
      <c r="HH284" s="6"/>
      <c r="HI284" s="6"/>
      <c r="HJ284" s="6"/>
      <c r="HK284" s="6"/>
      <c r="HL284" s="6"/>
      <c r="HM284" s="6"/>
      <c r="HN284" s="6"/>
      <c r="HO284" s="6"/>
      <c r="HP284" s="6"/>
      <c r="HQ284" s="6"/>
      <c r="HR284" s="6"/>
      <c r="HS284" s="6"/>
      <c r="HT284" s="6"/>
      <c r="HU284" s="6"/>
    </row>
    <row r="285" spans="9:229"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  <c r="ER285" s="6"/>
      <c r="ES285" s="6"/>
      <c r="ET285" s="6"/>
      <c r="EU285" s="6"/>
      <c r="EV285" s="6"/>
      <c r="EW285" s="6"/>
      <c r="EX285" s="6"/>
      <c r="EY285" s="6"/>
      <c r="EZ285" s="6"/>
      <c r="FA285" s="6"/>
      <c r="FB285" s="6"/>
      <c r="FC285" s="6"/>
      <c r="FD285" s="6"/>
      <c r="FE285" s="6"/>
      <c r="FF285" s="6"/>
      <c r="FG285" s="6"/>
      <c r="FH285" s="6"/>
      <c r="FI285" s="6"/>
      <c r="FJ285" s="6"/>
      <c r="FK285" s="6"/>
      <c r="FL285" s="6"/>
      <c r="FM285" s="6"/>
      <c r="FN285" s="6"/>
      <c r="FO285" s="6"/>
      <c r="FP285" s="6"/>
      <c r="FQ285" s="6"/>
      <c r="FR285" s="6"/>
      <c r="FS285" s="6"/>
      <c r="FT285" s="6"/>
      <c r="FU285" s="6"/>
      <c r="FV285" s="6"/>
      <c r="FW285" s="6"/>
      <c r="FX285" s="6"/>
      <c r="FY285" s="6"/>
      <c r="FZ285" s="6"/>
      <c r="GA285" s="6"/>
      <c r="GB285" s="6"/>
      <c r="GC285" s="6"/>
      <c r="GD285" s="6"/>
      <c r="GE285" s="6"/>
      <c r="GF285" s="6"/>
      <c r="GG285" s="6"/>
      <c r="GH285" s="6"/>
      <c r="GI285" s="6"/>
      <c r="GJ285" s="6"/>
      <c r="GK285" s="6"/>
      <c r="GL285" s="6"/>
      <c r="GM285" s="6"/>
      <c r="GN285" s="6"/>
      <c r="GO285" s="6"/>
      <c r="GP285" s="6"/>
      <c r="GQ285" s="6"/>
      <c r="GR285" s="6"/>
      <c r="GS285" s="6"/>
      <c r="GT285" s="6"/>
      <c r="GU285" s="6"/>
      <c r="GV285" s="6"/>
      <c r="GW285" s="6"/>
      <c r="GX285" s="6"/>
      <c r="GY285" s="6"/>
      <c r="GZ285" s="6"/>
      <c r="HA285" s="6"/>
      <c r="HB285" s="6"/>
      <c r="HC285" s="6"/>
      <c r="HD285" s="6"/>
      <c r="HE285" s="6"/>
      <c r="HF285" s="6"/>
      <c r="HG285" s="6"/>
      <c r="HH285" s="6"/>
      <c r="HI285" s="6"/>
      <c r="HJ285" s="6"/>
      <c r="HK285" s="6"/>
      <c r="HL285" s="6"/>
      <c r="HM285" s="6"/>
      <c r="HN285" s="6"/>
      <c r="HO285" s="6"/>
      <c r="HP285" s="6"/>
      <c r="HQ285" s="6"/>
      <c r="HR285" s="6"/>
      <c r="HS285" s="6"/>
      <c r="HT285" s="6"/>
      <c r="HU285" s="6"/>
    </row>
    <row r="286" spans="9:229"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  <c r="ER286" s="6"/>
      <c r="ES286" s="6"/>
      <c r="ET286" s="6"/>
      <c r="EU286" s="6"/>
      <c r="EV286" s="6"/>
      <c r="EW286" s="6"/>
      <c r="EX286" s="6"/>
      <c r="EY286" s="6"/>
      <c r="EZ286" s="6"/>
      <c r="FA286" s="6"/>
      <c r="FB286" s="6"/>
      <c r="FC286" s="6"/>
      <c r="FD286" s="6"/>
      <c r="FE286" s="6"/>
      <c r="FF286" s="6"/>
      <c r="FG286" s="6"/>
      <c r="FH286" s="6"/>
      <c r="FI286" s="6"/>
      <c r="FJ286" s="6"/>
      <c r="FK286" s="6"/>
      <c r="FL286" s="6"/>
      <c r="FM286" s="6"/>
      <c r="FN286" s="6"/>
      <c r="FO286" s="6"/>
      <c r="FP286" s="6"/>
      <c r="FQ286" s="6"/>
      <c r="FR286" s="6"/>
      <c r="FS286" s="6"/>
      <c r="FT286" s="6"/>
      <c r="FU286" s="6"/>
      <c r="FV286" s="6"/>
      <c r="FW286" s="6"/>
      <c r="FX286" s="6"/>
      <c r="FY286" s="6"/>
      <c r="FZ286" s="6"/>
      <c r="GA286" s="6"/>
      <c r="GB286" s="6"/>
      <c r="GC286" s="6"/>
      <c r="GD286" s="6"/>
      <c r="GE286" s="6"/>
      <c r="GF286" s="6"/>
      <c r="GG286" s="6"/>
      <c r="GH286" s="6"/>
      <c r="GI286" s="6"/>
      <c r="GJ286" s="6"/>
      <c r="GK286" s="6"/>
      <c r="GL286" s="6"/>
      <c r="GM286" s="6"/>
      <c r="GN286" s="6"/>
      <c r="GO286" s="6"/>
      <c r="GP286" s="6"/>
      <c r="GQ286" s="6"/>
      <c r="GR286" s="6"/>
      <c r="GS286" s="6"/>
      <c r="GT286" s="6"/>
      <c r="GU286" s="6"/>
      <c r="GV286" s="6"/>
      <c r="GW286" s="6"/>
      <c r="GX286" s="6"/>
      <c r="GY286" s="6"/>
      <c r="GZ286" s="6"/>
      <c r="HA286" s="6"/>
      <c r="HB286" s="6"/>
      <c r="HC286" s="6"/>
      <c r="HD286" s="6"/>
      <c r="HE286" s="6"/>
      <c r="HF286" s="6"/>
      <c r="HG286" s="6"/>
      <c r="HH286" s="6"/>
      <c r="HI286" s="6"/>
      <c r="HJ286" s="6"/>
      <c r="HK286" s="6"/>
      <c r="HL286" s="6"/>
      <c r="HM286" s="6"/>
      <c r="HN286" s="6"/>
      <c r="HO286" s="6"/>
      <c r="HP286" s="6"/>
      <c r="HQ286" s="6"/>
      <c r="HR286" s="6"/>
      <c r="HS286" s="6"/>
      <c r="HT286" s="6"/>
      <c r="HU286" s="6"/>
    </row>
    <row r="287" spans="9:229"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  <c r="ER287" s="6"/>
      <c r="ES287" s="6"/>
      <c r="ET287" s="6"/>
      <c r="EU287" s="6"/>
      <c r="EV287" s="6"/>
      <c r="EW287" s="6"/>
      <c r="EX287" s="6"/>
      <c r="EY287" s="6"/>
      <c r="EZ287" s="6"/>
      <c r="FA287" s="6"/>
      <c r="FB287" s="6"/>
      <c r="FC287" s="6"/>
      <c r="FD287" s="6"/>
      <c r="FE287" s="6"/>
      <c r="FF287" s="6"/>
      <c r="FG287" s="6"/>
      <c r="FH287" s="6"/>
      <c r="FI287" s="6"/>
      <c r="FJ287" s="6"/>
      <c r="FK287" s="6"/>
      <c r="FL287" s="6"/>
      <c r="FM287" s="6"/>
      <c r="FN287" s="6"/>
      <c r="FO287" s="6"/>
      <c r="FP287" s="6"/>
      <c r="FQ287" s="6"/>
      <c r="FR287" s="6"/>
      <c r="FS287" s="6"/>
      <c r="FT287" s="6"/>
      <c r="FU287" s="6"/>
      <c r="FV287" s="6"/>
      <c r="FW287" s="6"/>
      <c r="FX287" s="6"/>
      <c r="FY287" s="6"/>
      <c r="FZ287" s="6"/>
      <c r="GA287" s="6"/>
      <c r="GB287" s="6"/>
      <c r="GC287" s="6"/>
      <c r="GD287" s="6"/>
      <c r="GE287" s="6"/>
      <c r="GF287" s="6"/>
      <c r="GG287" s="6"/>
      <c r="GH287" s="6"/>
      <c r="GI287" s="6"/>
      <c r="GJ287" s="6"/>
      <c r="GK287" s="6"/>
      <c r="GL287" s="6"/>
      <c r="GM287" s="6"/>
      <c r="GN287" s="6"/>
      <c r="GO287" s="6"/>
      <c r="GP287" s="6"/>
      <c r="GQ287" s="6"/>
      <c r="GR287" s="6"/>
      <c r="GS287" s="6"/>
      <c r="GT287" s="6"/>
      <c r="GU287" s="6"/>
      <c r="GV287" s="6"/>
      <c r="GW287" s="6"/>
      <c r="GX287" s="6"/>
      <c r="GY287" s="6"/>
      <c r="GZ287" s="6"/>
      <c r="HA287" s="6"/>
      <c r="HB287" s="6"/>
      <c r="HC287" s="6"/>
      <c r="HD287" s="6"/>
      <c r="HE287" s="6"/>
      <c r="HF287" s="6"/>
      <c r="HG287" s="6"/>
      <c r="HH287" s="6"/>
      <c r="HI287" s="6"/>
      <c r="HJ287" s="6"/>
      <c r="HK287" s="6"/>
      <c r="HL287" s="6"/>
      <c r="HM287" s="6"/>
      <c r="HN287" s="6"/>
      <c r="HO287" s="6"/>
      <c r="HP287" s="6"/>
      <c r="HQ287" s="6"/>
      <c r="HR287" s="6"/>
      <c r="HS287" s="6"/>
      <c r="HT287" s="6"/>
      <c r="HU287" s="6"/>
    </row>
    <row r="288" spans="9:229"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  <c r="ER288" s="6"/>
      <c r="ES288" s="6"/>
      <c r="ET288" s="6"/>
      <c r="EU288" s="6"/>
      <c r="EV288" s="6"/>
      <c r="EW288" s="6"/>
      <c r="EX288" s="6"/>
      <c r="EY288" s="6"/>
      <c r="EZ288" s="6"/>
      <c r="FA288" s="6"/>
      <c r="FB288" s="6"/>
      <c r="FC288" s="6"/>
      <c r="FD288" s="6"/>
      <c r="FE288" s="6"/>
      <c r="FF288" s="6"/>
      <c r="FG288" s="6"/>
      <c r="FH288" s="6"/>
      <c r="FI288" s="6"/>
      <c r="FJ288" s="6"/>
      <c r="FK288" s="6"/>
      <c r="FL288" s="6"/>
      <c r="FM288" s="6"/>
      <c r="FN288" s="6"/>
      <c r="FO288" s="6"/>
      <c r="FP288" s="6"/>
      <c r="FQ288" s="6"/>
      <c r="FR288" s="6"/>
      <c r="FS288" s="6"/>
      <c r="FT288" s="6"/>
      <c r="FU288" s="6"/>
      <c r="FV288" s="6"/>
      <c r="FW288" s="6"/>
      <c r="FX288" s="6"/>
      <c r="FY288" s="6"/>
      <c r="FZ288" s="6"/>
      <c r="GA288" s="6"/>
      <c r="GB288" s="6"/>
      <c r="GC288" s="6"/>
      <c r="GD288" s="6"/>
      <c r="GE288" s="6"/>
      <c r="GF288" s="6"/>
      <c r="GG288" s="6"/>
      <c r="GH288" s="6"/>
      <c r="GI288" s="6"/>
      <c r="GJ288" s="6"/>
      <c r="GK288" s="6"/>
      <c r="GL288" s="6"/>
      <c r="GM288" s="6"/>
      <c r="GN288" s="6"/>
      <c r="GO288" s="6"/>
      <c r="GP288" s="6"/>
      <c r="GQ288" s="6"/>
      <c r="GR288" s="6"/>
      <c r="GS288" s="6"/>
      <c r="GT288" s="6"/>
      <c r="GU288" s="6"/>
      <c r="GV288" s="6"/>
      <c r="GW288" s="6"/>
      <c r="GX288" s="6"/>
      <c r="GY288" s="6"/>
      <c r="GZ288" s="6"/>
      <c r="HA288" s="6"/>
      <c r="HB288" s="6"/>
      <c r="HC288" s="6"/>
      <c r="HD288" s="6"/>
      <c r="HE288" s="6"/>
      <c r="HF288" s="6"/>
      <c r="HG288" s="6"/>
      <c r="HH288" s="6"/>
      <c r="HI288" s="6"/>
      <c r="HJ288" s="6"/>
      <c r="HK288" s="6"/>
      <c r="HL288" s="6"/>
      <c r="HM288" s="6"/>
      <c r="HN288" s="6"/>
      <c r="HO288" s="6"/>
      <c r="HP288" s="6"/>
      <c r="HQ288" s="6"/>
      <c r="HR288" s="6"/>
      <c r="HS288" s="6"/>
      <c r="HT288" s="6"/>
      <c r="HU288" s="6"/>
    </row>
    <row r="289" spans="9:229"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  <c r="ER289" s="6"/>
      <c r="ES289" s="6"/>
      <c r="ET289" s="6"/>
      <c r="EU289" s="6"/>
      <c r="EV289" s="6"/>
      <c r="EW289" s="6"/>
      <c r="EX289" s="6"/>
      <c r="EY289" s="6"/>
      <c r="EZ289" s="6"/>
      <c r="FA289" s="6"/>
      <c r="FB289" s="6"/>
      <c r="FC289" s="6"/>
      <c r="FD289" s="6"/>
      <c r="FE289" s="6"/>
      <c r="FF289" s="6"/>
      <c r="FG289" s="6"/>
      <c r="FH289" s="6"/>
      <c r="FI289" s="6"/>
      <c r="FJ289" s="6"/>
      <c r="FK289" s="6"/>
      <c r="FL289" s="6"/>
      <c r="FM289" s="6"/>
      <c r="FN289" s="6"/>
      <c r="FO289" s="6"/>
      <c r="FP289" s="6"/>
      <c r="FQ289" s="6"/>
      <c r="FR289" s="6"/>
      <c r="FS289" s="6"/>
      <c r="FT289" s="6"/>
      <c r="FU289" s="6"/>
      <c r="FV289" s="6"/>
      <c r="FW289" s="6"/>
      <c r="FX289" s="6"/>
      <c r="FY289" s="6"/>
      <c r="FZ289" s="6"/>
      <c r="GA289" s="6"/>
      <c r="GB289" s="6"/>
      <c r="GC289" s="6"/>
      <c r="GD289" s="6"/>
      <c r="GE289" s="6"/>
      <c r="GF289" s="6"/>
      <c r="GG289" s="6"/>
      <c r="GH289" s="6"/>
      <c r="GI289" s="6"/>
      <c r="GJ289" s="6"/>
      <c r="GK289" s="6"/>
      <c r="GL289" s="6"/>
      <c r="GM289" s="6"/>
      <c r="GN289" s="6"/>
      <c r="GO289" s="6"/>
      <c r="GP289" s="6"/>
      <c r="GQ289" s="6"/>
      <c r="GR289" s="6"/>
      <c r="GS289" s="6"/>
      <c r="GT289" s="6"/>
      <c r="GU289" s="6"/>
      <c r="GV289" s="6"/>
      <c r="GW289" s="6"/>
      <c r="GX289" s="6"/>
      <c r="GY289" s="6"/>
      <c r="GZ289" s="6"/>
      <c r="HA289" s="6"/>
      <c r="HB289" s="6"/>
      <c r="HC289" s="6"/>
      <c r="HD289" s="6"/>
      <c r="HE289" s="6"/>
      <c r="HF289" s="6"/>
      <c r="HG289" s="6"/>
      <c r="HH289" s="6"/>
      <c r="HI289" s="6"/>
      <c r="HJ289" s="6"/>
      <c r="HK289" s="6"/>
      <c r="HL289" s="6"/>
      <c r="HM289" s="6"/>
      <c r="HN289" s="6"/>
      <c r="HO289" s="6"/>
      <c r="HP289" s="6"/>
      <c r="HQ289" s="6"/>
      <c r="HR289" s="6"/>
      <c r="HS289" s="6"/>
      <c r="HT289" s="6"/>
      <c r="HU289" s="6"/>
    </row>
    <row r="290" spans="9:229"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  <c r="ER290" s="6"/>
      <c r="ES290" s="6"/>
      <c r="ET290" s="6"/>
      <c r="EU290" s="6"/>
      <c r="EV290" s="6"/>
      <c r="EW290" s="6"/>
      <c r="EX290" s="6"/>
      <c r="EY290" s="6"/>
      <c r="EZ290" s="6"/>
      <c r="FA290" s="6"/>
      <c r="FB290" s="6"/>
      <c r="FC290" s="6"/>
      <c r="FD290" s="6"/>
      <c r="FE290" s="6"/>
      <c r="FF290" s="6"/>
      <c r="FG290" s="6"/>
      <c r="FH290" s="6"/>
      <c r="FI290" s="6"/>
      <c r="FJ290" s="6"/>
      <c r="FK290" s="6"/>
      <c r="FL290" s="6"/>
      <c r="FM290" s="6"/>
      <c r="FN290" s="6"/>
      <c r="FO290" s="6"/>
      <c r="FP290" s="6"/>
      <c r="FQ290" s="6"/>
      <c r="FR290" s="6"/>
      <c r="FS290" s="6"/>
      <c r="FT290" s="6"/>
      <c r="FU290" s="6"/>
      <c r="FV290" s="6"/>
      <c r="FW290" s="6"/>
      <c r="FX290" s="6"/>
      <c r="FY290" s="6"/>
      <c r="FZ290" s="6"/>
      <c r="GA290" s="6"/>
      <c r="GB290" s="6"/>
      <c r="GC290" s="6"/>
      <c r="GD290" s="6"/>
      <c r="GE290" s="6"/>
      <c r="GF290" s="6"/>
      <c r="GG290" s="6"/>
      <c r="GH290" s="6"/>
      <c r="GI290" s="6"/>
      <c r="GJ290" s="6"/>
      <c r="GK290" s="6"/>
      <c r="GL290" s="6"/>
      <c r="GM290" s="6"/>
      <c r="GN290" s="6"/>
      <c r="GO290" s="6"/>
      <c r="GP290" s="6"/>
      <c r="GQ290" s="6"/>
      <c r="GR290" s="6"/>
      <c r="GS290" s="6"/>
      <c r="GT290" s="6"/>
      <c r="GU290" s="6"/>
      <c r="GV290" s="6"/>
      <c r="GW290" s="6"/>
      <c r="GX290" s="6"/>
      <c r="GY290" s="6"/>
      <c r="GZ290" s="6"/>
      <c r="HA290" s="6"/>
      <c r="HB290" s="6"/>
      <c r="HC290" s="6"/>
      <c r="HD290" s="6"/>
      <c r="HE290" s="6"/>
      <c r="HF290" s="6"/>
      <c r="HG290" s="6"/>
      <c r="HH290" s="6"/>
      <c r="HI290" s="6"/>
      <c r="HJ290" s="6"/>
      <c r="HK290" s="6"/>
      <c r="HL290" s="6"/>
      <c r="HM290" s="6"/>
      <c r="HN290" s="6"/>
      <c r="HO290" s="6"/>
      <c r="HP290" s="6"/>
      <c r="HQ290" s="6"/>
      <c r="HR290" s="6"/>
      <c r="HS290" s="6"/>
      <c r="HT290" s="6"/>
      <c r="HU290" s="6"/>
    </row>
    <row r="291" spans="9:229"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  <c r="ER291" s="6"/>
      <c r="ES291" s="6"/>
      <c r="ET291" s="6"/>
      <c r="EU291" s="6"/>
      <c r="EV291" s="6"/>
      <c r="EW291" s="6"/>
      <c r="EX291" s="6"/>
      <c r="EY291" s="6"/>
      <c r="EZ291" s="6"/>
      <c r="FA291" s="6"/>
      <c r="FB291" s="6"/>
      <c r="FC291" s="6"/>
      <c r="FD291" s="6"/>
      <c r="FE291" s="6"/>
      <c r="FF291" s="6"/>
      <c r="FG291" s="6"/>
      <c r="FH291" s="6"/>
      <c r="FI291" s="6"/>
      <c r="FJ291" s="6"/>
      <c r="FK291" s="6"/>
      <c r="FL291" s="6"/>
      <c r="FM291" s="6"/>
      <c r="FN291" s="6"/>
      <c r="FO291" s="6"/>
      <c r="FP291" s="6"/>
      <c r="FQ291" s="6"/>
      <c r="FR291" s="6"/>
      <c r="FS291" s="6"/>
      <c r="FT291" s="6"/>
      <c r="FU291" s="6"/>
      <c r="FV291" s="6"/>
      <c r="FW291" s="6"/>
      <c r="FX291" s="6"/>
      <c r="FY291" s="6"/>
      <c r="FZ291" s="6"/>
      <c r="GA291" s="6"/>
      <c r="GB291" s="6"/>
      <c r="GC291" s="6"/>
      <c r="GD291" s="6"/>
      <c r="GE291" s="6"/>
      <c r="GF291" s="6"/>
      <c r="GG291" s="6"/>
      <c r="GH291" s="6"/>
      <c r="GI291" s="6"/>
      <c r="GJ291" s="6"/>
      <c r="GK291" s="6"/>
      <c r="GL291" s="6"/>
      <c r="GM291" s="6"/>
      <c r="GN291" s="6"/>
      <c r="GO291" s="6"/>
      <c r="GP291" s="6"/>
      <c r="GQ291" s="6"/>
      <c r="GR291" s="6"/>
      <c r="GS291" s="6"/>
      <c r="GT291" s="6"/>
      <c r="GU291" s="6"/>
      <c r="GV291" s="6"/>
      <c r="GW291" s="6"/>
      <c r="GX291" s="6"/>
      <c r="GY291" s="6"/>
      <c r="GZ291" s="6"/>
      <c r="HA291" s="6"/>
      <c r="HB291" s="6"/>
      <c r="HC291" s="6"/>
      <c r="HD291" s="6"/>
      <c r="HE291" s="6"/>
      <c r="HF291" s="6"/>
      <c r="HG291" s="6"/>
      <c r="HH291" s="6"/>
      <c r="HI291" s="6"/>
      <c r="HJ291" s="6"/>
      <c r="HK291" s="6"/>
      <c r="HL291" s="6"/>
      <c r="HM291" s="6"/>
      <c r="HN291" s="6"/>
      <c r="HO291" s="6"/>
      <c r="HP291" s="6"/>
      <c r="HQ291" s="6"/>
      <c r="HR291" s="6"/>
      <c r="HS291" s="6"/>
      <c r="HT291" s="6"/>
      <c r="HU291" s="6"/>
    </row>
    <row r="292" spans="9:229"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  <c r="ER292" s="6"/>
      <c r="ES292" s="6"/>
      <c r="ET292" s="6"/>
      <c r="EU292" s="6"/>
      <c r="EV292" s="6"/>
      <c r="EW292" s="6"/>
      <c r="EX292" s="6"/>
      <c r="EY292" s="6"/>
      <c r="EZ292" s="6"/>
      <c r="FA292" s="6"/>
      <c r="FB292" s="6"/>
      <c r="FC292" s="6"/>
      <c r="FD292" s="6"/>
      <c r="FE292" s="6"/>
      <c r="FF292" s="6"/>
      <c r="FG292" s="6"/>
      <c r="FH292" s="6"/>
      <c r="FI292" s="6"/>
      <c r="FJ292" s="6"/>
      <c r="FK292" s="6"/>
      <c r="FL292" s="6"/>
      <c r="FM292" s="6"/>
      <c r="FN292" s="6"/>
      <c r="FO292" s="6"/>
      <c r="FP292" s="6"/>
      <c r="FQ292" s="6"/>
      <c r="FR292" s="6"/>
      <c r="FS292" s="6"/>
      <c r="FT292" s="6"/>
      <c r="FU292" s="6"/>
      <c r="FV292" s="6"/>
      <c r="FW292" s="6"/>
      <c r="FX292" s="6"/>
      <c r="FY292" s="6"/>
      <c r="FZ292" s="6"/>
      <c r="GA292" s="6"/>
      <c r="GB292" s="6"/>
      <c r="GC292" s="6"/>
      <c r="GD292" s="6"/>
      <c r="GE292" s="6"/>
      <c r="GF292" s="6"/>
      <c r="GG292" s="6"/>
      <c r="GH292" s="6"/>
      <c r="GI292" s="6"/>
      <c r="GJ292" s="6"/>
      <c r="GK292" s="6"/>
      <c r="GL292" s="6"/>
      <c r="GM292" s="6"/>
      <c r="GN292" s="6"/>
      <c r="GO292" s="6"/>
      <c r="GP292" s="6"/>
      <c r="GQ292" s="6"/>
      <c r="GR292" s="6"/>
      <c r="GS292" s="6"/>
      <c r="GT292" s="6"/>
      <c r="GU292" s="6"/>
      <c r="GV292" s="6"/>
      <c r="GW292" s="6"/>
      <c r="GX292" s="6"/>
      <c r="GY292" s="6"/>
      <c r="GZ292" s="6"/>
      <c r="HA292" s="6"/>
      <c r="HB292" s="6"/>
      <c r="HC292" s="6"/>
      <c r="HD292" s="6"/>
      <c r="HE292" s="6"/>
      <c r="HF292" s="6"/>
      <c r="HG292" s="6"/>
      <c r="HH292" s="6"/>
      <c r="HI292" s="6"/>
      <c r="HJ292" s="6"/>
      <c r="HK292" s="6"/>
      <c r="HL292" s="6"/>
      <c r="HM292" s="6"/>
      <c r="HN292" s="6"/>
      <c r="HO292" s="6"/>
      <c r="HP292" s="6"/>
      <c r="HQ292" s="6"/>
      <c r="HR292" s="6"/>
      <c r="HS292" s="6"/>
      <c r="HT292" s="6"/>
      <c r="HU292" s="6"/>
    </row>
    <row r="293" spans="9:229"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  <c r="ER293" s="6"/>
      <c r="ES293" s="6"/>
      <c r="ET293" s="6"/>
      <c r="EU293" s="6"/>
      <c r="EV293" s="6"/>
      <c r="EW293" s="6"/>
      <c r="EX293" s="6"/>
      <c r="EY293" s="6"/>
      <c r="EZ293" s="6"/>
      <c r="FA293" s="6"/>
      <c r="FB293" s="6"/>
      <c r="FC293" s="6"/>
      <c r="FD293" s="6"/>
      <c r="FE293" s="6"/>
      <c r="FF293" s="6"/>
      <c r="FG293" s="6"/>
      <c r="FH293" s="6"/>
      <c r="FI293" s="6"/>
      <c r="FJ293" s="6"/>
      <c r="FK293" s="6"/>
      <c r="FL293" s="6"/>
      <c r="FM293" s="6"/>
      <c r="FN293" s="6"/>
      <c r="FO293" s="6"/>
      <c r="FP293" s="6"/>
      <c r="FQ293" s="6"/>
      <c r="FR293" s="6"/>
      <c r="FS293" s="6"/>
      <c r="FT293" s="6"/>
      <c r="FU293" s="6"/>
      <c r="FV293" s="6"/>
      <c r="FW293" s="6"/>
      <c r="FX293" s="6"/>
      <c r="FY293" s="6"/>
      <c r="FZ293" s="6"/>
      <c r="GA293" s="6"/>
      <c r="GB293" s="6"/>
      <c r="GC293" s="6"/>
      <c r="GD293" s="6"/>
      <c r="GE293" s="6"/>
      <c r="GF293" s="6"/>
      <c r="GG293" s="6"/>
      <c r="GH293" s="6"/>
      <c r="GI293" s="6"/>
      <c r="GJ293" s="6"/>
      <c r="GK293" s="6"/>
      <c r="GL293" s="6"/>
      <c r="GM293" s="6"/>
      <c r="GN293" s="6"/>
      <c r="GO293" s="6"/>
      <c r="GP293" s="6"/>
      <c r="GQ293" s="6"/>
      <c r="GR293" s="6"/>
      <c r="GS293" s="6"/>
      <c r="GT293" s="6"/>
      <c r="GU293" s="6"/>
      <c r="GV293" s="6"/>
      <c r="GW293" s="6"/>
      <c r="GX293" s="6"/>
      <c r="GY293" s="6"/>
      <c r="GZ293" s="6"/>
      <c r="HA293" s="6"/>
      <c r="HB293" s="6"/>
      <c r="HC293" s="6"/>
      <c r="HD293" s="6"/>
      <c r="HE293" s="6"/>
      <c r="HF293" s="6"/>
      <c r="HG293" s="6"/>
      <c r="HH293" s="6"/>
      <c r="HI293" s="6"/>
      <c r="HJ293" s="6"/>
      <c r="HK293" s="6"/>
      <c r="HL293" s="6"/>
      <c r="HM293" s="6"/>
      <c r="HN293" s="6"/>
      <c r="HO293" s="6"/>
      <c r="HP293" s="6"/>
      <c r="HQ293" s="6"/>
      <c r="HR293" s="6"/>
      <c r="HS293" s="6"/>
      <c r="HT293" s="6"/>
      <c r="HU293" s="6"/>
    </row>
    <row r="294" spans="9:229"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  <c r="ER294" s="6"/>
      <c r="ES294" s="6"/>
      <c r="ET294" s="6"/>
      <c r="EU294" s="6"/>
      <c r="EV294" s="6"/>
      <c r="EW294" s="6"/>
      <c r="EX294" s="6"/>
      <c r="EY294" s="6"/>
      <c r="EZ294" s="6"/>
      <c r="FA294" s="6"/>
      <c r="FB294" s="6"/>
      <c r="FC294" s="6"/>
      <c r="FD294" s="6"/>
      <c r="FE294" s="6"/>
      <c r="FF294" s="6"/>
      <c r="FG294" s="6"/>
      <c r="FH294" s="6"/>
      <c r="FI294" s="6"/>
      <c r="FJ294" s="6"/>
      <c r="FK294" s="6"/>
      <c r="FL294" s="6"/>
      <c r="FM294" s="6"/>
      <c r="FN294" s="6"/>
      <c r="FO294" s="6"/>
      <c r="FP294" s="6"/>
      <c r="FQ294" s="6"/>
      <c r="FR294" s="6"/>
      <c r="FS294" s="6"/>
      <c r="FT294" s="6"/>
      <c r="FU294" s="6"/>
      <c r="FV294" s="6"/>
      <c r="FW294" s="6"/>
      <c r="FX294" s="6"/>
      <c r="FY294" s="6"/>
      <c r="FZ294" s="6"/>
      <c r="GA294" s="6"/>
      <c r="GB294" s="6"/>
      <c r="GC294" s="6"/>
      <c r="GD294" s="6"/>
      <c r="GE294" s="6"/>
      <c r="GF294" s="6"/>
      <c r="GG294" s="6"/>
      <c r="GH294" s="6"/>
      <c r="GI294" s="6"/>
      <c r="GJ294" s="6"/>
      <c r="GK294" s="6"/>
      <c r="GL294" s="6"/>
      <c r="GM294" s="6"/>
      <c r="GN294" s="6"/>
      <c r="GO294" s="6"/>
      <c r="GP294" s="6"/>
      <c r="GQ294" s="6"/>
      <c r="GR294" s="6"/>
      <c r="GS294" s="6"/>
      <c r="GT294" s="6"/>
      <c r="GU294" s="6"/>
      <c r="GV294" s="6"/>
      <c r="GW294" s="6"/>
      <c r="GX294" s="6"/>
      <c r="GY294" s="6"/>
      <c r="GZ294" s="6"/>
      <c r="HA294" s="6"/>
      <c r="HB294" s="6"/>
      <c r="HC294" s="6"/>
      <c r="HD294" s="6"/>
      <c r="HE294" s="6"/>
      <c r="HF294" s="6"/>
      <c r="HG294" s="6"/>
      <c r="HH294" s="6"/>
      <c r="HI294" s="6"/>
      <c r="HJ294" s="6"/>
      <c r="HK294" s="6"/>
      <c r="HL294" s="6"/>
      <c r="HM294" s="6"/>
      <c r="HN294" s="6"/>
      <c r="HO294" s="6"/>
      <c r="HP294" s="6"/>
      <c r="HQ294" s="6"/>
      <c r="HR294" s="6"/>
      <c r="HS294" s="6"/>
      <c r="HT294" s="6"/>
      <c r="HU294" s="6"/>
    </row>
    <row r="295" spans="9:229"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  <c r="ER295" s="6"/>
      <c r="ES295" s="6"/>
      <c r="ET295" s="6"/>
      <c r="EU295" s="6"/>
      <c r="EV295" s="6"/>
      <c r="EW295" s="6"/>
      <c r="EX295" s="6"/>
      <c r="EY295" s="6"/>
      <c r="EZ295" s="6"/>
      <c r="FA295" s="6"/>
      <c r="FB295" s="6"/>
      <c r="FC295" s="6"/>
      <c r="FD295" s="6"/>
      <c r="FE295" s="6"/>
      <c r="FF295" s="6"/>
      <c r="FG295" s="6"/>
      <c r="FH295" s="6"/>
      <c r="FI295" s="6"/>
      <c r="FJ295" s="6"/>
      <c r="FK295" s="6"/>
      <c r="FL295" s="6"/>
      <c r="FM295" s="6"/>
      <c r="FN295" s="6"/>
      <c r="FO295" s="6"/>
      <c r="FP295" s="6"/>
      <c r="FQ295" s="6"/>
      <c r="FR295" s="6"/>
      <c r="FS295" s="6"/>
      <c r="FT295" s="6"/>
      <c r="FU295" s="6"/>
      <c r="FV295" s="6"/>
      <c r="FW295" s="6"/>
      <c r="FX295" s="6"/>
      <c r="FY295" s="6"/>
      <c r="FZ295" s="6"/>
      <c r="GA295" s="6"/>
      <c r="GB295" s="6"/>
      <c r="GC295" s="6"/>
      <c r="GD295" s="6"/>
      <c r="GE295" s="6"/>
      <c r="GF295" s="6"/>
      <c r="GG295" s="6"/>
      <c r="GH295" s="6"/>
      <c r="GI295" s="6"/>
      <c r="GJ295" s="6"/>
      <c r="GK295" s="6"/>
      <c r="GL295" s="6"/>
      <c r="GM295" s="6"/>
      <c r="GN295" s="6"/>
      <c r="GO295" s="6"/>
      <c r="GP295" s="6"/>
      <c r="GQ295" s="6"/>
      <c r="GR295" s="6"/>
      <c r="GS295" s="6"/>
      <c r="GT295" s="6"/>
      <c r="GU295" s="6"/>
      <c r="GV295" s="6"/>
      <c r="GW295" s="6"/>
      <c r="GX295" s="6"/>
      <c r="GY295" s="6"/>
      <c r="GZ295" s="6"/>
      <c r="HA295" s="6"/>
      <c r="HB295" s="6"/>
      <c r="HC295" s="6"/>
      <c r="HD295" s="6"/>
      <c r="HE295" s="6"/>
      <c r="HF295" s="6"/>
      <c r="HG295" s="6"/>
      <c r="HH295" s="6"/>
      <c r="HI295" s="6"/>
      <c r="HJ295" s="6"/>
      <c r="HK295" s="6"/>
      <c r="HL295" s="6"/>
      <c r="HM295" s="6"/>
      <c r="HN295" s="6"/>
      <c r="HO295" s="6"/>
      <c r="HP295" s="6"/>
      <c r="HQ295" s="6"/>
      <c r="HR295" s="6"/>
      <c r="HS295" s="6"/>
      <c r="HT295" s="6"/>
      <c r="HU295" s="6"/>
    </row>
    <row r="296" spans="9:229"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  <c r="ER296" s="6"/>
      <c r="ES296" s="6"/>
      <c r="ET296" s="6"/>
      <c r="EU296" s="6"/>
      <c r="EV296" s="6"/>
      <c r="EW296" s="6"/>
      <c r="EX296" s="6"/>
      <c r="EY296" s="6"/>
      <c r="EZ296" s="6"/>
      <c r="FA296" s="6"/>
      <c r="FB296" s="6"/>
      <c r="FC296" s="6"/>
      <c r="FD296" s="6"/>
      <c r="FE296" s="6"/>
      <c r="FF296" s="6"/>
      <c r="FG296" s="6"/>
      <c r="FH296" s="6"/>
      <c r="FI296" s="6"/>
      <c r="FJ296" s="6"/>
      <c r="FK296" s="6"/>
      <c r="FL296" s="6"/>
      <c r="FM296" s="6"/>
      <c r="FN296" s="6"/>
      <c r="FO296" s="6"/>
      <c r="FP296" s="6"/>
      <c r="FQ296" s="6"/>
      <c r="FR296" s="6"/>
      <c r="FS296" s="6"/>
      <c r="FT296" s="6"/>
      <c r="FU296" s="6"/>
      <c r="FV296" s="6"/>
      <c r="FW296" s="6"/>
      <c r="FX296" s="6"/>
      <c r="FY296" s="6"/>
      <c r="FZ296" s="6"/>
      <c r="GA296" s="6"/>
      <c r="GB296" s="6"/>
      <c r="GC296" s="6"/>
      <c r="GD296" s="6"/>
      <c r="GE296" s="6"/>
      <c r="GF296" s="6"/>
      <c r="GG296" s="6"/>
      <c r="GH296" s="6"/>
      <c r="GI296" s="6"/>
      <c r="GJ296" s="6"/>
      <c r="GK296" s="6"/>
      <c r="GL296" s="6"/>
      <c r="GM296" s="6"/>
      <c r="GN296" s="6"/>
      <c r="GO296" s="6"/>
      <c r="GP296" s="6"/>
      <c r="GQ296" s="6"/>
      <c r="GR296" s="6"/>
      <c r="GS296" s="6"/>
      <c r="GT296" s="6"/>
      <c r="GU296" s="6"/>
      <c r="GV296" s="6"/>
      <c r="GW296" s="6"/>
      <c r="GX296" s="6"/>
      <c r="GY296" s="6"/>
      <c r="GZ296" s="6"/>
      <c r="HA296" s="6"/>
      <c r="HB296" s="6"/>
      <c r="HC296" s="6"/>
      <c r="HD296" s="6"/>
      <c r="HE296" s="6"/>
      <c r="HF296" s="6"/>
      <c r="HG296" s="6"/>
      <c r="HH296" s="6"/>
      <c r="HI296" s="6"/>
      <c r="HJ296" s="6"/>
      <c r="HK296" s="6"/>
      <c r="HL296" s="6"/>
      <c r="HM296" s="6"/>
      <c r="HN296" s="6"/>
      <c r="HO296" s="6"/>
      <c r="HP296" s="6"/>
      <c r="HQ296" s="6"/>
      <c r="HR296" s="6"/>
      <c r="HS296" s="6"/>
      <c r="HT296" s="6"/>
      <c r="HU296" s="6"/>
    </row>
    <row r="297" spans="9:229"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  <c r="ER297" s="6"/>
      <c r="ES297" s="6"/>
      <c r="ET297" s="6"/>
      <c r="EU297" s="6"/>
      <c r="EV297" s="6"/>
      <c r="EW297" s="6"/>
      <c r="EX297" s="6"/>
      <c r="EY297" s="6"/>
      <c r="EZ297" s="6"/>
      <c r="FA297" s="6"/>
      <c r="FB297" s="6"/>
      <c r="FC297" s="6"/>
      <c r="FD297" s="6"/>
      <c r="FE297" s="6"/>
      <c r="FF297" s="6"/>
      <c r="FG297" s="6"/>
      <c r="FH297" s="6"/>
      <c r="FI297" s="6"/>
      <c r="FJ297" s="6"/>
      <c r="FK297" s="6"/>
      <c r="FL297" s="6"/>
      <c r="FM297" s="6"/>
      <c r="FN297" s="6"/>
      <c r="FO297" s="6"/>
      <c r="FP297" s="6"/>
      <c r="FQ297" s="6"/>
      <c r="FR297" s="6"/>
      <c r="FS297" s="6"/>
      <c r="FT297" s="6"/>
      <c r="FU297" s="6"/>
      <c r="FV297" s="6"/>
      <c r="FW297" s="6"/>
      <c r="FX297" s="6"/>
      <c r="FY297" s="6"/>
      <c r="FZ297" s="6"/>
      <c r="GA297" s="6"/>
      <c r="GB297" s="6"/>
      <c r="GC297" s="6"/>
      <c r="GD297" s="6"/>
      <c r="GE297" s="6"/>
      <c r="GF297" s="6"/>
      <c r="GG297" s="6"/>
      <c r="GH297" s="6"/>
      <c r="GI297" s="6"/>
      <c r="GJ297" s="6"/>
      <c r="GK297" s="6"/>
      <c r="GL297" s="6"/>
      <c r="GM297" s="6"/>
      <c r="GN297" s="6"/>
      <c r="GO297" s="6"/>
      <c r="GP297" s="6"/>
      <c r="GQ297" s="6"/>
      <c r="GR297" s="6"/>
      <c r="GS297" s="6"/>
      <c r="GT297" s="6"/>
      <c r="GU297" s="6"/>
      <c r="GV297" s="6"/>
      <c r="GW297" s="6"/>
      <c r="GX297" s="6"/>
      <c r="GY297" s="6"/>
      <c r="GZ297" s="6"/>
      <c r="HA297" s="6"/>
      <c r="HB297" s="6"/>
      <c r="HC297" s="6"/>
      <c r="HD297" s="6"/>
      <c r="HE297" s="6"/>
      <c r="HF297" s="6"/>
      <c r="HG297" s="6"/>
      <c r="HH297" s="6"/>
      <c r="HI297" s="6"/>
      <c r="HJ297" s="6"/>
      <c r="HK297" s="6"/>
      <c r="HL297" s="6"/>
      <c r="HM297" s="6"/>
      <c r="HN297" s="6"/>
      <c r="HO297" s="6"/>
      <c r="HP297" s="6"/>
      <c r="HQ297" s="6"/>
      <c r="HR297" s="6"/>
      <c r="HS297" s="6"/>
      <c r="HT297" s="6"/>
      <c r="HU297" s="6"/>
    </row>
    <row r="298" spans="9:229"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BV298" s="6"/>
      <c r="BW298" s="6"/>
      <c r="BX298" s="6"/>
      <c r="BY298" s="6"/>
      <c r="BZ298" s="6"/>
      <c r="CA298" s="6"/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  <c r="ER298" s="6"/>
      <c r="ES298" s="6"/>
      <c r="ET298" s="6"/>
      <c r="EU298" s="6"/>
      <c r="EV298" s="6"/>
      <c r="EW298" s="6"/>
      <c r="EX298" s="6"/>
      <c r="EY298" s="6"/>
      <c r="EZ298" s="6"/>
      <c r="FA298" s="6"/>
      <c r="FB298" s="6"/>
      <c r="FC298" s="6"/>
      <c r="FD298" s="6"/>
      <c r="FE298" s="6"/>
      <c r="FF298" s="6"/>
      <c r="FG298" s="6"/>
      <c r="FH298" s="6"/>
      <c r="FI298" s="6"/>
      <c r="FJ298" s="6"/>
      <c r="FK298" s="6"/>
      <c r="FL298" s="6"/>
      <c r="FM298" s="6"/>
      <c r="FN298" s="6"/>
      <c r="FO298" s="6"/>
      <c r="FP298" s="6"/>
      <c r="FQ298" s="6"/>
      <c r="FR298" s="6"/>
      <c r="FS298" s="6"/>
      <c r="FT298" s="6"/>
      <c r="FU298" s="6"/>
      <c r="FV298" s="6"/>
      <c r="FW298" s="6"/>
      <c r="FX298" s="6"/>
      <c r="FY298" s="6"/>
      <c r="FZ298" s="6"/>
      <c r="GA298" s="6"/>
      <c r="GB298" s="6"/>
      <c r="GC298" s="6"/>
      <c r="GD298" s="6"/>
      <c r="GE298" s="6"/>
      <c r="GF298" s="6"/>
      <c r="GG298" s="6"/>
      <c r="GH298" s="6"/>
      <c r="GI298" s="6"/>
      <c r="GJ298" s="6"/>
      <c r="GK298" s="6"/>
      <c r="GL298" s="6"/>
      <c r="GM298" s="6"/>
      <c r="GN298" s="6"/>
      <c r="GO298" s="6"/>
      <c r="GP298" s="6"/>
      <c r="GQ298" s="6"/>
      <c r="GR298" s="6"/>
      <c r="GS298" s="6"/>
      <c r="GT298" s="6"/>
      <c r="GU298" s="6"/>
      <c r="GV298" s="6"/>
      <c r="GW298" s="6"/>
      <c r="GX298" s="6"/>
      <c r="GY298" s="6"/>
      <c r="GZ298" s="6"/>
      <c r="HA298" s="6"/>
      <c r="HB298" s="6"/>
      <c r="HC298" s="6"/>
      <c r="HD298" s="6"/>
      <c r="HE298" s="6"/>
      <c r="HF298" s="6"/>
      <c r="HG298" s="6"/>
      <c r="HH298" s="6"/>
      <c r="HI298" s="6"/>
      <c r="HJ298" s="6"/>
      <c r="HK298" s="6"/>
      <c r="HL298" s="6"/>
      <c r="HM298" s="6"/>
      <c r="HN298" s="6"/>
      <c r="HO298" s="6"/>
      <c r="HP298" s="6"/>
      <c r="HQ298" s="6"/>
      <c r="HR298" s="6"/>
      <c r="HS298" s="6"/>
      <c r="HT298" s="6"/>
      <c r="HU298" s="6"/>
    </row>
    <row r="299" spans="9:229"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BV299" s="6"/>
      <c r="BW299" s="6"/>
      <c r="BX299" s="6"/>
      <c r="BY299" s="6"/>
      <c r="BZ299" s="6"/>
      <c r="CA299" s="6"/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  <c r="ER299" s="6"/>
      <c r="ES299" s="6"/>
      <c r="ET299" s="6"/>
      <c r="EU299" s="6"/>
      <c r="EV299" s="6"/>
      <c r="EW299" s="6"/>
      <c r="EX299" s="6"/>
      <c r="EY299" s="6"/>
      <c r="EZ299" s="6"/>
      <c r="FA299" s="6"/>
      <c r="FB299" s="6"/>
      <c r="FC299" s="6"/>
      <c r="FD299" s="6"/>
      <c r="FE299" s="6"/>
      <c r="FF299" s="6"/>
      <c r="FG299" s="6"/>
      <c r="FH299" s="6"/>
      <c r="FI299" s="6"/>
      <c r="FJ299" s="6"/>
      <c r="FK299" s="6"/>
      <c r="FL299" s="6"/>
      <c r="FM299" s="6"/>
      <c r="FN299" s="6"/>
      <c r="FO299" s="6"/>
      <c r="FP299" s="6"/>
      <c r="FQ299" s="6"/>
      <c r="FR299" s="6"/>
      <c r="FS299" s="6"/>
      <c r="FT299" s="6"/>
      <c r="FU299" s="6"/>
      <c r="FV299" s="6"/>
      <c r="FW299" s="6"/>
      <c r="FX299" s="6"/>
      <c r="FY299" s="6"/>
      <c r="FZ299" s="6"/>
      <c r="GA299" s="6"/>
      <c r="GB299" s="6"/>
      <c r="GC299" s="6"/>
      <c r="GD299" s="6"/>
      <c r="GE299" s="6"/>
      <c r="GF299" s="6"/>
      <c r="GG299" s="6"/>
      <c r="GH299" s="6"/>
      <c r="GI299" s="6"/>
      <c r="GJ299" s="6"/>
      <c r="GK299" s="6"/>
      <c r="GL299" s="6"/>
      <c r="GM299" s="6"/>
      <c r="GN299" s="6"/>
      <c r="GO299" s="6"/>
      <c r="GP299" s="6"/>
      <c r="GQ299" s="6"/>
      <c r="GR299" s="6"/>
      <c r="GS299" s="6"/>
      <c r="GT299" s="6"/>
      <c r="GU299" s="6"/>
      <c r="GV299" s="6"/>
      <c r="GW299" s="6"/>
      <c r="GX299" s="6"/>
      <c r="GY299" s="6"/>
      <c r="GZ299" s="6"/>
      <c r="HA299" s="6"/>
      <c r="HB299" s="6"/>
      <c r="HC299" s="6"/>
      <c r="HD299" s="6"/>
      <c r="HE299" s="6"/>
      <c r="HF299" s="6"/>
      <c r="HG299" s="6"/>
      <c r="HH299" s="6"/>
      <c r="HI299" s="6"/>
      <c r="HJ299" s="6"/>
      <c r="HK299" s="6"/>
      <c r="HL299" s="6"/>
      <c r="HM299" s="6"/>
      <c r="HN299" s="6"/>
      <c r="HO299" s="6"/>
      <c r="HP299" s="6"/>
      <c r="HQ299" s="6"/>
      <c r="HR299" s="6"/>
      <c r="HS299" s="6"/>
      <c r="HT299" s="6"/>
      <c r="HU299" s="6"/>
    </row>
    <row r="300" spans="9:229"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BV300" s="6"/>
      <c r="BW300" s="6"/>
      <c r="BX300" s="6"/>
      <c r="BY300" s="6"/>
      <c r="BZ300" s="6"/>
      <c r="CA300" s="6"/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  <c r="ER300" s="6"/>
      <c r="ES300" s="6"/>
      <c r="ET300" s="6"/>
      <c r="EU300" s="6"/>
      <c r="EV300" s="6"/>
      <c r="EW300" s="6"/>
      <c r="EX300" s="6"/>
      <c r="EY300" s="6"/>
      <c r="EZ300" s="6"/>
      <c r="FA300" s="6"/>
      <c r="FB300" s="6"/>
      <c r="FC300" s="6"/>
      <c r="FD300" s="6"/>
      <c r="FE300" s="6"/>
      <c r="FF300" s="6"/>
      <c r="FG300" s="6"/>
      <c r="FH300" s="6"/>
      <c r="FI300" s="6"/>
      <c r="FJ300" s="6"/>
      <c r="FK300" s="6"/>
      <c r="FL300" s="6"/>
      <c r="FM300" s="6"/>
      <c r="FN300" s="6"/>
      <c r="FO300" s="6"/>
      <c r="FP300" s="6"/>
      <c r="FQ300" s="6"/>
      <c r="FR300" s="6"/>
      <c r="FS300" s="6"/>
      <c r="FT300" s="6"/>
      <c r="FU300" s="6"/>
      <c r="FV300" s="6"/>
      <c r="FW300" s="6"/>
      <c r="FX300" s="6"/>
      <c r="FY300" s="6"/>
      <c r="FZ300" s="6"/>
      <c r="GA300" s="6"/>
      <c r="GB300" s="6"/>
      <c r="GC300" s="6"/>
      <c r="GD300" s="6"/>
      <c r="GE300" s="6"/>
      <c r="GF300" s="6"/>
      <c r="GG300" s="6"/>
      <c r="GH300" s="6"/>
      <c r="GI300" s="6"/>
      <c r="GJ300" s="6"/>
      <c r="GK300" s="6"/>
      <c r="GL300" s="6"/>
      <c r="GM300" s="6"/>
      <c r="GN300" s="6"/>
      <c r="GO300" s="6"/>
      <c r="GP300" s="6"/>
      <c r="GQ300" s="6"/>
      <c r="GR300" s="6"/>
      <c r="GS300" s="6"/>
      <c r="GT300" s="6"/>
      <c r="GU300" s="6"/>
      <c r="GV300" s="6"/>
      <c r="GW300" s="6"/>
      <c r="GX300" s="6"/>
      <c r="GY300" s="6"/>
      <c r="GZ300" s="6"/>
      <c r="HA300" s="6"/>
      <c r="HB300" s="6"/>
      <c r="HC300" s="6"/>
      <c r="HD300" s="6"/>
      <c r="HE300" s="6"/>
      <c r="HF300" s="6"/>
      <c r="HG300" s="6"/>
      <c r="HH300" s="6"/>
      <c r="HI300" s="6"/>
      <c r="HJ300" s="6"/>
      <c r="HK300" s="6"/>
      <c r="HL300" s="6"/>
      <c r="HM300" s="6"/>
      <c r="HN300" s="6"/>
      <c r="HO300" s="6"/>
      <c r="HP300" s="6"/>
      <c r="HQ300" s="6"/>
      <c r="HR300" s="6"/>
      <c r="HS300" s="6"/>
      <c r="HT300" s="6"/>
      <c r="HU300" s="6"/>
    </row>
    <row r="301" spans="9:229"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BV301" s="6"/>
      <c r="BW301" s="6"/>
      <c r="BX301" s="6"/>
      <c r="BY301" s="6"/>
      <c r="BZ301" s="6"/>
      <c r="CA301" s="6"/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  <c r="ER301" s="6"/>
      <c r="ES301" s="6"/>
      <c r="ET301" s="6"/>
      <c r="EU301" s="6"/>
      <c r="EV301" s="6"/>
      <c r="EW301" s="6"/>
      <c r="EX301" s="6"/>
      <c r="EY301" s="6"/>
      <c r="EZ301" s="6"/>
      <c r="FA301" s="6"/>
      <c r="FB301" s="6"/>
      <c r="FC301" s="6"/>
      <c r="FD301" s="6"/>
      <c r="FE301" s="6"/>
      <c r="FF301" s="6"/>
      <c r="FG301" s="6"/>
      <c r="FH301" s="6"/>
      <c r="FI301" s="6"/>
      <c r="FJ301" s="6"/>
      <c r="FK301" s="6"/>
      <c r="FL301" s="6"/>
      <c r="FM301" s="6"/>
      <c r="FN301" s="6"/>
      <c r="FO301" s="6"/>
      <c r="FP301" s="6"/>
      <c r="FQ301" s="6"/>
      <c r="FR301" s="6"/>
      <c r="FS301" s="6"/>
      <c r="FT301" s="6"/>
      <c r="FU301" s="6"/>
      <c r="FV301" s="6"/>
      <c r="FW301" s="6"/>
      <c r="FX301" s="6"/>
      <c r="FY301" s="6"/>
      <c r="FZ301" s="6"/>
      <c r="GA301" s="6"/>
      <c r="GB301" s="6"/>
      <c r="GC301" s="6"/>
      <c r="GD301" s="6"/>
      <c r="GE301" s="6"/>
      <c r="GF301" s="6"/>
      <c r="GG301" s="6"/>
      <c r="GH301" s="6"/>
      <c r="GI301" s="6"/>
      <c r="GJ301" s="6"/>
      <c r="GK301" s="6"/>
      <c r="GL301" s="6"/>
      <c r="GM301" s="6"/>
      <c r="GN301" s="6"/>
      <c r="GO301" s="6"/>
      <c r="GP301" s="6"/>
      <c r="GQ301" s="6"/>
      <c r="GR301" s="6"/>
      <c r="GS301" s="6"/>
      <c r="GT301" s="6"/>
      <c r="GU301" s="6"/>
      <c r="GV301" s="6"/>
      <c r="GW301" s="6"/>
      <c r="GX301" s="6"/>
      <c r="GY301" s="6"/>
      <c r="GZ301" s="6"/>
      <c r="HA301" s="6"/>
      <c r="HB301" s="6"/>
      <c r="HC301" s="6"/>
      <c r="HD301" s="6"/>
      <c r="HE301" s="6"/>
      <c r="HF301" s="6"/>
      <c r="HG301" s="6"/>
      <c r="HH301" s="6"/>
      <c r="HI301" s="6"/>
      <c r="HJ301" s="6"/>
      <c r="HK301" s="6"/>
      <c r="HL301" s="6"/>
      <c r="HM301" s="6"/>
      <c r="HN301" s="6"/>
      <c r="HO301" s="6"/>
      <c r="HP301" s="6"/>
      <c r="HQ301" s="6"/>
      <c r="HR301" s="6"/>
      <c r="HS301" s="6"/>
      <c r="HT301" s="6"/>
      <c r="HU301" s="6"/>
    </row>
    <row r="302" spans="9:229"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BV302" s="6"/>
      <c r="BW302" s="6"/>
      <c r="BX302" s="6"/>
      <c r="BY302" s="6"/>
      <c r="BZ302" s="6"/>
      <c r="CA302" s="6"/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  <c r="ER302" s="6"/>
      <c r="ES302" s="6"/>
      <c r="ET302" s="6"/>
      <c r="EU302" s="6"/>
      <c r="EV302" s="6"/>
      <c r="EW302" s="6"/>
      <c r="EX302" s="6"/>
      <c r="EY302" s="6"/>
      <c r="EZ302" s="6"/>
      <c r="FA302" s="6"/>
      <c r="FB302" s="6"/>
      <c r="FC302" s="6"/>
      <c r="FD302" s="6"/>
      <c r="FE302" s="6"/>
      <c r="FF302" s="6"/>
      <c r="FG302" s="6"/>
      <c r="FH302" s="6"/>
      <c r="FI302" s="6"/>
      <c r="FJ302" s="6"/>
      <c r="FK302" s="6"/>
      <c r="FL302" s="6"/>
      <c r="FM302" s="6"/>
      <c r="FN302" s="6"/>
      <c r="FO302" s="6"/>
      <c r="FP302" s="6"/>
      <c r="FQ302" s="6"/>
      <c r="FR302" s="6"/>
      <c r="FS302" s="6"/>
      <c r="FT302" s="6"/>
      <c r="FU302" s="6"/>
      <c r="FV302" s="6"/>
      <c r="FW302" s="6"/>
      <c r="FX302" s="6"/>
      <c r="FY302" s="6"/>
      <c r="FZ302" s="6"/>
      <c r="GA302" s="6"/>
      <c r="GB302" s="6"/>
      <c r="GC302" s="6"/>
      <c r="GD302" s="6"/>
      <c r="GE302" s="6"/>
      <c r="GF302" s="6"/>
      <c r="GG302" s="6"/>
      <c r="GH302" s="6"/>
      <c r="GI302" s="6"/>
      <c r="GJ302" s="6"/>
      <c r="GK302" s="6"/>
      <c r="GL302" s="6"/>
      <c r="GM302" s="6"/>
      <c r="GN302" s="6"/>
      <c r="GO302" s="6"/>
      <c r="GP302" s="6"/>
      <c r="GQ302" s="6"/>
      <c r="GR302" s="6"/>
      <c r="GS302" s="6"/>
      <c r="GT302" s="6"/>
      <c r="GU302" s="6"/>
      <c r="GV302" s="6"/>
      <c r="GW302" s="6"/>
      <c r="GX302" s="6"/>
      <c r="GY302" s="6"/>
      <c r="GZ302" s="6"/>
      <c r="HA302" s="6"/>
      <c r="HB302" s="6"/>
      <c r="HC302" s="6"/>
      <c r="HD302" s="6"/>
      <c r="HE302" s="6"/>
      <c r="HF302" s="6"/>
      <c r="HG302" s="6"/>
      <c r="HH302" s="6"/>
      <c r="HI302" s="6"/>
      <c r="HJ302" s="6"/>
      <c r="HK302" s="6"/>
      <c r="HL302" s="6"/>
      <c r="HM302" s="6"/>
      <c r="HN302" s="6"/>
      <c r="HO302" s="6"/>
      <c r="HP302" s="6"/>
      <c r="HQ302" s="6"/>
      <c r="HR302" s="6"/>
      <c r="HS302" s="6"/>
      <c r="HT302" s="6"/>
      <c r="HU302" s="6"/>
    </row>
    <row r="303" spans="9:229"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BV303" s="6"/>
      <c r="BW303" s="6"/>
      <c r="BX303" s="6"/>
      <c r="BY303" s="6"/>
      <c r="BZ303" s="6"/>
      <c r="CA303" s="6"/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  <c r="ER303" s="6"/>
      <c r="ES303" s="6"/>
      <c r="ET303" s="6"/>
      <c r="EU303" s="6"/>
      <c r="EV303" s="6"/>
      <c r="EW303" s="6"/>
      <c r="EX303" s="6"/>
      <c r="EY303" s="6"/>
      <c r="EZ303" s="6"/>
      <c r="FA303" s="6"/>
      <c r="FB303" s="6"/>
      <c r="FC303" s="6"/>
      <c r="FD303" s="6"/>
      <c r="FE303" s="6"/>
      <c r="FF303" s="6"/>
      <c r="FG303" s="6"/>
      <c r="FH303" s="6"/>
      <c r="FI303" s="6"/>
      <c r="FJ303" s="6"/>
      <c r="FK303" s="6"/>
      <c r="FL303" s="6"/>
      <c r="FM303" s="6"/>
      <c r="FN303" s="6"/>
      <c r="FO303" s="6"/>
      <c r="FP303" s="6"/>
      <c r="FQ303" s="6"/>
      <c r="FR303" s="6"/>
      <c r="FS303" s="6"/>
      <c r="FT303" s="6"/>
      <c r="FU303" s="6"/>
      <c r="FV303" s="6"/>
      <c r="FW303" s="6"/>
      <c r="FX303" s="6"/>
      <c r="FY303" s="6"/>
      <c r="FZ303" s="6"/>
      <c r="GA303" s="6"/>
      <c r="GB303" s="6"/>
      <c r="GC303" s="6"/>
      <c r="GD303" s="6"/>
      <c r="GE303" s="6"/>
      <c r="GF303" s="6"/>
      <c r="GG303" s="6"/>
      <c r="GH303" s="6"/>
      <c r="GI303" s="6"/>
      <c r="GJ303" s="6"/>
      <c r="GK303" s="6"/>
      <c r="GL303" s="6"/>
      <c r="GM303" s="6"/>
      <c r="GN303" s="6"/>
      <c r="GO303" s="6"/>
      <c r="GP303" s="6"/>
      <c r="GQ303" s="6"/>
      <c r="GR303" s="6"/>
      <c r="GS303" s="6"/>
      <c r="GT303" s="6"/>
      <c r="GU303" s="6"/>
      <c r="GV303" s="6"/>
      <c r="GW303" s="6"/>
      <c r="GX303" s="6"/>
      <c r="GY303" s="6"/>
      <c r="GZ303" s="6"/>
      <c r="HA303" s="6"/>
      <c r="HB303" s="6"/>
      <c r="HC303" s="6"/>
      <c r="HD303" s="6"/>
      <c r="HE303" s="6"/>
      <c r="HF303" s="6"/>
      <c r="HG303" s="6"/>
      <c r="HH303" s="6"/>
      <c r="HI303" s="6"/>
      <c r="HJ303" s="6"/>
      <c r="HK303" s="6"/>
      <c r="HL303" s="6"/>
      <c r="HM303" s="6"/>
      <c r="HN303" s="6"/>
      <c r="HO303" s="6"/>
      <c r="HP303" s="6"/>
      <c r="HQ303" s="6"/>
      <c r="HR303" s="6"/>
      <c r="HS303" s="6"/>
      <c r="HT303" s="6"/>
      <c r="HU303" s="6"/>
    </row>
    <row r="304" spans="9:229"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BV304" s="6"/>
      <c r="BW304" s="6"/>
      <c r="BX304" s="6"/>
      <c r="BY304" s="6"/>
      <c r="BZ304" s="6"/>
      <c r="CA304" s="6"/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  <c r="ER304" s="6"/>
      <c r="ES304" s="6"/>
      <c r="ET304" s="6"/>
      <c r="EU304" s="6"/>
      <c r="EV304" s="6"/>
      <c r="EW304" s="6"/>
      <c r="EX304" s="6"/>
      <c r="EY304" s="6"/>
      <c r="EZ304" s="6"/>
      <c r="FA304" s="6"/>
      <c r="FB304" s="6"/>
      <c r="FC304" s="6"/>
      <c r="FD304" s="6"/>
      <c r="FE304" s="6"/>
      <c r="FF304" s="6"/>
      <c r="FG304" s="6"/>
      <c r="FH304" s="6"/>
      <c r="FI304" s="6"/>
      <c r="FJ304" s="6"/>
      <c r="FK304" s="6"/>
      <c r="FL304" s="6"/>
      <c r="FM304" s="6"/>
      <c r="FN304" s="6"/>
      <c r="FO304" s="6"/>
      <c r="FP304" s="6"/>
      <c r="FQ304" s="6"/>
      <c r="FR304" s="6"/>
      <c r="FS304" s="6"/>
      <c r="FT304" s="6"/>
      <c r="FU304" s="6"/>
      <c r="FV304" s="6"/>
      <c r="FW304" s="6"/>
      <c r="FX304" s="6"/>
      <c r="FY304" s="6"/>
      <c r="FZ304" s="6"/>
      <c r="GA304" s="6"/>
      <c r="GB304" s="6"/>
      <c r="GC304" s="6"/>
      <c r="GD304" s="6"/>
      <c r="GE304" s="6"/>
      <c r="GF304" s="6"/>
      <c r="GG304" s="6"/>
      <c r="GH304" s="6"/>
      <c r="GI304" s="6"/>
      <c r="GJ304" s="6"/>
      <c r="GK304" s="6"/>
      <c r="GL304" s="6"/>
      <c r="GM304" s="6"/>
      <c r="GN304" s="6"/>
      <c r="GO304" s="6"/>
      <c r="GP304" s="6"/>
      <c r="GQ304" s="6"/>
      <c r="GR304" s="6"/>
      <c r="GS304" s="6"/>
      <c r="GT304" s="6"/>
      <c r="GU304" s="6"/>
      <c r="GV304" s="6"/>
      <c r="GW304" s="6"/>
      <c r="GX304" s="6"/>
      <c r="GY304" s="6"/>
      <c r="GZ304" s="6"/>
      <c r="HA304" s="6"/>
      <c r="HB304" s="6"/>
      <c r="HC304" s="6"/>
      <c r="HD304" s="6"/>
      <c r="HE304" s="6"/>
      <c r="HF304" s="6"/>
      <c r="HG304" s="6"/>
      <c r="HH304" s="6"/>
      <c r="HI304" s="6"/>
      <c r="HJ304" s="6"/>
      <c r="HK304" s="6"/>
      <c r="HL304" s="6"/>
      <c r="HM304" s="6"/>
      <c r="HN304" s="6"/>
      <c r="HO304" s="6"/>
      <c r="HP304" s="6"/>
      <c r="HQ304" s="6"/>
      <c r="HR304" s="6"/>
      <c r="HS304" s="6"/>
      <c r="HT304" s="6"/>
      <c r="HU304" s="6"/>
    </row>
    <row r="305" spans="9:229"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BV305" s="6"/>
      <c r="BW305" s="6"/>
      <c r="BX305" s="6"/>
      <c r="BY305" s="6"/>
      <c r="BZ305" s="6"/>
      <c r="CA305" s="6"/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  <c r="ER305" s="6"/>
      <c r="ES305" s="6"/>
      <c r="ET305" s="6"/>
      <c r="EU305" s="6"/>
      <c r="EV305" s="6"/>
      <c r="EW305" s="6"/>
      <c r="EX305" s="6"/>
      <c r="EY305" s="6"/>
      <c r="EZ305" s="6"/>
      <c r="FA305" s="6"/>
      <c r="FB305" s="6"/>
      <c r="FC305" s="6"/>
      <c r="FD305" s="6"/>
      <c r="FE305" s="6"/>
      <c r="FF305" s="6"/>
      <c r="FG305" s="6"/>
      <c r="FH305" s="6"/>
      <c r="FI305" s="6"/>
      <c r="FJ305" s="6"/>
      <c r="FK305" s="6"/>
      <c r="FL305" s="6"/>
      <c r="FM305" s="6"/>
      <c r="FN305" s="6"/>
      <c r="FO305" s="6"/>
      <c r="FP305" s="6"/>
      <c r="FQ305" s="6"/>
      <c r="FR305" s="6"/>
      <c r="FS305" s="6"/>
      <c r="FT305" s="6"/>
      <c r="FU305" s="6"/>
      <c r="FV305" s="6"/>
      <c r="FW305" s="6"/>
      <c r="FX305" s="6"/>
      <c r="FY305" s="6"/>
      <c r="FZ305" s="6"/>
      <c r="GA305" s="6"/>
      <c r="GB305" s="6"/>
      <c r="GC305" s="6"/>
      <c r="GD305" s="6"/>
      <c r="GE305" s="6"/>
      <c r="GF305" s="6"/>
      <c r="GG305" s="6"/>
      <c r="GH305" s="6"/>
      <c r="GI305" s="6"/>
      <c r="GJ305" s="6"/>
      <c r="GK305" s="6"/>
      <c r="GL305" s="6"/>
      <c r="GM305" s="6"/>
      <c r="GN305" s="6"/>
      <c r="GO305" s="6"/>
      <c r="GP305" s="6"/>
      <c r="GQ305" s="6"/>
      <c r="GR305" s="6"/>
      <c r="GS305" s="6"/>
      <c r="GT305" s="6"/>
      <c r="GU305" s="6"/>
      <c r="GV305" s="6"/>
      <c r="GW305" s="6"/>
      <c r="GX305" s="6"/>
      <c r="GY305" s="6"/>
      <c r="GZ305" s="6"/>
      <c r="HA305" s="6"/>
      <c r="HB305" s="6"/>
      <c r="HC305" s="6"/>
      <c r="HD305" s="6"/>
      <c r="HE305" s="6"/>
      <c r="HF305" s="6"/>
      <c r="HG305" s="6"/>
      <c r="HH305" s="6"/>
      <c r="HI305" s="6"/>
      <c r="HJ305" s="6"/>
      <c r="HK305" s="6"/>
      <c r="HL305" s="6"/>
      <c r="HM305" s="6"/>
      <c r="HN305" s="6"/>
      <c r="HO305" s="6"/>
      <c r="HP305" s="6"/>
      <c r="HQ305" s="6"/>
      <c r="HR305" s="6"/>
      <c r="HS305" s="6"/>
      <c r="HT305" s="6"/>
      <c r="HU305" s="6"/>
    </row>
    <row r="306" spans="9:229"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BV306" s="6"/>
      <c r="BW306" s="6"/>
      <c r="BX306" s="6"/>
      <c r="BY306" s="6"/>
      <c r="BZ306" s="6"/>
      <c r="CA306" s="6"/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  <c r="ER306" s="6"/>
      <c r="ES306" s="6"/>
      <c r="ET306" s="6"/>
      <c r="EU306" s="6"/>
      <c r="EV306" s="6"/>
      <c r="EW306" s="6"/>
      <c r="EX306" s="6"/>
      <c r="EY306" s="6"/>
      <c r="EZ306" s="6"/>
      <c r="FA306" s="6"/>
      <c r="FB306" s="6"/>
      <c r="FC306" s="6"/>
      <c r="FD306" s="6"/>
      <c r="FE306" s="6"/>
      <c r="FF306" s="6"/>
      <c r="FG306" s="6"/>
      <c r="FH306" s="6"/>
      <c r="FI306" s="6"/>
      <c r="FJ306" s="6"/>
      <c r="FK306" s="6"/>
      <c r="FL306" s="6"/>
      <c r="FM306" s="6"/>
      <c r="FN306" s="6"/>
      <c r="FO306" s="6"/>
      <c r="FP306" s="6"/>
      <c r="FQ306" s="6"/>
      <c r="FR306" s="6"/>
      <c r="FS306" s="6"/>
      <c r="FT306" s="6"/>
      <c r="FU306" s="6"/>
      <c r="FV306" s="6"/>
      <c r="FW306" s="6"/>
      <c r="FX306" s="6"/>
      <c r="FY306" s="6"/>
      <c r="FZ306" s="6"/>
      <c r="GA306" s="6"/>
      <c r="GB306" s="6"/>
      <c r="GC306" s="6"/>
      <c r="GD306" s="6"/>
      <c r="GE306" s="6"/>
      <c r="GF306" s="6"/>
      <c r="GG306" s="6"/>
      <c r="GH306" s="6"/>
      <c r="GI306" s="6"/>
      <c r="GJ306" s="6"/>
      <c r="GK306" s="6"/>
      <c r="GL306" s="6"/>
      <c r="GM306" s="6"/>
      <c r="GN306" s="6"/>
      <c r="GO306" s="6"/>
      <c r="GP306" s="6"/>
      <c r="GQ306" s="6"/>
      <c r="GR306" s="6"/>
      <c r="GS306" s="6"/>
      <c r="GT306" s="6"/>
      <c r="GU306" s="6"/>
      <c r="GV306" s="6"/>
      <c r="GW306" s="6"/>
      <c r="GX306" s="6"/>
      <c r="GY306" s="6"/>
      <c r="GZ306" s="6"/>
      <c r="HA306" s="6"/>
      <c r="HB306" s="6"/>
      <c r="HC306" s="6"/>
      <c r="HD306" s="6"/>
      <c r="HE306" s="6"/>
      <c r="HF306" s="6"/>
      <c r="HG306" s="6"/>
      <c r="HH306" s="6"/>
      <c r="HI306" s="6"/>
      <c r="HJ306" s="6"/>
      <c r="HK306" s="6"/>
      <c r="HL306" s="6"/>
      <c r="HM306" s="6"/>
      <c r="HN306" s="6"/>
      <c r="HO306" s="6"/>
      <c r="HP306" s="6"/>
      <c r="HQ306" s="6"/>
      <c r="HR306" s="6"/>
      <c r="HS306" s="6"/>
      <c r="HT306" s="6"/>
      <c r="HU306" s="6"/>
    </row>
    <row r="307" spans="9:229"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BV307" s="6"/>
      <c r="BW307" s="6"/>
      <c r="BX307" s="6"/>
      <c r="BY307" s="6"/>
      <c r="BZ307" s="6"/>
      <c r="CA307" s="6"/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  <c r="ER307" s="6"/>
      <c r="ES307" s="6"/>
      <c r="ET307" s="6"/>
      <c r="EU307" s="6"/>
      <c r="EV307" s="6"/>
      <c r="EW307" s="6"/>
      <c r="EX307" s="6"/>
      <c r="EY307" s="6"/>
      <c r="EZ307" s="6"/>
      <c r="FA307" s="6"/>
      <c r="FB307" s="6"/>
      <c r="FC307" s="6"/>
      <c r="FD307" s="6"/>
      <c r="FE307" s="6"/>
      <c r="FF307" s="6"/>
      <c r="FG307" s="6"/>
      <c r="FH307" s="6"/>
      <c r="FI307" s="6"/>
      <c r="FJ307" s="6"/>
      <c r="FK307" s="6"/>
      <c r="FL307" s="6"/>
      <c r="FM307" s="6"/>
      <c r="FN307" s="6"/>
      <c r="FO307" s="6"/>
      <c r="FP307" s="6"/>
      <c r="FQ307" s="6"/>
      <c r="FR307" s="6"/>
      <c r="FS307" s="6"/>
      <c r="FT307" s="6"/>
      <c r="FU307" s="6"/>
      <c r="FV307" s="6"/>
      <c r="FW307" s="6"/>
      <c r="FX307" s="6"/>
      <c r="FY307" s="6"/>
      <c r="FZ307" s="6"/>
      <c r="GA307" s="6"/>
      <c r="GB307" s="6"/>
      <c r="GC307" s="6"/>
      <c r="GD307" s="6"/>
      <c r="GE307" s="6"/>
      <c r="GF307" s="6"/>
      <c r="GG307" s="6"/>
      <c r="GH307" s="6"/>
      <c r="GI307" s="6"/>
      <c r="GJ307" s="6"/>
      <c r="GK307" s="6"/>
      <c r="GL307" s="6"/>
      <c r="GM307" s="6"/>
      <c r="GN307" s="6"/>
      <c r="GO307" s="6"/>
      <c r="GP307" s="6"/>
      <c r="GQ307" s="6"/>
      <c r="GR307" s="6"/>
      <c r="GS307" s="6"/>
      <c r="GT307" s="6"/>
      <c r="GU307" s="6"/>
      <c r="GV307" s="6"/>
      <c r="GW307" s="6"/>
      <c r="GX307" s="6"/>
      <c r="GY307" s="6"/>
      <c r="GZ307" s="6"/>
      <c r="HA307" s="6"/>
      <c r="HB307" s="6"/>
      <c r="HC307" s="6"/>
      <c r="HD307" s="6"/>
      <c r="HE307" s="6"/>
      <c r="HF307" s="6"/>
      <c r="HG307" s="6"/>
      <c r="HH307" s="6"/>
      <c r="HI307" s="6"/>
      <c r="HJ307" s="6"/>
      <c r="HK307" s="6"/>
      <c r="HL307" s="6"/>
      <c r="HM307" s="6"/>
      <c r="HN307" s="6"/>
      <c r="HO307" s="6"/>
      <c r="HP307" s="6"/>
      <c r="HQ307" s="6"/>
      <c r="HR307" s="6"/>
      <c r="HS307" s="6"/>
      <c r="HT307" s="6"/>
      <c r="HU307" s="6"/>
    </row>
    <row r="308" spans="9:229"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BV308" s="6"/>
      <c r="BW308" s="6"/>
      <c r="BX308" s="6"/>
      <c r="BY308" s="6"/>
      <c r="BZ308" s="6"/>
      <c r="CA308" s="6"/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  <c r="ER308" s="6"/>
      <c r="ES308" s="6"/>
      <c r="ET308" s="6"/>
      <c r="EU308" s="6"/>
      <c r="EV308" s="6"/>
      <c r="EW308" s="6"/>
      <c r="EX308" s="6"/>
      <c r="EY308" s="6"/>
      <c r="EZ308" s="6"/>
      <c r="FA308" s="6"/>
      <c r="FB308" s="6"/>
      <c r="FC308" s="6"/>
      <c r="FD308" s="6"/>
      <c r="FE308" s="6"/>
      <c r="FF308" s="6"/>
      <c r="FG308" s="6"/>
      <c r="FH308" s="6"/>
      <c r="FI308" s="6"/>
      <c r="FJ308" s="6"/>
      <c r="FK308" s="6"/>
      <c r="FL308" s="6"/>
      <c r="FM308" s="6"/>
      <c r="FN308" s="6"/>
      <c r="FO308" s="6"/>
      <c r="FP308" s="6"/>
      <c r="FQ308" s="6"/>
      <c r="FR308" s="6"/>
      <c r="FS308" s="6"/>
      <c r="FT308" s="6"/>
      <c r="FU308" s="6"/>
      <c r="FV308" s="6"/>
      <c r="FW308" s="6"/>
      <c r="FX308" s="6"/>
      <c r="FY308" s="6"/>
      <c r="FZ308" s="6"/>
      <c r="GA308" s="6"/>
      <c r="GB308" s="6"/>
      <c r="GC308" s="6"/>
      <c r="GD308" s="6"/>
      <c r="GE308" s="6"/>
      <c r="GF308" s="6"/>
      <c r="GG308" s="6"/>
      <c r="GH308" s="6"/>
      <c r="GI308" s="6"/>
      <c r="GJ308" s="6"/>
      <c r="GK308" s="6"/>
      <c r="GL308" s="6"/>
      <c r="GM308" s="6"/>
      <c r="GN308" s="6"/>
      <c r="GO308" s="6"/>
      <c r="GP308" s="6"/>
      <c r="GQ308" s="6"/>
      <c r="GR308" s="6"/>
      <c r="GS308" s="6"/>
      <c r="GT308" s="6"/>
      <c r="GU308" s="6"/>
      <c r="GV308" s="6"/>
      <c r="GW308" s="6"/>
      <c r="GX308" s="6"/>
      <c r="GY308" s="6"/>
      <c r="GZ308" s="6"/>
      <c r="HA308" s="6"/>
      <c r="HB308" s="6"/>
      <c r="HC308" s="6"/>
      <c r="HD308" s="6"/>
      <c r="HE308" s="6"/>
      <c r="HF308" s="6"/>
      <c r="HG308" s="6"/>
      <c r="HH308" s="6"/>
      <c r="HI308" s="6"/>
      <c r="HJ308" s="6"/>
      <c r="HK308" s="6"/>
      <c r="HL308" s="6"/>
      <c r="HM308" s="6"/>
      <c r="HN308" s="6"/>
      <c r="HO308" s="6"/>
      <c r="HP308" s="6"/>
      <c r="HQ308" s="6"/>
      <c r="HR308" s="6"/>
      <c r="HS308" s="6"/>
      <c r="HT308" s="6"/>
      <c r="HU308" s="6"/>
    </row>
    <row r="309" spans="9:229"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BV309" s="6"/>
      <c r="BW309" s="6"/>
      <c r="BX309" s="6"/>
      <c r="BY309" s="6"/>
      <c r="BZ309" s="6"/>
      <c r="CA309" s="6"/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  <c r="ER309" s="6"/>
      <c r="ES309" s="6"/>
      <c r="ET309" s="6"/>
      <c r="EU309" s="6"/>
      <c r="EV309" s="6"/>
      <c r="EW309" s="6"/>
      <c r="EX309" s="6"/>
      <c r="EY309" s="6"/>
      <c r="EZ309" s="6"/>
      <c r="FA309" s="6"/>
      <c r="FB309" s="6"/>
      <c r="FC309" s="6"/>
      <c r="FD309" s="6"/>
      <c r="FE309" s="6"/>
      <c r="FF309" s="6"/>
      <c r="FG309" s="6"/>
      <c r="FH309" s="6"/>
      <c r="FI309" s="6"/>
      <c r="FJ309" s="6"/>
      <c r="FK309" s="6"/>
      <c r="FL309" s="6"/>
      <c r="FM309" s="6"/>
      <c r="FN309" s="6"/>
      <c r="FO309" s="6"/>
      <c r="FP309" s="6"/>
      <c r="FQ309" s="6"/>
      <c r="FR309" s="6"/>
      <c r="FS309" s="6"/>
      <c r="FT309" s="6"/>
      <c r="FU309" s="6"/>
      <c r="FV309" s="6"/>
      <c r="FW309" s="6"/>
      <c r="FX309" s="6"/>
      <c r="FY309" s="6"/>
      <c r="FZ309" s="6"/>
      <c r="GA309" s="6"/>
      <c r="GB309" s="6"/>
      <c r="GC309" s="6"/>
      <c r="GD309" s="6"/>
      <c r="GE309" s="6"/>
      <c r="GF309" s="6"/>
      <c r="GG309" s="6"/>
      <c r="GH309" s="6"/>
      <c r="GI309" s="6"/>
      <c r="GJ309" s="6"/>
      <c r="GK309" s="6"/>
      <c r="GL309" s="6"/>
      <c r="GM309" s="6"/>
      <c r="GN309" s="6"/>
      <c r="GO309" s="6"/>
      <c r="GP309" s="6"/>
      <c r="GQ309" s="6"/>
      <c r="GR309" s="6"/>
      <c r="GS309" s="6"/>
      <c r="GT309" s="6"/>
      <c r="GU309" s="6"/>
      <c r="GV309" s="6"/>
      <c r="GW309" s="6"/>
      <c r="GX309" s="6"/>
      <c r="GY309" s="6"/>
      <c r="GZ309" s="6"/>
      <c r="HA309" s="6"/>
      <c r="HB309" s="6"/>
      <c r="HC309" s="6"/>
      <c r="HD309" s="6"/>
      <c r="HE309" s="6"/>
      <c r="HF309" s="6"/>
      <c r="HG309" s="6"/>
      <c r="HH309" s="6"/>
      <c r="HI309" s="6"/>
      <c r="HJ309" s="6"/>
      <c r="HK309" s="6"/>
      <c r="HL309" s="6"/>
      <c r="HM309" s="6"/>
      <c r="HN309" s="6"/>
      <c r="HO309" s="6"/>
      <c r="HP309" s="6"/>
      <c r="HQ309" s="6"/>
      <c r="HR309" s="6"/>
      <c r="HS309" s="6"/>
      <c r="HT309" s="6"/>
      <c r="HU309" s="6"/>
    </row>
    <row r="310" spans="9:229"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BV310" s="6"/>
      <c r="BW310" s="6"/>
      <c r="BX310" s="6"/>
      <c r="BY310" s="6"/>
      <c r="BZ310" s="6"/>
      <c r="CA310" s="6"/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  <c r="ER310" s="6"/>
      <c r="ES310" s="6"/>
      <c r="ET310" s="6"/>
      <c r="EU310" s="6"/>
      <c r="EV310" s="6"/>
      <c r="EW310" s="6"/>
      <c r="EX310" s="6"/>
      <c r="EY310" s="6"/>
      <c r="EZ310" s="6"/>
      <c r="FA310" s="6"/>
      <c r="FB310" s="6"/>
      <c r="FC310" s="6"/>
      <c r="FD310" s="6"/>
      <c r="FE310" s="6"/>
      <c r="FF310" s="6"/>
      <c r="FG310" s="6"/>
      <c r="FH310" s="6"/>
      <c r="FI310" s="6"/>
      <c r="FJ310" s="6"/>
      <c r="FK310" s="6"/>
      <c r="FL310" s="6"/>
      <c r="FM310" s="6"/>
      <c r="FN310" s="6"/>
      <c r="FO310" s="6"/>
      <c r="FP310" s="6"/>
      <c r="FQ310" s="6"/>
      <c r="FR310" s="6"/>
      <c r="FS310" s="6"/>
      <c r="FT310" s="6"/>
      <c r="FU310" s="6"/>
      <c r="FV310" s="6"/>
      <c r="FW310" s="6"/>
      <c r="FX310" s="6"/>
      <c r="FY310" s="6"/>
      <c r="FZ310" s="6"/>
      <c r="GA310" s="6"/>
      <c r="GB310" s="6"/>
      <c r="GC310" s="6"/>
      <c r="GD310" s="6"/>
      <c r="GE310" s="6"/>
      <c r="GF310" s="6"/>
      <c r="GG310" s="6"/>
      <c r="GH310" s="6"/>
      <c r="GI310" s="6"/>
      <c r="GJ310" s="6"/>
      <c r="GK310" s="6"/>
      <c r="GL310" s="6"/>
      <c r="GM310" s="6"/>
      <c r="GN310" s="6"/>
      <c r="GO310" s="6"/>
      <c r="GP310" s="6"/>
      <c r="GQ310" s="6"/>
      <c r="GR310" s="6"/>
      <c r="GS310" s="6"/>
      <c r="GT310" s="6"/>
      <c r="GU310" s="6"/>
      <c r="GV310" s="6"/>
      <c r="GW310" s="6"/>
      <c r="GX310" s="6"/>
      <c r="GY310" s="6"/>
      <c r="GZ310" s="6"/>
      <c r="HA310" s="6"/>
      <c r="HB310" s="6"/>
      <c r="HC310" s="6"/>
      <c r="HD310" s="6"/>
      <c r="HE310" s="6"/>
      <c r="HF310" s="6"/>
      <c r="HG310" s="6"/>
      <c r="HH310" s="6"/>
      <c r="HI310" s="6"/>
      <c r="HJ310" s="6"/>
      <c r="HK310" s="6"/>
      <c r="HL310" s="6"/>
      <c r="HM310" s="6"/>
      <c r="HN310" s="6"/>
      <c r="HO310" s="6"/>
      <c r="HP310" s="6"/>
      <c r="HQ310" s="6"/>
      <c r="HR310" s="6"/>
      <c r="HS310" s="6"/>
      <c r="HT310" s="6"/>
      <c r="HU310" s="6"/>
    </row>
    <row r="311" spans="9:229"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BV311" s="6"/>
      <c r="BW311" s="6"/>
      <c r="BX311" s="6"/>
      <c r="BY311" s="6"/>
      <c r="BZ311" s="6"/>
      <c r="CA311" s="6"/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  <c r="ER311" s="6"/>
      <c r="ES311" s="6"/>
      <c r="ET311" s="6"/>
      <c r="EU311" s="6"/>
      <c r="EV311" s="6"/>
      <c r="EW311" s="6"/>
      <c r="EX311" s="6"/>
      <c r="EY311" s="6"/>
      <c r="EZ311" s="6"/>
      <c r="FA311" s="6"/>
      <c r="FB311" s="6"/>
      <c r="FC311" s="6"/>
      <c r="FD311" s="6"/>
      <c r="FE311" s="6"/>
      <c r="FF311" s="6"/>
      <c r="FG311" s="6"/>
      <c r="FH311" s="6"/>
      <c r="FI311" s="6"/>
      <c r="FJ311" s="6"/>
      <c r="FK311" s="6"/>
      <c r="FL311" s="6"/>
      <c r="FM311" s="6"/>
      <c r="FN311" s="6"/>
      <c r="FO311" s="6"/>
      <c r="FP311" s="6"/>
      <c r="FQ311" s="6"/>
      <c r="FR311" s="6"/>
      <c r="FS311" s="6"/>
      <c r="FT311" s="6"/>
      <c r="FU311" s="6"/>
      <c r="FV311" s="6"/>
      <c r="FW311" s="6"/>
      <c r="FX311" s="6"/>
      <c r="FY311" s="6"/>
      <c r="FZ311" s="6"/>
      <c r="GA311" s="6"/>
      <c r="GB311" s="6"/>
      <c r="GC311" s="6"/>
      <c r="GD311" s="6"/>
      <c r="GE311" s="6"/>
      <c r="GF311" s="6"/>
      <c r="GG311" s="6"/>
      <c r="GH311" s="6"/>
      <c r="GI311" s="6"/>
      <c r="GJ311" s="6"/>
      <c r="GK311" s="6"/>
      <c r="GL311" s="6"/>
      <c r="GM311" s="6"/>
      <c r="GN311" s="6"/>
      <c r="GO311" s="6"/>
      <c r="GP311" s="6"/>
      <c r="GQ311" s="6"/>
      <c r="GR311" s="6"/>
      <c r="GS311" s="6"/>
      <c r="GT311" s="6"/>
      <c r="GU311" s="6"/>
      <c r="GV311" s="6"/>
      <c r="GW311" s="6"/>
      <c r="GX311" s="6"/>
      <c r="GY311" s="6"/>
      <c r="GZ311" s="6"/>
      <c r="HA311" s="6"/>
      <c r="HB311" s="6"/>
      <c r="HC311" s="6"/>
      <c r="HD311" s="6"/>
      <c r="HE311" s="6"/>
      <c r="HF311" s="6"/>
      <c r="HG311" s="6"/>
      <c r="HH311" s="6"/>
      <c r="HI311" s="6"/>
      <c r="HJ311" s="6"/>
      <c r="HK311" s="6"/>
      <c r="HL311" s="6"/>
      <c r="HM311" s="6"/>
      <c r="HN311" s="6"/>
      <c r="HO311" s="6"/>
      <c r="HP311" s="6"/>
      <c r="HQ311" s="6"/>
      <c r="HR311" s="6"/>
      <c r="HS311" s="6"/>
      <c r="HT311" s="6"/>
      <c r="HU311" s="6"/>
    </row>
    <row r="312" spans="9:229"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BV312" s="6"/>
      <c r="BW312" s="6"/>
      <c r="BX312" s="6"/>
      <c r="BY312" s="6"/>
      <c r="BZ312" s="6"/>
      <c r="CA312" s="6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  <c r="ER312" s="6"/>
      <c r="ES312" s="6"/>
      <c r="ET312" s="6"/>
      <c r="EU312" s="6"/>
      <c r="EV312" s="6"/>
      <c r="EW312" s="6"/>
      <c r="EX312" s="6"/>
      <c r="EY312" s="6"/>
      <c r="EZ312" s="6"/>
      <c r="FA312" s="6"/>
      <c r="FB312" s="6"/>
      <c r="FC312" s="6"/>
      <c r="FD312" s="6"/>
      <c r="FE312" s="6"/>
      <c r="FF312" s="6"/>
      <c r="FG312" s="6"/>
      <c r="FH312" s="6"/>
      <c r="FI312" s="6"/>
      <c r="FJ312" s="6"/>
      <c r="FK312" s="6"/>
      <c r="FL312" s="6"/>
      <c r="FM312" s="6"/>
      <c r="FN312" s="6"/>
      <c r="FO312" s="6"/>
      <c r="FP312" s="6"/>
      <c r="FQ312" s="6"/>
      <c r="FR312" s="6"/>
      <c r="FS312" s="6"/>
      <c r="FT312" s="6"/>
      <c r="FU312" s="6"/>
      <c r="FV312" s="6"/>
      <c r="FW312" s="6"/>
      <c r="FX312" s="6"/>
      <c r="FY312" s="6"/>
      <c r="FZ312" s="6"/>
      <c r="GA312" s="6"/>
      <c r="GB312" s="6"/>
      <c r="GC312" s="6"/>
      <c r="GD312" s="6"/>
      <c r="GE312" s="6"/>
      <c r="GF312" s="6"/>
      <c r="GG312" s="6"/>
      <c r="GH312" s="6"/>
      <c r="GI312" s="6"/>
      <c r="GJ312" s="6"/>
      <c r="GK312" s="6"/>
      <c r="GL312" s="6"/>
      <c r="GM312" s="6"/>
      <c r="GN312" s="6"/>
      <c r="GO312" s="6"/>
      <c r="GP312" s="6"/>
      <c r="GQ312" s="6"/>
      <c r="GR312" s="6"/>
      <c r="GS312" s="6"/>
      <c r="GT312" s="6"/>
      <c r="GU312" s="6"/>
      <c r="GV312" s="6"/>
      <c r="GW312" s="6"/>
      <c r="GX312" s="6"/>
      <c r="GY312" s="6"/>
      <c r="GZ312" s="6"/>
      <c r="HA312" s="6"/>
      <c r="HB312" s="6"/>
      <c r="HC312" s="6"/>
      <c r="HD312" s="6"/>
      <c r="HE312" s="6"/>
      <c r="HF312" s="6"/>
      <c r="HG312" s="6"/>
      <c r="HH312" s="6"/>
      <c r="HI312" s="6"/>
      <c r="HJ312" s="6"/>
      <c r="HK312" s="6"/>
      <c r="HL312" s="6"/>
      <c r="HM312" s="6"/>
      <c r="HN312" s="6"/>
      <c r="HO312" s="6"/>
      <c r="HP312" s="6"/>
      <c r="HQ312" s="6"/>
      <c r="HR312" s="6"/>
      <c r="HS312" s="6"/>
      <c r="HT312" s="6"/>
      <c r="HU312" s="6"/>
    </row>
    <row r="313" spans="9:229"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BV313" s="6"/>
      <c r="BW313" s="6"/>
      <c r="BX313" s="6"/>
      <c r="BY313" s="6"/>
      <c r="BZ313" s="6"/>
      <c r="CA313" s="6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  <c r="ER313" s="6"/>
      <c r="ES313" s="6"/>
      <c r="ET313" s="6"/>
      <c r="EU313" s="6"/>
      <c r="EV313" s="6"/>
      <c r="EW313" s="6"/>
      <c r="EX313" s="6"/>
      <c r="EY313" s="6"/>
      <c r="EZ313" s="6"/>
      <c r="FA313" s="6"/>
      <c r="FB313" s="6"/>
      <c r="FC313" s="6"/>
      <c r="FD313" s="6"/>
      <c r="FE313" s="6"/>
      <c r="FF313" s="6"/>
      <c r="FG313" s="6"/>
      <c r="FH313" s="6"/>
      <c r="FI313" s="6"/>
      <c r="FJ313" s="6"/>
      <c r="FK313" s="6"/>
      <c r="FL313" s="6"/>
      <c r="FM313" s="6"/>
      <c r="FN313" s="6"/>
      <c r="FO313" s="6"/>
      <c r="FP313" s="6"/>
      <c r="FQ313" s="6"/>
      <c r="FR313" s="6"/>
      <c r="FS313" s="6"/>
      <c r="FT313" s="6"/>
      <c r="FU313" s="6"/>
      <c r="FV313" s="6"/>
      <c r="FW313" s="6"/>
      <c r="FX313" s="6"/>
      <c r="FY313" s="6"/>
      <c r="FZ313" s="6"/>
      <c r="GA313" s="6"/>
      <c r="GB313" s="6"/>
      <c r="GC313" s="6"/>
      <c r="GD313" s="6"/>
      <c r="GE313" s="6"/>
      <c r="GF313" s="6"/>
      <c r="GG313" s="6"/>
      <c r="GH313" s="6"/>
      <c r="GI313" s="6"/>
      <c r="GJ313" s="6"/>
      <c r="GK313" s="6"/>
      <c r="GL313" s="6"/>
      <c r="GM313" s="6"/>
      <c r="GN313" s="6"/>
      <c r="GO313" s="6"/>
      <c r="GP313" s="6"/>
      <c r="GQ313" s="6"/>
      <c r="GR313" s="6"/>
      <c r="GS313" s="6"/>
      <c r="GT313" s="6"/>
      <c r="GU313" s="6"/>
      <c r="GV313" s="6"/>
      <c r="GW313" s="6"/>
      <c r="GX313" s="6"/>
      <c r="GY313" s="6"/>
      <c r="GZ313" s="6"/>
      <c r="HA313" s="6"/>
      <c r="HB313" s="6"/>
      <c r="HC313" s="6"/>
      <c r="HD313" s="6"/>
      <c r="HE313" s="6"/>
      <c r="HF313" s="6"/>
      <c r="HG313" s="6"/>
      <c r="HH313" s="6"/>
      <c r="HI313" s="6"/>
      <c r="HJ313" s="6"/>
      <c r="HK313" s="6"/>
      <c r="HL313" s="6"/>
      <c r="HM313" s="6"/>
      <c r="HN313" s="6"/>
      <c r="HO313" s="6"/>
      <c r="HP313" s="6"/>
      <c r="HQ313" s="6"/>
      <c r="HR313" s="6"/>
      <c r="HS313" s="6"/>
      <c r="HT313" s="6"/>
      <c r="HU313" s="6"/>
    </row>
    <row r="314" spans="9:229"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BV314" s="6"/>
      <c r="BW314" s="6"/>
      <c r="BX314" s="6"/>
      <c r="BY314" s="6"/>
      <c r="BZ314" s="6"/>
      <c r="CA314" s="6"/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  <c r="ER314" s="6"/>
      <c r="ES314" s="6"/>
      <c r="ET314" s="6"/>
      <c r="EU314" s="6"/>
      <c r="EV314" s="6"/>
      <c r="EW314" s="6"/>
      <c r="EX314" s="6"/>
      <c r="EY314" s="6"/>
      <c r="EZ314" s="6"/>
      <c r="FA314" s="6"/>
      <c r="FB314" s="6"/>
      <c r="FC314" s="6"/>
      <c r="FD314" s="6"/>
      <c r="FE314" s="6"/>
      <c r="FF314" s="6"/>
      <c r="FG314" s="6"/>
      <c r="FH314" s="6"/>
      <c r="FI314" s="6"/>
      <c r="FJ314" s="6"/>
      <c r="FK314" s="6"/>
      <c r="FL314" s="6"/>
      <c r="FM314" s="6"/>
      <c r="FN314" s="6"/>
      <c r="FO314" s="6"/>
      <c r="FP314" s="6"/>
      <c r="FQ314" s="6"/>
      <c r="FR314" s="6"/>
      <c r="FS314" s="6"/>
      <c r="FT314" s="6"/>
      <c r="FU314" s="6"/>
      <c r="FV314" s="6"/>
      <c r="FW314" s="6"/>
      <c r="FX314" s="6"/>
      <c r="FY314" s="6"/>
      <c r="FZ314" s="6"/>
      <c r="GA314" s="6"/>
      <c r="GB314" s="6"/>
      <c r="GC314" s="6"/>
      <c r="GD314" s="6"/>
      <c r="GE314" s="6"/>
      <c r="GF314" s="6"/>
      <c r="GG314" s="6"/>
      <c r="GH314" s="6"/>
      <c r="GI314" s="6"/>
      <c r="GJ314" s="6"/>
      <c r="GK314" s="6"/>
      <c r="GL314" s="6"/>
      <c r="GM314" s="6"/>
      <c r="GN314" s="6"/>
      <c r="GO314" s="6"/>
      <c r="GP314" s="6"/>
      <c r="GQ314" s="6"/>
      <c r="GR314" s="6"/>
      <c r="GS314" s="6"/>
      <c r="GT314" s="6"/>
      <c r="GU314" s="6"/>
      <c r="GV314" s="6"/>
      <c r="GW314" s="6"/>
      <c r="GX314" s="6"/>
      <c r="GY314" s="6"/>
      <c r="GZ314" s="6"/>
      <c r="HA314" s="6"/>
      <c r="HB314" s="6"/>
      <c r="HC314" s="6"/>
      <c r="HD314" s="6"/>
      <c r="HE314" s="6"/>
      <c r="HF314" s="6"/>
      <c r="HG314" s="6"/>
      <c r="HH314" s="6"/>
      <c r="HI314" s="6"/>
      <c r="HJ314" s="6"/>
      <c r="HK314" s="6"/>
      <c r="HL314" s="6"/>
      <c r="HM314" s="6"/>
      <c r="HN314" s="6"/>
      <c r="HO314" s="6"/>
      <c r="HP314" s="6"/>
      <c r="HQ314" s="6"/>
      <c r="HR314" s="6"/>
      <c r="HS314" s="6"/>
      <c r="HT314" s="6"/>
      <c r="HU314" s="6"/>
    </row>
    <row r="315" spans="9:229"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BV315" s="6"/>
      <c r="BW315" s="6"/>
      <c r="BX315" s="6"/>
      <c r="BY315" s="6"/>
      <c r="BZ315" s="6"/>
      <c r="CA315" s="6"/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  <c r="ER315" s="6"/>
      <c r="ES315" s="6"/>
      <c r="ET315" s="6"/>
      <c r="EU315" s="6"/>
      <c r="EV315" s="6"/>
      <c r="EW315" s="6"/>
      <c r="EX315" s="6"/>
      <c r="EY315" s="6"/>
      <c r="EZ315" s="6"/>
      <c r="FA315" s="6"/>
      <c r="FB315" s="6"/>
      <c r="FC315" s="6"/>
      <c r="FD315" s="6"/>
      <c r="FE315" s="6"/>
      <c r="FF315" s="6"/>
      <c r="FG315" s="6"/>
      <c r="FH315" s="6"/>
      <c r="FI315" s="6"/>
      <c r="FJ315" s="6"/>
      <c r="FK315" s="6"/>
      <c r="FL315" s="6"/>
      <c r="FM315" s="6"/>
      <c r="FN315" s="6"/>
      <c r="FO315" s="6"/>
      <c r="FP315" s="6"/>
      <c r="FQ315" s="6"/>
      <c r="FR315" s="6"/>
      <c r="FS315" s="6"/>
      <c r="FT315" s="6"/>
      <c r="FU315" s="6"/>
      <c r="FV315" s="6"/>
      <c r="FW315" s="6"/>
      <c r="FX315" s="6"/>
      <c r="FY315" s="6"/>
      <c r="FZ315" s="6"/>
      <c r="GA315" s="6"/>
      <c r="GB315" s="6"/>
      <c r="GC315" s="6"/>
      <c r="GD315" s="6"/>
      <c r="GE315" s="6"/>
      <c r="GF315" s="6"/>
      <c r="GG315" s="6"/>
      <c r="GH315" s="6"/>
      <c r="GI315" s="6"/>
      <c r="GJ315" s="6"/>
      <c r="GK315" s="6"/>
      <c r="GL315" s="6"/>
      <c r="GM315" s="6"/>
      <c r="GN315" s="6"/>
      <c r="GO315" s="6"/>
      <c r="GP315" s="6"/>
      <c r="GQ315" s="6"/>
      <c r="GR315" s="6"/>
      <c r="GS315" s="6"/>
      <c r="GT315" s="6"/>
      <c r="GU315" s="6"/>
      <c r="GV315" s="6"/>
      <c r="GW315" s="6"/>
      <c r="GX315" s="6"/>
      <c r="GY315" s="6"/>
      <c r="GZ315" s="6"/>
      <c r="HA315" s="6"/>
      <c r="HB315" s="6"/>
      <c r="HC315" s="6"/>
      <c r="HD315" s="6"/>
      <c r="HE315" s="6"/>
      <c r="HF315" s="6"/>
      <c r="HG315" s="6"/>
      <c r="HH315" s="6"/>
      <c r="HI315" s="6"/>
      <c r="HJ315" s="6"/>
      <c r="HK315" s="6"/>
      <c r="HL315" s="6"/>
      <c r="HM315" s="6"/>
      <c r="HN315" s="6"/>
      <c r="HO315" s="6"/>
      <c r="HP315" s="6"/>
      <c r="HQ315" s="6"/>
      <c r="HR315" s="6"/>
      <c r="HS315" s="6"/>
      <c r="HT315" s="6"/>
      <c r="HU315" s="6"/>
    </row>
    <row r="316" spans="9:229"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BV316" s="6"/>
      <c r="BW316" s="6"/>
      <c r="BX316" s="6"/>
      <c r="BY316" s="6"/>
      <c r="BZ316" s="6"/>
      <c r="CA316" s="6"/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  <c r="ER316" s="6"/>
      <c r="ES316" s="6"/>
      <c r="ET316" s="6"/>
      <c r="EU316" s="6"/>
      <c r="EV316" s="6"/>
      <c r="EW316" s="6"/>
      <c r="EX316" s="6"/>
      <c r="EY316" s="6"/>
      <c r="EZ316" s="6"/>
      <c r="FA316" s="6"/>
      <c r="FB316" s="6"/>
      <c r="FC316" s="6"/>
      <c r="FD316" s="6"/>
      <c r="FE316" s="6"/>
      <c r="FF316" s="6"/>
      <c r="FG316" s="6"/>
      <c r="FH316" s="6"/>
      <c r="FI316" s="6"/>
      <c r="FJ316" s="6"/>
      <c r="FK316" s="6"/>
      <c r="FL316" s="6"/>
      <c r="FM316" s="6"/>
      <c r="FN316" s="6"/>
      <c r="FO316" s="6"/>
      <c r="FP316" s="6"/>
      <c r="FQ316" s="6"/>
      <c r="FR316" s="6"/>
      <c r="FS316" s="6"/>
      <c r="FT316" s="6"/>
      <c r="FU316" s="6"/>
      <c r="FV316" s="6"/>
      <c r="FW316" s="6"/>
      <c r="FX316" s="6"/>
      <c r="FY316" s="6"/>
      <c r="FZ316" s="6"/>
      <c r="GA316" s="6"/>
      <c r="GB316" s="6"/>
      <c r="GC316" s="6"/>
      <c r="GD316" s="6"/>
      <c r="GE316" s="6"/>
      <c r="GF316" s="6"/>
      <c r="GG316" s="6"/>
      <c r="GH316" s="6"/>
      <c r="GI316" s="6"/>
      <c r="GJ316" s="6"/>
      <c r="GK316" s="6"/>
      <c r="GL316" s="6"/>
      <c r="GM316" s="6"/>
      <c r="GN316" s="6"/>
      <c r="GO316" s="6"/>
      <c r="GP316" s="6"/>
      <c r="GQ316" s="6"/>
      <c r="GR316" s="6"/>
      <c r="GS316" s="6"/>
      <c r="GT316" s="6"/>
      <c r="GU316" s="6"/>
      <c r="GV316" s="6"/>
      <c r="GW316" s="6"/>
      <c r="GX316" s="6"/>
      <c r="GY316" s="6"/>
      <c r="GZ316" s="6"/>
      <c r="HA316" s="6"/>
      <c r="HB316" s="6"/>
      <c r="HC316" s="6"/>
      <c r="HD316" s="6"/>
      <c r="HE316" s="6"/>
      <c r="HF316" s="6"/>
      <c r="HG316" s="6"/>
      <c r="HH316" s="6"/>
      <c r="HI316" s="6"/>
      <c r="HJ316" s="6"/>
      <c r="HK316" s="6"/>
      <c r="HL316" s="6"/>
      <c r="HM316" s="6"/>
      <c r="HN316" s="6"/>
      <c r="HO316" s="6"/>
      <c r="HP316" s="6"/>
      <c r="HQ316" s="6"/>
      <c r="HR316" s="6"/>
      <c r="HS316" s="6"/>
      <c r="HT316" s="6"/>
      <c r="HU316" s="6"/>
    </row>
    <row r="317" spans="9:229"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  <c r="ER317" s="6"/>
      <c r="ES317" s="6"/>
      <c r="ET317" s="6"/>
      <c r="EU317" s="6"/>
      <c r="EV317" s="6"/>
      <c r="EW317" s="6"/>
      <c r="EX317" s="6"/>
      <c r="EY317" s="6"/>
      <c r="EZ317" s="6"/>
      <c r="FA317" s="6"/>
      <c r="FB317" s="6"/>
      <c r="FC317" s="6"/>
      <c r="FD317" s="6"/>
      <c r="FE317" s="6"/>
      <c r="FF317" s="6"/>
      <c r="FG317" s="6"/>
      <c r="FH317" s="6"/>
      <c r="FI317" s="6"/>
      <c r="FJ317" s="6"/>
      <c r="FK317" s="6"/>
      <c r="FL317" s="6"/>
      <c r="FM317" s="6"/>
      <c r="FN317" s="6"/>
      <c r="FO317" s="6"/>
      <c r="FP317" s="6"/>
      <c r="FQ317" s="6"/>
      <c r="FR317" s="6"/>
      <c r="FS317" s="6"/>
      <c r="FT317" s="6"/>
      <c r="FU317" s="6"/>
      <c r="FV317" s="6"/>
      <c r="FW317" s="6"/>
      <c r="FX317" s="6"/>
      <c r="FY317" s="6"/>
      <c r="FZ317" s="6"/>
      <c r="GA317" s="6"/>
      <c r="GB317" s="6"/>
      <c r="GC317" s="6"/>
      <c r="GD317" s="6"/>
      <c r="GE317" s="6"/>
      <c r="GF317" s="6"/>
      <c r="GG317" s="6"/>
      <c r="GH317" s="6"/>
      <c r="GI317" s="6"/>
      <c r="GJ317" s="6"/>
      <c r="GK317" s="6"/>
      <c r="GL317" s="6"/>
      <c r="GM317" s="6"/>
      <c r="GN317" s="6"/>
      <c r="GO317" s="6"/>
      <c r="GP317" s="6"/>
      <c r="GQ317" s="6"/>
      <c r="GR317" s="6"/>
      <c r="GS317" s="6"/>
      <c r="GT317" s="6"/>
      <c r="GU317" s="6"/>
      <c r="GV317" s="6"/>
      <c r="GW317" s="6"/>
      <c r="GX317" s="6"/>
      <c r="GY317" s="6"/>
      <c r="GZ317" s="6"/>
      <c r="HA317" s="6"/>
      <c r="HB317" s="6"/>
      <c r="HC317" s="6"/>
      <c r="HD317" s="6"/>
      <c r="HE317" s="6"/>
      <c r="HF317" s="6"/>
      <c r="HG317" s="6"/>
      <c r="HH317" s="6"/>
      <c r="HI317" s="6"/>
      <c r="HJ317" s="6"/>
      <c r="HK317" s="6"/>
      <c r="HL317" s="6"/>
      <c r="HM317" s="6"/>
      <c r="HN317" s="6"/>
      <c r="HO317" s="6"/>
      <c r="HP317" s="6"/>
      <c r="HQ317" s="6"/>
      <c r="HR317" s="6"/>
      <c r="HS317" s="6"/>
      <c r="HT317" s="6"/>
      <c r="HU317" s="6"/>
    </row>
    <row r="318" spans="9:229"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  <c r="ER318" s="6"/>
      <c r="ES318" s="6"/>
      <c r="ET318" s="6"/>
      <c r="EU318" s="6"/>
      <c r="EV318" s="6"/>
      <c r="EW318" s="6"/>
      <c r="EX318" s="6"/>
      <c r="EY318" s="6"/>
      <c r="EZ318" s="6"/>
      <c r="FA318" s="6"/>
      <c r="FB318" s="6"/>
      <c r="FC318" s="6"/>
      <c r="FD318" s="6"/>
      <c r="FE318" s="6"/>
      <c r="FF318" s="6"/>
      <c r="FG318" s="6"/>
      <c r="FH318" s="6"/>
      <c r="FI318" s="6"/>
      <c r="FJ318" s="6"/>
      <c r="FK318" s="6"/>
      <c r="FL318" s="6"/>
      <c r="FM318" s="6"/>
      <c r="FN318" s="6"/>
      <c r="FO318" s="6"/>
      <c r="FP318" s="6"/>
      <c r="FQ318" s="6"/>
      <c r="FR318" s="6"/>
      <c r="FS318" s="6"/>
      <c r="FT318" s="6"/>
      <c r="FU318" s="6"/>
      <c r="FV318" s="6"/>
      <c r="FW318" s="6"/>
      <c r="FX318" s="6"/>
      <c r="FY318" s="6"/>
      <c r="FZ318" s="6"/>
      <c r="GA318" s="6"/>
      <c r="GB318" s="6"/>
      <c r="GC318" s="6"/>
      <c r="GD318" s="6"/>
      <c r="GE318" s="6"/>
      <c r="GF318" s="6"/>
      <c r="GG318" s="6"/>
      <c r="GH318" s="6"/>
      <c r="GI318" s="6"/>
      <c r="GJ318" s="6"/>
      <c r="GK318" s="6"/>
      <c r="GL318" s="6"/>
      <c r="GM318" s="6"/>
      <c r="GN318" s="6"/>
      <c r="GO318" s="6"/>
      <c r="GP318" s="6"/>
      <c r="GQ318" s="6"/>
      <c r="GR318" s="6"/>
      <c r="GS318" s="6"/>
      <c r="GT318" s="6"/>
      <c r="GU318" s="6"/>
      <c r="GV318" s="6"/>
      <c r="GW318" s="6"/>
      <c r="GX318" s="6"/>
      <c r="GY318" s="6"/>
      <c r="GZ318" s="6"/>
      <c r="HA318" s="6"/>
      <c r="HB318" s="6"/>
      <c r="HC318" s="6"/>
      <c r="HD318" s="6"/>
      <c r="HE318" s="6"/>
      <c r="HF318" s="6"/>
      <c r="HG318" s="6"/>
      <c r="HH318" s="6"/>
      <c r="HI318" s="6"/>
      <c r="HJ318" s="6"/>
      <c r="HK318" s="6"/>
      <c r="HL318" s="6"/>
      <c r="HM318" s="6"/>
      <c r="HN318" s="6"/>
      <c r="HO318" s="6"/>
      <c r="HP318" s="6"/>
      <c r="HQ318" s="6"/>
      <c r="HR318" s="6"/>
      <c r="HS318" s="6"/>
      <c r="HT318" s="6"/>
      <c r="HU318" s="6"/>
    </row>
    <row r="319" spans="9:229"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  <c r="ER319" s="6"/>
      <c r="ES319" s="6"/>
      <c r="ET319" s="6"/>
      <c r="EU319" s="6"/>
      <c r="EV319" s="6"/>
      <c r="EW319" s="6"/>
      <c r="EX319" s="6"/>
      <c r="EY319" s="6"/>
      <c r="EZ319" s="6"/>
      <c r="FA319" s="6"/>
      <c r="FB319" s="6"/>
      <c r="FC319" s="6"/>
      <c r="FD319" s="6"/>
      <c r="FE319" s="6"/>
      <c r="FF319" s="6"/>
      <c r="FG319" s="6"/>
      <c r="FH319" s="6"/>
      <c r="FI319" s="6"/>
      <c r="FJ319" s="6"/>
      <c r="FK319" s="6"/>
      <c r="FL319" s="6"/>
      <c r="FM319" s="6"/>
      <c r="FN319" s="6"/>
      <c r="FO319" s="6"/>
      <c r="FP319" s="6"/>
      <c r="FQ319" s="6"/>
      <c r="FR319" s="6"/>
      <c r="FS319" s="6"/>
      <c r="FT319" s="6"/>
      <c r="FU319" s="6"/>
      <c r="FV319" s="6"/>
      <c r="FW319" s="6"/>
      <c r="FX319" s="6"/>
      <c r="FY319" s="6"/>
      <c r="FZ319" s="6"/>
      <c r="GA319" s="6"/>
      <c r="GB319" s="6"/>
      <c r="GC319" s="6"/>
      <c r="GD319" s="6"/>
      <c r="GE319" s="6"/>
      <c r="GF319" s="6"/>
      <c r="GG319" s="6"/>
      <c r="GH319" s="6"/>
      <c r="GI319" s="6"/>
      <c r="GJ319" s="6"/>
      <c r="GK319" s="6"/>
      <c r="GL319" s="6"/>
      <c r="GM319" s="6"/>
      <c r="GN319" s="6"/>
      <c r="GO319" s="6"/>
      <c r="GP319" s="6"/>
      <c r="GQ319" s="6"/>
      <c r="GR319" s="6"/>
      <c r="GS319" s="6"/>
      <c r="GT319" s="6"/>
      <c r="GU319" s="6"/>
      <c r="GV319" s="6"/>
      <c r="GW319" s="6"/>
      <c r="GX319" s="6"/>
      <c r="GY319" s="6"/>
      <c r="GZ319" s="6"/>
      <c r="HA319" s="6"/>
      <c r="HB319" s="6"/>
      <c r="HC319" s="6"/>
      <c r="HD319" s="6"/>
      <c r="HE319" s="6"/>
      <c r="HF319" s="6"/>
      <c r="HG319" s="6"/>
      <c r="HH319" s="6"/>
      <c r="HI319" s="6"/>
      <c r="HJ319" s="6"/>
      <c r="HK319" s="6"/>
      <c r="HL319" s="6"/>
      <c r="HM319" s="6"/>
      <c r="HN319" s="6"/>
      <c r="HO319" s="6"/>
      <c r="HP319" s="6"/>
      <c r="HQ319" s="6"/>
      <c r="HR319" s="6"/>
      <c r="HS319" s="6"/>
      <c r="HT319" s="6"/>
      <c r="HU319" s="6"/>
    </row>
    <row r="320" spans="9:229"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  <c r="ER320" s="6"/>
      <c r="ES320" s="6"/>
      <c r="ET320" s="6"/>
      <c r="EU320" s="6"/>
      <c r="EV320" s="6"/>
      <c r="EW320" s="6"/>
      <c r="EX320" s="6"/>
      <c r="EY320" s="6"/>
      <c r="EZ320" s="6"/>
      <c r="FA320" s="6"/>
      <c r="FB320" s="6"/>
      <c r="FC320" s="6"/>
      <c r="FD320" s="6"/>
      <c r="FE320" s="6"/>
      <c r="FF320" s="6"/>
      <c r="FG320" s="6"/>
      <c r="FH320" s="6"/>
      <c r="FI320" s="6"/>
      <c r="FJ320" s="6"/>
      <c r="FK320" s="6"/>
      <c r="FL320" s="6"/>
      <c r="FM320" s="6"/>
      <c r="FN320" s="6"/>
      <c r="FO320" s="6"/>
      <c r="FP320" s="6"/>
      <c r="FQ320" s="6"/>
      <c r="FR320" s="6"/>
      <c r="FS320" s="6"/>
      <c r="FT320" s="6"/>
      <c r="FU320" s="6"/>
      <c r="FV320" s="6"/>
      <c r="FW320" s="6"/>
      <c r="FX320" s="6"/>
      <c r="FY320" s="6"/>
      <c r="FZ320" s="6"/>
      <c r="GA320" s="6"/>
      <c r="GB320" s="6"/>
      <c r="GC320" s="6"/>
      <c r="GD320" s="6"/>
      <c r="GE320" s="6"/>
      <c r="GF320" s="6"/>
      <c r="GG320" s="6"/>
      <c r="GH320" s="6"/>
      <c r="GI320" s="6"/>
      <c r="GJ320" s="6"/>
      <c r="GK320" s="6"/>
      <c r="GL320" s="6"/>
      <c r="GM320" s="6"/>
      <c r="GN320" s="6"/>
      <c r="GO320" s="6"/>
      <c r="GP320" s="6"/>
      <c r="GQ320" s="6"/>
      <c r="GR320" s="6"/>
      <c r="GS320" s="6"/>
      <c r="GT320" s="6"/>
      <c r="GU320" s="6"/>
      <c r="GV320" s="6"/>
      <c r="GW320" s="6"/>
      <c r="GX320" s="6"/>
      <c r="GY320" s="6"/>
      <c r="GZ320" s="6"/>
      <c r="HA320" s="6"/>
      <c r="HB320" s="6"/>
      <c r="HC320" s="6"/>
      <c r="HD320" s="6"/>
      <c r="HE320" s="6"/>
      <c r="HF320" s="6"/>
      <c r="HG320" s="6"/>
      <c r="HH320" s="6"/>
      <c r="HI320" s="6"/>
      <c r="HJ320" s="6"/>
      <c r="HK320" s="6"/>
      <c r="HL320" s="6"/>
      <c r="HM320" s="6"/>
      <c r="HN320" s="6"/>
      <c r="HO320" s="6"/>
      <c r="HP320" s="6"/>
      <c r="HQ320" s="6"/>
      <c r="HR320" s="6"/>
      <c r="HS320" s="6"/>
      <c r="HT320" s="6"/>
      <c r="HU320" s="6"/>
    </row>
    <row r="321" spans="9:229"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  <c r="ER321" s="6"/>
      <c r="ES321" s="6"/>
      <c r="ET321" s="6"/>
      <c r="EU321" s="6"/>
      <c r="EV321" s="6"/>
      <c r="EW321" s="6"/>
      <c r="EX321" s="6"/>
      <c r="EY321" s="6"/>
      <c r="EZ321" s="6"/>
      <c r="FA321" s="6"/>
      <c r="FB321" s="6"/>
      <c r="FC321" s="6"/>
      <c r="FD321" s="6"/>
      <c r="FE321" s="6"/>
      <c r="FF321" s="6"/>
      <c r="FG321" s="6"/>
      <c r="FH321" s="6"/>
      <c r="FI321" s="6"/>
      <c r="FJ321" s="6"/>
      <c r="FK321" s="6"/>
      <c r="FL321" s="6"/>
      <c r="FM321" s="6"/>
      <c r="FN321" s="6"/>
      <c r="FO321" s="6"/>
      <c r="FP321" s="6"/>
      <c r="FQ321" s="6"/>
      <c r="FR321" s="6"/>
      <c r="FS321" s="6"/>
      <c r="FT321" s="6"/>
      <c r="FU321" s="6"/>
      <c r="FV321" s="6"/>
      <c r="FW321" s="6"/>
      <c r="FX321" s="6"/>
      <c r="FY321" s="6"/>
      <c r="FZ321" s="6"/>
      <c r="GA321" s="6"/>
      <c r="GB321" s="6"/>
      <c r="GC321" s="6"/>
      <c r="GD321" s="6"/>
      <c r="GE321" s="6"/>
      <c r="GF321" s="6"/>
      <c r="GG321" s="6"/>
      <c r="GH321" s="6"/>
      <c r="GI321" s="6"/>
      <c r="GJ321" s="6"/>
      <c r="GK321" s="6"/>
      <c r="GL321" s="6"/>
      <c r="GM321" s="6"/>
      <c r="GN321" s="6"/>
      <c r="GO321" s="6"/>
      <c r="GP321" s="6"/>
      <c r="GQ321" s="6"/>
      <c r="GR321" s="6"/>
      <c r="GS321" s="6"/>
      <c r="GT321" s="6"/>
      <c r="GU321" s="6"/>
      <c r="GV321" s="6"/>
      <c r="GW321" s="6"/>
      <c r="GX321" s="6"/>
      <c r="GY321" s="6"/>
      <c r="GZ321" s="6"/>
      <c r="HA321" s="6"/>
      <c r="HB321" s="6"/>
      <c r="HC321" s="6"/>
      <c r="HD321" s="6"/>
      <c r="HE321" s="6"/>
      <c r="HF321" s="6"/>
      <c r="HG321" s="6"/>
      <c r="HH321" s="6"/>
      <c r="HI321" s="6"/>
      <c r="HJ321" s="6"/>
      <c r="HK321" s="6"/>
      <c r="HL321" s="6"/>
      <c r="HM321" s="6"/>
      <c r="HN321" s="6"/>
      <c r="HO321" s="6"/>
      <c r="HP321" s="6"/>
      <c r="HQ321" s="6"/>
      <c r="HR321" s="6"/>
      <c r="HS321" s="6"/>
      <c r="HT321" s="6"/>
      <c r="HU321" s="6"/>
    </row>
    <row r="322" spans="9:229"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  <c r="ER322" s="6"/>
      <c r="ES322" s="6"/>
      <c r="ET322" s="6"/>
      <c r="EU322" s="6"/>
      <c r="EV322" s="6"/>
      <c r="EW322" s="6"/>
      <c r="EX322" s="6"/>
      <c r="EY322" s="6"/>
      <c r="EZ322" s="6"/>
      <c r="FA322" s="6"/>
      <c r="FB322" s="6"/>
      <c r="FC322" s="6"/>
      <c r="FD322" s="6"/>
      <c r="FE322" s="6"/>
      <c r="FF322" s="6"/>
      <c r="FG322" s="6"/>
      <c r="FH322" s="6"/>
      <c r="FI322" s="6"/>
      <c r="FJ322" s="6"/>
      <c r="FK322" s="6"/>
      <c r="FL322" s="6"/>
      <c r="FM322" s="6"/>
      <c r="FN322" s="6"/>
      <c r="FO322" s="6"/>
      <c r="FP322" s="6"/>
      <c r="FQ322" s="6"/>
      <c r="FR322" s="6"/>
      <c r="FS322" s="6"/>
      <c r="FT322" s="6"/>
      <c r="FU322" s="6"/>
      <c r="FV322" s="6"/>
      <c r="FW322" s="6"/>
      <c r="FX322" s="6"/>
      <c r="FY322" s="6"/>
      <c r="FZ322" s="6"/>
      <c r="GA322" s="6"/>
      <c r="GB322" s="6"/>
      <c r="GC322" s="6"/>
      <c r="GD322" s="6"/>
      <c r="GE322" s="6"/>
      <c r="GF322" s="6"/>
      <c r="GG322" s="6"/>
      <c r="GH322" s="6"/>
      <c r="GI322" s="6"/>
      <c r="GJ322" s="6"/>
      <c r="GK322" s="6"/>
      <c r="GL322" s="6"/>
      <c r="GM322" s="6"/>
      <c r="GN322" s="6"/>
      <c r="GO322" s="6"/>
      <c r="GP322" s="6"/>
      <c r="GQ322" s="6"/>
      <c r="GR322" s="6"/>
      <c r="GS322" s="6"/>
      <c r="GT322" s="6"/>
      <c r="GU322" s="6"/>
      <c r="GV322" s="6"/>
      <c r="GW322" s="6"/>
      <c r="GX322" s="6"/>
      <c r="GY322" s="6"/>
      <c r="GZ322" s="6"/>
      <c r="HA322" s="6"/>
      <c r="HB322" s="6"/>
      <c r="HC322" s="6"/>
      <c r="HD322" s="6"/>
      <c r="HE322" s="6"/>
      <c r="HF322" s="6"/>
      <c r="HG322" s="6"/>
      <c r="HH322" s="6"/>
      <c r="HI322" s="6"/>
      <c r="HJ322" s="6"/>
      <c r="HK322" s="6"/>
      <c r="HL322" s="6"/>
      <c r="HM322" s="6"/>
      <c r="HN322" s="6"/>
      <c r="HO322" s="6"/>
      <c r="HP322" s="6"/>
      <c r="HQ322" s="6"/>
      <c r="HR322" s="6"/>
      <c r="HS322" s="6"/>
      <c r="HT322" s="6"/>
      <c r="HU322" s="6"/>
    </row>
    <row r="323" spans="9:229"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  <c r="ER323" s="6"/>
      <c r="ES323" s="6"/>
      <c r="ET323" s="6"/>
      <c r="EU323" s="6"/>
      <c r="EV323" s="6"/>
      <c r="EW323" s="6"/>
      <c r="EX323" s="6"/>
      <c r="EY323" s="6"/>
      <c r="EZ323" s="6"/>
      <c r="FA323" s="6"/>
      <c r="FB323" s="6"/>
      <c r="FC323" s="6"/>
      <c r="FD323" s="6"/>
      <c r="FE323" s="6"/>
      <c r="FF323" s="6"/>
      <c r="FG323" s="6"/>
      <c r="FH323" s="6"/>
      <c r="FI323" s="6"/>
      <c r="FJ323" s="6"/>
      <c r="FK323" s="6"/>
      <c r="FL323" s="6"/>
      <c r="FM323" s="6"/>
      <c r="FN323" s="6"/>
      <c r="FO323" s="6"/>
      <c r="FP323" s="6"/>
      <c r="FQ323" s="6"/>
      <c r="FR323" s="6"/>
      <c r="FS323" s="6"/>
      <c r="FT323" s="6"/>
      <c r="FU323" s="6"/>
      <c r="FV323" s="6"/>
      <c r="FW323" s="6"/>
      <c r="FX323" s="6"/>
      <c r="FY323" s="6"/>
      <c r="FZ323" s="6"/>
      <c r="GA323" s="6"/>
      <c r="GB323" s="6"/>
      <c r="GC323" s="6"/>
      <c r="GD323" s="6"/>
      <c r="GE323" s="6"/>
      <c r="GF323" s="6"/>
      <c r="GG323" s="6"/>
      <c r="GH323" s="6"/>
      <c r="GI323" s="6"/>
      <c r="GJ323" s="6"/>
      <c r="GK323" s="6"/>
      <c r="GL323" s="6"/>
      <c r="GM323" s="6"/>
      <c r="GN323" s="6"/>
      <c r="GO323" s="6"/>
      <c r="GP323" s="6"/>
      <c r="GQ323" s="6"/>
      <c r="GR323" s="6"/>
      <c r="GS323" s="6"/>
      <c r="GT323" s="6"/>
      <c r="GU323" s="6"/>
      <c r="GV323" s="6"/>
      <c r="GW323" s="6"/>
      <c r="GX323" s="6"/>
      <c r="GY323" s="6"/>
      <c r="GZ323" s="6"/>
      <c r="HA323" s="6"/>
      <c r="HB323" s="6"/>
      <c r="HC323" s="6"/>
      <c r="HD323" s="6"/>
      <c r="HE323" s="6"/>
      <c r="HF323" s="6"/>
      <c r="HG323" s="6"/>
      <c r="HH323" s="6"/>
      <c r="HI323" s="6"/>
      <c r="HJ323" s="6"/>
      <c r="HK323" s="6"/>
      <c r="HL323" s="6"/>
      <c r="HM323" s="6"/>
      <c r="HN323" s="6"/>
      <c r="HO323" s="6"/>
      <c r="HP323" s="6"/>
      <c r="HQ323" s="6"/>
      <c r="HR323" s="6"/>
      <c r="HS323" s="6"/>
      <c r="HT323" s="6"/>
      <c r="HU323" s="6"/>
    </row>
    <row r="324" spans="9:229"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  <c r="ER324" s="6"/>
      <c r="ES324" s="6"/>
      <c r="ET324" s="6"/>
      <c r="EU324" s="6"/>
      <c r="EV324" s="6"/>
      <c r="EW324" s="6"/>
      <c r="EX324" s="6"/>
      <c r="EY324" s="6"/>
      <c r="EZ324" s="6"/>
      <c r="FA324" s="6"/>
      <c r="FB324" s="6"/>
      <c r="FC324" s="6"/>
      <c r="FD324" s="6"/>
      <c r="FE324" s="6"/>
      <c r="FF324" s="6"/>
      <c r="FG324" s="6"/>
      <c r="FH324" s="6"/>
      <c r="FI324" s="6"/>
      <c r="FJ324" s="6"/>
      <c r="FK324" s="6"/>
      <c r="FL324" s="6"/>
      <c r="FM324" s="6"/>
      <c r="FN324" s="6"/>
      <c r="FO324" s="6"/>
      <c r="FP324" s="6"/>
      <c r="FQ324" s="6"/>
      <c r="FR324" s="6"/>
      <c r="FS324" s="6"/>
      <c r="FT324" s="6"/>
      <c r="FU324" s="6"/>
      <c r="FV324" s="6"/>
      <c r="FW324" s="6"/>
      <c r="FX324" s="6"/>
      <c r="FY324" s="6"/>
      <c r="FZ324" s="6"/>
      <c r="GA324" s="6"/>
      <c r="GB324" s="6"/>
      <c r="GC324" s="6"/>
      <c r="GD324" s="6"/>
      <c r="GE324" s="6"/>
      <c r="GF324" s="6"/>
      <c r="GG324" s="6"/>
      <c r="GH324" s="6"/>
      <c r="GI324" s="6"/>
      <c r="GJ324" s="6"/>
      <c r="GK324" s="6"/>
      <c r="GL324" s="6"/>
      <c r="GM324" s="6"/>
      <c r="GN324" s="6"/>
      <c r="GO324" s="6"/>
      <c r="GP324" s="6"/>
      <c r="GQ324" s="6"/>
      <c r="GR324" s="6"/>
      <c r="GS324" s="6"/>
      <c r="GT324" s="6"/>
      <c r="GU324" s="6"/>
      <c r="GV324" s="6"/>
      <c r="GW324" s="6"/>
      <c r="GX324" s="6"/>
      <c r="GY324" s="6"/>
      <c r="GZ324" s="6"/>
      <c r="HA324" s="6"/>
      <c r="HB324" s="6"/>
      <c r="HC324" s="6"/>
      <c r="HD324" s="6"/>
      <c r="HE324" s="6"/>
      <c r="HF324" s="6"/>
      <c r="HG324" s="6"/>
      <c r="HH324" s="6"/>
      <c r="HI324" s="6"/>
      <c r="HJ324" s="6"/>
      <c r="HK324" s="6"/>
      <c r="HL324" s="6"/>
      <c r="HM324" s="6"/>
      <c r="HN324" s="6"/>
      <c r="HO324" s="6"/>
      <c r="HP324" s="6"/>
      <c r="HQ324" s="6"/>
      <c r="HR324" s="6"/>
      <c r="HS324" s="6"/>
      <c r="HT324" s="6"/>
      <c r="HU324" s="6"/>
    </row>
    <row r="325" spans="9:229"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  <c r="ER325" s="6"/>
      <c r="ES325" s="6"/>
      <c r="ET325" s="6"/>
      <c r="EU325" s="6"/>
      <c r="EV325" s="6"/>
      <c r="EW325" s="6"/>
      <c r="EX325" s="6"/>
      <c r="EY325" s="6"/>
      <c r="EZ325" s="6"/>
      <c r="FA325" s="6"/>
      <c r="FB325" s="6"/>
      <c r="FC325" s="6"/>
      <c r="FD325" s="6"/>
      <c r="FE325" s="6"/>
      <c r="FF325" s="6"/>
      <c r="FG325" s="6"/>
      <c r="FH325" s="6"/>
      <c r="FI325" s="6"/>
      <c r="FJ325" s="6"/>
      <c r="FK325" s="6"/>
      <c r="FL325" s="6"/>
      <c r="FM325" s="6"/>
      <c r="FN325" s="6"/>
      <c r="FO325" s="6"/>
      <c r="FP325" s="6"/>
      <c r="FQ325" s="6"/>
      <c r="FR325" s="6"/>
      <c r="FS325" s="6"/>
      <c r="FT325" s="6"/>
      <c r="FU325" s="6"/>
      <c r="FV325" s="6"/>
      <c r="FW325" s="6"/>
      <c r="FX325" s="6"/>
      <c r="FY325" s="6"/>
      <c r="FZ325" s="6"/>
      <c r="GA325" s="6"/>
      <c r="GB325" s="6"/>
      <c r="GC325" s="6"/>
      <c r="GD325" s="6"/>
      <c r="GE325" s="6"/>
      <c r="GF325" s="6"/>
      <c r="GG325" s="6"/>
      <c r="GH325" s="6"/>
      <c r="GI325" s="6"/>
      <c r="GJ325" s="6"/>
      <c r="GK325" s="6"/>
      <c r="GL325" s="6"/>
      <c r="GM325" s="6"/>
      <c r="GN325" s="6"/>
      <c r="GO325" s="6"/>
      <c r="GP325" s="6"/>
      <c r="GQ325" s="6"/>
      <c r="GR325" s="6"/>
      <c r="GS325" s="6"/>
      <c r="GT325" s="6"/>
      <c r="GU325" s="6"/>
      <c r="GV325" s="6"/>
      <c r="GW325" s="6"/>
      <c r="GX325" s="6"/>
      <c r="GY325" s="6"/>
      <c r="GZ325" s="6"/>
      <c r="HA325" s="6"/>
      <c r="HB325" s="6"/>
      <c r="HC325" s="6"/>
      <c r="HD325" s="6"/>
      <c r="HE325" s="6"/>
      <c r="HF325" s="6"/>
      <c r="HG325" s="6"/>
      <c r="HH325" s="6"/>
      <c r="HI325" s="6"/>
      <c r="HJ325" s="6"/>
      <c r="HK325" s="6"/>
      <c r="HL325" s="6"/>
      <c r="HM325" s="6"/>
      <c r="HN325" s="6"/>
      <c r="HO325" s="6"/>
      <c r="HP325" s="6"/>
      <c r="HQ325" s="6"/>
      <c r="HR325" s="6"/>
      <c r="HS325" s="6"/>
      <c r="HT325" s="6"/>
      <c r="HU325" s="6"/>
    </row>
    <row r="326" spans="9:229"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  <c r="ER326" s="6"/>
      <c r="ES326" s="6"/>
      <c r="ET326" s="6"/>
      <c r="EU326" s="6"/>
      <c r="EV326" s="6"/>
      <c r="EW326" s="6"/>
      <c r="EX326" s="6"/>
      <c r="EY326" s="6"/>
      <c r="EZ326" s="6"/>
      <c r="FA326" s="6"/>
      <c r="FB326" s="6"/>
      <c r="FC326" s="6"/>
      <c r="FD326" s="6"/>
      <c r="FE326" s="6"/>
      <c r="FF326" s="6"/>
      <c r="FG326" s="6"/>
      <c r="FH326" s="6"/>
      <c r="FI326" s="6"/>
      <c r="FJ326" s="6"/>
      <c r="FK326" s="6"/>
      <c r="FL326" s="6"/>
      <c r="FM326" s="6"/>
      <c r="FN326" s="6"/>
      <c r="FO326" s="6"/>
      <c r="FP326" s="6"/>
      <c r="FQ326" s="6"/>
      <c r="FR326" s="6"/>
      <c r="FS326" s="6"/>
      <c r="FT326" s="6"/>
      <c r="FU326" s="6"/>
      <c r="FV326" s="6"/>
      <c r="FW326" s="6"/>
      <c r="FX326" s="6"/>
      <c r="FY326" s="6"/>
      <c r="FZ326" s="6"/>
      <c r="GA326" s="6"/>
      <c r="GB326" s="6"/>
      <c r="GC326" s="6"/>
      <c r="GD326" s="6"/>
      <c r="GE326" s="6"/>
      <c r="GF326" s="6"/>
      <c r="GG326" s="6"/>
      <c r="GH326" s="6"/>
      <c r="GI326" s="6"/>
      <c r="GJ326" s="6"/>
      <c r="GK326" s="6"/>
      <c r="GL326" s="6"/>
      <c r="GM326" s="6"/>
      <c r="GN326" s="6"/>
      <c r="GO326" s="6"/>
      <c r="GP326" s="6"/>
      <c r="GQ326" s="6"/>
      <c r="GR326" s="6"/>
      <c r="GS326" s="6"/>
      <c r="GT326" s="6"/>
      <c r="GU326" s="6"/>
      <c r="GV326" s="6"/>
      <c r="GW326" s="6"/>
      <c r="GX326" s="6"/>
      <c r="GY326" s="6"/>
      <c r="GZ326" s="6"/>
      <c r="HA326" s="6"/>
      <c r="HB326" s="6"/>
      <c r="HC326" s="6"/>
      <c r="HD326" s="6"/>
      <c r="HE326" s="6"/>
      <c r="HF326" s="6"/>
      <c r="HG326" s="6"/>
      <c r="HH326" s="6"/>
      <c r="HI326" s="6"/>
      <c r="HJ326" s="6"/>
      <c r="HK326" s="6"/>
      <c r="HL326" s="6"/>
      <c r="HM326" s="6"/>
      <c r="HN326" s="6"/>
      <c r="HO326" s="6"/>
      <c r="HP326" s="6"/>
      <c r="HQ326" s="6"/>
      <c r="HR326" s="6"/>
      <c r="HS326" s="6"/>
      <c r="HT326" s="6"/>
      <c r="HU326" s="6"/>
    </row>
    <row r="327" spans="9:229"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  <c r="ER327" s="6"/>
      <c r="ES327" s="6"/>
      <c r="ET327" s="6"/>
      <c r="EU327" s="6"/>
      <c r="EV327" s="6"/>
      <c r="EW327" s="6"/>
      <c r="EX327" s="6"/>
      <c r="EY327" s="6"/>
      <c r="EZ327" s="6"/>
      <c r="FA327" s="6"/>
      <c r="FB327" s="6"/>
      <c r="FC327" s="6"/>
      <c r="FD327" s="6"/>
      <c r="FE327" s="6"/>
      <c r="FF327" s="6"/>
      <c r="FG327" s="6"/>
      <c r="FH327" s="6"/>
      <c r="FI327" s="6"/>
      <c r="FJ327" s="6"/>
      <c r="FK327" s="6"/>
      <c r="FL327" s="6"/>
      <c r="FM327" s="6"/>
      <c r="FN327" s="6"/>
      <c r="FO327" s="6"/>
      <c r="FP327" s="6"/>
      <c r="FQ327" s="6"/>
      <c r="FR327" s="6"/>
      <c r="FS327" s="6"/>
      <c r="FT327" s="6"/>
      <c r="FU327" s="6"/>
      <c r="FV327" s="6"/>
      <c r="FW327" s="6"/>
      <c r="FX327" s="6"/>
      <c r="FY327" s="6"/>
      <c r="FZ327" s="6"/>
      <c r="GA327" s="6"/>
      <c r="GB327" s="6"/>
      <c r="GC327" s="6"/>
      <c r="GD327" s="6"/>
      <c r="GE327" s="6"/>
      <c r="GF327" s="6"/>
      <c r="GG327" s="6"/>
      <c r="GH327" s="6"/>
      <c r="GI327" s="6"/>
      <c r="GJ327" s="6"/>
      <c r="GK327" s="6"/>
      <c r="GL327" s="6"/>
      <c r="GM327" s="6"/>
      <c r="GN327" s="6"/>
      <c r="GO327" s="6"/>
      <c r="GP327" s="6"/>
      <c r="GQ327" s="6"/>
      <c r="GR327" s="6"/>
      <c r="GS327" s="6"/>
      <c r="GT327" s="6"/>
      <c r="GU327" s="6"/>
      <c r="GV327" s="6"/>
      <c r="GW327" s="6"/>
      <c r="GX327" s="6"/>
      <c r="GY327" s="6"/>
      <c r="GZ327" s="6"/>
      <c r="HA327" s="6"/>
      <c r="HB327" s="6"/>
      <c r="HC327" s="6"/>
      <c r="HD327" s="6"/>
      <c r="HE327" s="6"/>
      <c r="HF327" s="6"/>
      <c r="HG327" s="6"/>
      <c r="HH327" s="6"/>
      <c r="HI327" s="6"/>
      <c r="HJ327" s="6"/>
      <c r="HK327" s="6"/>
      <c r="HL327" s="6"/>
      <c r="HM327" s="6"/>
      <c r="HN327" s="6"/>
      <c r="HO327" s="6"/>
      <c r="HP327" s="6"/>
      <c r="HQ327" s="6"/>
      <c r="HR327" s="6"/>
      <c r="HS327" s="6"/>
      <c r="HT327" s="6"/>
      <c r="HU327" s="6"/>
    </row>
    <row r="328" spans="9:229"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  <c r="ER328" s="6"/>
      <c r="ES328" s="6"/>
      <c r="ET328" s="6"/>
      <c r="EU328" s="6"/>
      <c r="EV328" s="6"/>
      <c r="EW328" s="6"/>
      <c r="EX328" s="6"/>
      <c r="EY328" s="6"/>
      <c r="EZ328" s="6"/>
      <c r="FA328" s="6"/>
      <c r="FB328" s="6"/>
      <c r="FC328" s="6"/>
      <c r="FD328" s="6"/>
      <c r="FE328" s="6"/>
      <c r="FF328" s="6"/>
      <c r="FG328" s="6"/>
      <c r="FH328" s="6"/>
      <c r="FI328" s="6"/>
      <c r="FJ328" s="6"/>
      <c r="FK328" s="6"/>
      <c r="FL328" s="6"/>
      <c r="FM328" s="6"/>
      <c r="FN328" s="6"/>
      <c r="FO328" s="6"/>
      <c r="FP328" s="6"/>
      <c r="FQ328" s="6"/>
      <c r="FR328" s="6"/>
      <c r="FS328" s="6"/>
      <c r="FT328" s="6"/>
      <c r="FU328" s="6"/>
      <c r="FV328" s="6"/>
      <c r="FW328" s="6"/>
      <c r="FX328" s="6"/>
      <c r="FY328" s="6"/>
      <c r="FZ328" s="6"/>
      <c r="GA328" s="6"/>
      <c r="GB328" s="6"/>
      <c r="GC328" s="6"/>
      <c r="GD328" s="6"/>
      <c r="GE328" s="6"/>
      <c r="GF328" s="6"/>
      <c r="GG328" s="6"/>
      <c r="GH328" s="6"/>
      <c r="GI328" s="6"/>
      <c r="GJ328" s="6"/>
      <c r="GK328" s="6"/>
      <c r="GL328" s="6"/>
      <c r="GM328" s="6"/>
      <c r="GN328" s="6"/>
      <c r="GO328" s="6"/>
      <c r="GP328" s="6"/>
      <c r="GQ328" s="6"/>
      <c r="GR328" s="6"/>
      <c r="GS328" s="6"/>
      <c r="GT328" s="6"/>
      <c r="GU328" s="6"/>
      <c r="GV328" s="6"/>
      <c r="GW328" s="6"/>
      <c r="GX328" s="6"/>
      <c r="GY328" s="6"/>
      <c r="GZ328" s="6"/>
      <c r="HA328" s="6"/>
      <c r="HB328" s="6"/>
      <c r="HC328" s="6"/>
      <c r="HD328" s="6"/>
      <c r="HE328" s="6"/>
      <c r="HF328" s="6"/>
      <c r="HG328" s="6"/>
      <c r="HH328" s="6"/>
      <c r="HI328" s="6"/>
      <c r="HJ328" s="6"/>
      <c r="HK328" s="6"/>
      <c r="HL328" s="6"/>
      <c r="HM328" s="6"/>
      <c r="HN328" s="6"/>
      <c r="HO328" s="6"/>
      <c r="HP328" s="6"/>
      <c r="HQ328" s="6"/>
      <c r="HR328" s="6"/>
      <c r="HS328" s="6"/>
      <c r="HT328" s="6"/>
      <c r="HU328" s="6"/>
    </row>
    <row r="329" spans="9:229"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  <c r="ER329" s="6"/>
      <c r="ES329" s="6"/>
      <c r="ET329" s="6"/>
      <c r="EU329" s="6"/>
      <c r="EV329" s="6"/>
      <c r="EW329" s="6"/>
      <c r="EX329" s="6"/>
      <c r="EY329" s="6"/>
      <c r="EZ329" s="6"/>
      <c r="FA329" s="6"/>
      <c r="FB329" s="6"/>
      <c r="FC329" s="6"/>
      <c r="FD329" s="6"/>
      <c r="FE329" s="6"/>
      <c r="FF329" s="6"/>
      <c r="FG329" s="6"/>
      <c r="FH329" s="6"/>
      <c r="FI329" s="6"/>
      <c r="FJ329" s="6"/>
      <c r="FK329" s="6"/>
      <c r="FL329" s="6"/>
      <c r="FM329" s="6"/>
      <c r="FN329" s="6"/>
      <c r="FO329" s="6"/>
      <c r="FP329" s="6"/>
      <c r="FQ329" s="6"/>
      <c r="FR329" s="6"/>
      <c r="FS329" s="6"/>
      <c r="FT329" s="6"/>
      <c r="FU329" s="6"/>
      <c r="FV329" s="6"/>
      <c r="FW329" s="6"/>
      <c r="FX329" s="6"/>
      <c r="FY329" s="6"/>
      <c r="FZ329" s="6"/>
      <c r="GA329" s="6"/>
      <c r="GB329" s="6"/>
      <c r="GC329" s="6"/>
      <c r="GD329" s="6"/>
      <c r="GE329" s="6"/>
      <c r="GF329" s="6"/>
      <c r="GG329" s="6"/>
      <c r="GH329" s="6"/>
      <c r="GI329" s="6"/>
      <c r="GJ329" s="6"/>
      <c r="GK329" s="6"/>
      <c r="GL329" s="6"/>
      <c r="GM329" s="6"/>
      <c r="GN329" s="6"/>
      <c r="GO329" s="6"/>
      <c r="GP329" s="6"/>
      <c r="GQ329" s="6"/>
      <c r="GR329" s="6"/>
      <c r="GS329" s="6"/>
      <c r="GT329" s="6"/>
      <c r="GU329" s="6"/>
      <c r="GV329" s="6"/>
      <c r="GW329" s="6"/>
      <c r="GX329" s="6"/>
      <c r="GY329" s="6"/>
      <c r="GZ329" s="6"/>
      <c r="HA329" s="6"/>
      <c r="HB329" s="6"/>
      <c r="HC329" s="6"/>
      <c r="HD329" s="6"/>
      <c r="HE329" s="6"/>
      <c r="HF329" s="6"/>
      <c r="HG329" s="6"/>
      <c r="HH329" s="6"/>
      <c r="HI329" s="6"/>
      <c r="HJ329" s="6"/>
      <c r="HK329" s="6"/>
      <c r="HL329" s="6"/>
      <c r="HM329" s="6"/>
      <c r="HN329" s="6"/>
      <c r="HO329" s="6"/>
      <c r="HP329" s="6"/>
      <c r="HQ329" s="6"/>
      <c r="HR329" s="6"/>
      <c r="HS329" s="6"/>
      <c r="HT329" s="6"/>
      <c r="HU329" s="6"/>
    </row>
    <row r="330" spans="9:229"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  <c r="ER330" s="6"/>
      <c r="ES330" s="6"/>
      <c r="ET330" s="6"/>
      <c r="EU330" s="6"/>
      <c r="EV330" s="6"/>
      <c r="EW330" s="6"/>
      <c r="EX330" s="6"/>
      <c r="EY330" s="6"/>
      <c r="EZ330" s="6"/>
      <c r="FA330" s="6"/>
      <c r="FB330" s="6"/>
      <c r="FC330" s="6"/>
      <c r="FD330" s="6"/>
      <c r="FE330" s="6"/>
      <c r="FF330" s="6"/>
      <c r="FG330" s="6"/>
      <c r="FH330" s="6"/>
      <c r="FI330" s="6"/>
      <c r="FJ330" s="6"/>
      <c r="FK330" s="6"/>
      <c r="FL330" s="6"/>
      <c r="FM330" s="6"/>
      <c r="FN330" s="6"/>
      <c r="FO330" s="6"/>
      <c r="FP330" s="6"/>
      <c r="FQ330" s="6"/>
      <c r="FR330" s="6"/>
      <c r="FS330" s="6"/>
      <c r="FT330" s="6"/>
      <c r="FU330" s="6"/>
      <c r="FV330" s="6"/>
      <c r="FW330" s="6"/>
      <c r="FX330" s="6"/>
      <c r="FY330" s="6"/>
      <c r="FZ330" s="6"/>
      <c r="GA330" s="6"/>
      <c r="GB330" s="6"/>
      <c r="GC330" s="6"/>
      <c r="GD330" s="6"/>
      <c r="GE330" s="6"/>
      <c r="GF330" s="6"/>
      <c r="GG330" s="6"/>
      <c r="GH330" s="6"/>
      <c r="GI330" s="6"/>
      <c r="GJ330" s="6"/>
      <c r="GK330" s="6"/>
      <c r="GL330" s="6"/>
      <c r="GM330" s="6"/>
      <c r="GN330" s="6"/>
      <c r="GO330" s="6"/>
      <c r="GP330" s="6"/>
      <c r="GQ330" s="6"/>
      <c r="GR330" s="6"/>
      <c r="GS330" s="6"/>
      <c r="GT330" s="6"/>
      <c r="GU330" s="6"/>
      <c r="GV330" s="6"/>
      <c r="GW330" s="6"/>
      <c r="GX330" s="6"/>
      <c r="GY330" s="6"/>
      <c r="GZ330" s="6"/>
      <c r="HA330" s="6"/>
      <c r="HB330" s="6"/>
      <c r="HC330" s="6"/>
      <c r="HD330" s="6"/>
      <c r="HE330" s="6"/>
      <c r="HF330" s="6"/>
      <c r="HG330" s="6"/>
      <c r="HH330" s="6"/>
      <c r="HI330" s="6"/>
      <c r="HJ330" s="6"/>
      <c r="HK330" s="6"/>
      <c r="HL330" s="6"/>
      <c r="HM330" s="6"/>
      <c r="HN330" s="6"/>
      <c r="HO330" s="6"/>
      <c r="HP330" s="6"/>
      <c r="HQ330" s="6"/>
      <c r="HR330" s="6"/>
      <c r="HS330" s="6"/>
      <c r="HT330" s="6"/>
      <c r="HU330" s="6"/>
    </row>
    <row r="331" spans="9:229"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  <c r="ER331" s="6"/>
      <c r="ES331" s="6"/>
      <c r="ET331" s="6"/>
      <c r="EU331" s="6"/>
      <c r="EV331" s="6"/>
      <c r="EW331" s="6"/>
      <c r="EX331" s="6"/>
      <c r="EY331" s="6"/>
      <c r="EZ331" s="6"/>
      <c r="FA331" s="6"/>
      <c r="FB331" s="6"/>
      <c r="FC331" s="6"/>
      <c r="FD331" s="6"/>
      <c r="FE331" s="6"/>
      <c r="FF331" s="6"/>
      <c r="FG331" s="6"/>
      <c r="FH331" s="6"/>
      <c r="FI331" s="6"/>
      <c r="FJ331" s="6"/>
      <c r="FK331" s="6"/>
      <c r="FL331" s="6"/>
      <c r="FM331" s="6"/>
      <c r="FN331" s="6"/>
      <c r="FO331" s="6"/>
      <c r="FP331" s="6"/>
      <c r="FQ331" s="6"/>
      <c r="FR331" s="6"/>
      <c r="FS331" s="6"/>
      <c r="FT331" s="6"/>
      <c r="FU331" s="6"/>
      <c r="FV331" s="6"/>
      <c r="FW331" s="6"/>
      <c r="FX331" s="6"/>
      <c r="FY331" s="6"/>
      <c r="FZ331" s="6"/>
      <c r="GA331" s="6"/>
      <c r="GB331" s="6"/>
      <c r="GC331" s="6"/>
      <c r="GD331" s="6"/>
      <c r="GE331" s="6"/>
      <c r="GF331" s="6"/>
      <c r="GG331" s="6"/>
      <c r="GH331" s="6"/>
      <c r="GI331" s="6"/>
      <c r="GJ331" s="6"/>
      <c r="GK331" s="6"/>
      <c r="GL331" s="6"/>
      <c r="GM331" s="6"/>
      <c r="GN331" s="6"/>
      <c r="GO331" s="6"/>
      <c r="GP331" s="6"/>
      <c r="GQ331" s="6"/>
      <c r="GR331" s="6"/>
      <c r="GS331" s="6"/>
      <c r="GT331" s="6"/>
      <c r="GU331" s="6"/>
      <c r="GV331" s="6"/>
      <c r="GW331" s="6"/>
      <c r="GX331" s="6"/>
      <c r="GY331" s="6"/>
      <c r="GZ331" s="6"/>
      <c r="HA331" s="6"/>
      <c r="HB331" s="6"/>
      <c r="HC331" s="6"/>
      <c r="HD331" s="6"/>
      <c r="HE331" s="6"/>
      <c r="HF331" s="6"/>
      <c r="HG331" s="6"/>
      <c r="HH331" s="6"/>
      <c r="HI331" s="6"/>
      <c r="HJ331" s="6"/>
      <c r="HK331" s="6"/>
      <c r="HL331" s="6"/>
      <c r="HM331" s="6"/>
      <c r="HN331" s="6"/>
      <c r="HO331" s="6"/>
      <c r="HP331" s="6"/>
      <c r="HQ331" s="6"/>
      <c r="HR331" s="6"/>
      <c r="HS331" s="6"/>
      <c r="HT331" s="6"/>
      <c r="HU331" s="6"/>
    </row>
    <row r="332" spans="9:229"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  <c r="ER332" s="6"/>
      <c r="ES332" s="6"/>
      <c r="ET332" s="6"/>
      <c r="EU332" s="6"/>
      <c r="EV332" s="6"/>
      <c r="EW332" s="6"/>
      <c r="EX332" s="6"/>
      <c r="EY332" s="6"/>
      <c r="EZ332" s="6"/>
      <c r="FA332" s="6"/>
      <c r="FB332" s="6"/>
      <c r="FC332" s="6"/>
      <c r="FD332" s="6"/>
      <c r="FE332" s="6"/>
      <c r="FF332" s="6"/>
      <c r="FG332" s="6"/>
      <c r="FH332" s="6"/>
      <c r="FI332" s="6"/>
      <c r="FJ332" s="6"/>
      <c r="FK332" s="6"/>
      <c r="FL332" s="6"/>
      <c r="FM332" s="6"/>
      <c r="FN332" s="6"/>
      <c r="FO332" s="6"/>
      <c r="FP332" s="6"/>
      <c r="FQ332" s="6"/>
      <c r="FR332" s="6"/>
      <c r="FS332" s="6"/>
      <c r="FT332" s="6"/>
      <c r="FU332" s="6"/>
      <c r="FV332" s="6"/>
      <c r="FW332" s="6"/>
      <c r="FX332" s="6"/>
      <c r="FY332" s="6"/>
      <c r="FZ332" s="6"/>
      <c r="GA332" s="6"/>
      <c r="GB332" s="6"/>
      <c r="GC332" s="6"/>
      <c r="GD332" s="6"/>
      <c r="GE332" s="6"/>
      <c r="GF332" s="6"/>
      <c r="GG332" s="6"/>
      <c r="GH332" s="6"/>
      <c r="GI332" s="6"/>
      <c r="GJ332" s="6"/>
      <c r="GK332" s="6"/>
      <c r="GL332" s="6"/>
      <c r="GM332" s="6"/>
      <c r="GN332" s="6"/>
      <c r="GO332" s="6"/>
      <c r="GP332" s="6"/>
      <c r="GQ332" s="6"/>
      <c r="GR332" s="6"/>
      <c r="GS332" s="6"/>
      <c r="GT332" s="6"/>
      <c r="GU332" s="6"/>
      <c r="GV332" s="6"/>
      <c r="GW332" s="6"/>
      <c r="GX332" s="6"/>
      <c r="GY332" s="6"/>
      <c r="GZ332" s="6"/>
      <c r="HA332" s="6"/>
      <c r="HB332" s="6"/>
      <c r="HC332" s="6"/>
      <c r="HD332" s="6"/>
      <c r="HE332" s="6"/>
      <c r="HF332" s="6"/>
      <c r="HG332" s="6"/>
      <c r="HH332" s="6"/>
      <c r="HI332" s="6"/>
      <c r="HJ332" s="6"/>
      <c r="HK332" s="6"/>
      <c r="HL332" s="6"/>
      <c r="HM332" s="6"/>
      <c r="HN332" s="6"/>
      <c r="HO332" s="6"/>
      <c r="HP332" s="6"/>
      <c r="HQ332" s="6"/>
      <c r="HR332" s="6"/>
      <c r="HS332" s="6"/>
      <c r="HT332" s="6"/>
      <c r="HU332" s="6"/>
    </row>
    <row r="333" spans="9:229"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  <c r="ER333" s="6"/>
      <c r="ES333" s="6"/>
      <c r="ET333" s="6"/>
      <c r="EU333" s="6"/>
      <c r="EV333" s="6"/>
      <c r="EW333" s="6"/>
      <c r="EX333" s="6"/>
      <c r="EY333" s="6"/>
      <c r="EZ333" s="6"/>
      <c r="FA333" s="6"/>
      <c r="FB333" s="6"/>
      <c r="FC333" s="6"/>
      <c r="FD333" s="6"/>
      <c r="FE333" s="6"/>
      <c r="FF333" s="6"/>
      <c r="FG333" s="6"/>
      <c r="FH333" s="6"/>
      <c r="FI333" s="6"/>
      <c r="FJ333" s="6"/>
      <c r="FK333" s="6"/>
      <c r="FL333" s="6"/>
      <c r="FM333" s="6"/>
      <c r="FN333" s="6"/>
      <c r="FO333" s="6"/>
      <c r="FP333" s="6"/>
      <c r="FQ333" s="6"/>
      <c r="FR333" s="6"/>
      <c r="FS333" s="6"/>
      <c r="FT333" s="6"/>
      <c r="FU333" s="6"/>
      <c r="FV333" s="6"/>
      <c r="FW333" s="6"/>
      <c r="FX333" s="6"/>
      <c r="FY333" s="6"/>
      <c r="FZ333" s="6"/>
      <c r="GA333" s="6"/>
      <c r="GB333" s="6"/>
      <c r="GC333" s="6"/>
      <c r="GD333" s="6"/>
      <c r="GE333" s="6"/>
      <c r="GF333" s="6"/>
      <c r="GG333" s="6"/>
      <c r="GH333" s="6"/>
      <c r="GI333" s="6"/>
      <c r="GJ333" s="6"/>
      <c r="GK333" s="6"/>
      <c r="GL333" s="6"/>
      <c r="GM333" s="6"/>
      <c r="GN333" s="6"/>
      <c r="GO333" s="6"/>
      <c r="GP333" s="6"/>
      <c r="GQ333" s="6"/>
      <c r="GR333" s="6"/>
      <c r="GS333" s="6"/>
      <c r="GT333" s="6"/>
      <c r="GU333" s="6"/>
      <c r="GV333" s="6"/>
      <c r="GW333" s="6"/>
      <c r="GX333" s="6"/>
      <c r="GY333" s="6"/>
      <c r="GZ333" s="6"/>
      <c r="HA333" s="6"/>
      <c r="HB333" s="6"/>
      <c r="HC333" s="6"/>
      <c r="HD333" s="6"/>
      <c r="HE333" s="6"/>
      <c r="HF333" s="6"/>
      <c r="HG333" s="6"/>
      <c r="HH333" s="6"/>
      <c r="HI333" s="6"/>
      <c r="HJ333" s="6"/>
      <c r="HK333" s="6"/>
      <c r="HL333" s="6"/>
      <c r="HM333" s="6"/>
      <c r="HN333" s="6"/>
      <c r="HO333" s="6"/>
      <c r="HP333" s="6"/>
      <c r="HQ333" s="6"/>
      <c r="HR333" s="6"/>
      <c r="HS333" s="6"/>
      <c r="HT333" s="6"/>
      <c r="HU333" s="6"/>
    </row>
    <row r="334" spans="9:229"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  <c r="ER334" s="6"/>
      <c r="ES334" s="6"/>
      <c r="ET334" s="6"/>
      <c r="EU334" s="6"/>
      <c r="EV334" s="6"/>
      <c r="EW334" s="6"/>
      <c r="EX334" s="6"/>
      <c r="EY334" s="6"/>
      <c r="EZ334" s="6"/>
      <c r="FA334" s="6"/>
      <c r="FB334" s="6"/>
      <c r="FC334" s="6"/>
      <c r="FD334" s="6"/>
      <c r="FE334" s="6"/>
      <c r="FF334" s="6"/>
      <c r="FG334" s="6"/>
      <c r="FH334" s="6"/>
      <c r="FI334" s="6"/>
      <c r="FJ334" s="6"/>
      <c r="FK334" s="6"/>
      <c r="FL334" s="6"/>
      <c r="FM334" s="6"/>
      <c r="FN334" s="6"/>
      <c r="FO334" s="6"/>
      <c r="FP334" s="6"/>
      <c r="FQ334" s="6"/>
      <c r="FR334" s="6"/>
      <c r="FS334" s="6"/>
      <c r="FT334" s="6"/>
      <c r="FU334" s="6"/>
      <c r="FV334" s="6"/>
      <c r="FW334" s="6"/>
      <c r="FX334" s="6"/>
      <c r="FY334" s="6"/>
      <c r="FZ334" s="6"/>
      <c r="GA334" s="6"/>
      <c r="GB334" s="6"/>
      <c r="GC334" s="6"/>
      <c r="GD334" s="6"/>
      <c r="GE334" s="6"/>
      <c r="GF334" s="6"/>
      <c r="GG334" s="6"/>
      <c r="GH334" s="6"/>
      <c r="GI334" s="6"/>
      <c r="GJ334" s="6"/>
      <c r="GK334" s="6"/>
      <c r="GL334" s="6"/>
      <c r="GM334" s="6"/>
      <c r="GN334" s="6"/>
      <c r="GO334" s="6"/>
      <c r="GP334" s="6"/>
      <c r="GQ334" s="6"/>
      <c r="GR334" s="6"/>
      <c r="GS334" s="6"/>
      <c r="GT334" s="6"/>
      <c r="GU334" s="6"/>
      <c r="GV334" s="6"/>
      <c r="GW334" s="6"/>
      <c r="GX334" s="6"/>
      <c r="GY334" s="6"/>
      <c r="GZ334" s="6"/>
      <c r="HA334" s="6"/>
      <c r="HB334" s="6"/>
      <c r="HC334" s="6"/>
      <c r="HD334" s="6"/>
      <c r="HE334" s="6"/>
      <c r="HF334" s="6"/>
      <c r="HG334" s="6"/>
      <c r="HH334" s="6"/>
      <c r="HI334" s="6"/>
      <c r="HJ334" s="6"/>
      <c r="HK334" s="6"/>
      <c r="HL334" s="6"/>
      <c r="HM334" s="6"/>
      <c r="HN334" s="6"/>
      <c r="HO334" s="6"/>
      <c r="HP334" s="6"/>
      <c r="HQ334" s="6"/>
      <c r="HR334" s="6"/>
      <c r="HS334" s="6"/>
      <c r="HT334" s="6"/>
      <c r="HU334" s="6"/>
    </row>
    <row r="335" spans="9:229"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  <c r="ER335" s="6"/>
      <c r="ES335" s="6"/>
      <c r="ET335" s="6"/>
      <c r="EU335" s="6"/>
      <c r="EV335" s="6"/>
      <c r="EW335" s="6"/>
      <c r="EX335" s="6"/>
      <c r="EY335" s="6"/>
      <c r="EZ335" s="6"/>
      <c r="FA335" s="6"/>
      <c r="FB335" s="6"/>
      <c r="FC335" s="6"/>
      <c r="FD335" s="6"/>
      <c r="FE335" s="6"/>
      <c r="FF335" s="6"/>
      <c r="FG335" s="6"/>
      <c r="FH335" s="6"/>
      <c r="FI335" s="6"/>
      <c r="FJ335" s="6"/>
      <c r="FK335" s="6"/>
      <c r="FL335" s="6"/>
      <c r="FM335" s="6"/>
      <c r="FN335" s="6"/>
      <c r="FO335" s="6"/>
      <c r="FP335" s="6"/>
      <c r="FQ335" s="6"/>
      <c r="FR335" s="6"/>
      <c r="FS335" s="6"/>
      <c r="FT335" s="6"/>
      <c r="FU335" s="6"/>
      <c r="FV335" s="6"/>
      <c r="FW335" s="6"/>
      <c r="FX335" s="6"/>
      <c r="FY335" s="6"/>
      <c r="FZ335" s="6"/>
      <c r="GA335" s="6"/>
      <c r="GB335" s="6"/>
      <c r="GC335" s="6"/>
      <c r="GD335" s="6"/>
      <c r="GE335" s="6"/>
      <c r="GF335" s="6"/>
      <c r="GG335" s="6"/>
      <c r="GH335" s="6"/>
      <c r="GI335" s="6"/>
      <c r="GJ335" s="6"/>
      <c r="GK335" s="6"/>
      <c r="GL335" s="6"/>
      <c r="GM335" s="6"/>
      <c r="GN335" s="6"/>
      <c r="GO335" s="6"/>
      <c r="GP335" s="6"/>
      <c r="GQ335" s="6"/>
      <c r="GR335" s="6"/>
      <c r="GS335" s="6"/>
      <c r="GT335" s="6"/>
      <c r="GU335" s="6"/>
      <c r="GV335" s="6"/>
      <c r="GW335" s="6"/>
      <c r="GX335" s="6"/>
      <c r="GY335" s="6"/>
      <c r="GZ335" s="6"/>
      <c r="HA335" s="6"/>
      <c r="HB335" s="6"/>
      <c r="HC335" s="6"/>
      <c r="HD335" s="6"/>
      <c r="HE335" s="6"/>
      <c r="HF335" s="6"/>
      <c r="HG335" s="6"/>
      <c r="HH335" s="6"/>
      <c r="HI335" s="6"/>
      <c r="HJ335" s="6"/>
      <c r="HK335" s="6"/>
      <c r="HL335" s="6"/>
      <c r="HM335" s="6"/>
      <c r="HN335" s="6"/>
      <c r="HO335" s="6"/>
      <c r="HP335" s="6"/>
      <c r="HQ335" s="6"/>
      <c r="HR335" s="6"/>
      <c r="HS335" s="6"/>
      <c r="HT335" s="6"/>
      <c r="HU335" s="6"/>
    </row>
    <row r="336" spans="9:229"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  <c r="ER336" s="6"/>
      <c r="ES336" s="6"/>
      <c r="ET336" s="6"/>
      <c r="EU336" s="6"/>
      <c r="EV336" s="6"/>
      <c r="EW336" s="6"/>
      <c r="EX336" s="6"/>
      <c r="EY336" s="6"/>
      <c r="EZ336" s="6"/>
      <c r="FA336" s="6"/>
      <c r="FB336" s="6"/>
      <c r="FC336" s="6"/>
      <c r="FD336" s="6"/>
      <c r="FE336" s="6"/>
      <c r="FF336" s="6"/>
      <c r="FG336" s="6"/>
      <c r="FH336" s="6"/>
      <c r="FI336" s="6"/>
      <c r="FJ336" s="6"/>
      <c r="FK336" s="6"/>
      <c r="FL336" s="6"/>
      <c r="FM336" s="6"/>
      <c r="FN336" s="6"/>
      <c r="FO336" s="6"/>
      <c r="FP336" s="6"/>
      <c r="FQ336" s="6"/>
      <c r="FR336" s="6"/>
      <c r="FS336" s="6"/>
      <c r="FT336" s="6"/>
      <c r="FU336" s="6"/>
      <c r="FV336" s="6"/>
      <c r="FW336" s="6"/>
      <c r="FX336" s="6"/>
      <c r="FY336" s="6"/>
      <c r="FZ336" s="6"/>
      <c r="GA336" s="6"/>
      <c r="GB336" s="6"/>
      <c r="GC336" s="6"/>
      <c r="GD336" s="6"/>
      <c r="GE336" s="6"/>
      <c r="GF336" s="6"/>
      <c r="GG336" s="6"/>
      <c r="GH336" s="6"/>
      <c r="GI336" s="6"/>
      <c r="GJ336" s="6"/>
      <c r="GK336" s="6"/>
      <c r="GL336" s="6"/>
      <c r="GM336" s="6"/>
      <c r="GN336" s="6"/>
      <c r="GO336" s="6"/>
      <c r="GP336" s="6"/>
      <c r="GQ336" s="6"/>
      <c r="GR336" s="6"/>
      <c r="GS336" s="6"/>
      <c r="GT336" s="6"/>
      <c r="GU336" s="6"/>
      <c r="GV336" s="6"/>
      <c r="GW336" s="6"/>
      <c r="GX336" s="6"/>
      <c r="GY336" s="6"/>
      <c r="GZ336" s="6"/>
      <c r="HA336" s="6"/>
      <c r="HB336" s="6"/>
      <c r="HC336" s="6"/>
      <c r="HD336" s="6"/>
      <c r="HE336" s="6"/>
      <c r="HF336" s="6"/>
      <c r="HG336" s="6"/>
      <c r="HH336" s="6"/>
      <c r="HI336" s="6"/>
      <c r="HJ336" s="6"/>
      <c r="HK336" s="6"/>
      <c r="HL336" s="6"/>
      <c r="HM336" s="6"/>
      <c r="HN336" s="6"/>
      <c r="HO336" s="6"/>
      <c r="HP336" s="6"/>
      <c r="HQ336" s="6"/>
      <c r="HR336" s="6"/>
      <c r="HS336" s="6"/>
      <c r="HT336" s="6"/>
      <c r="HU336" s="6"/>
    </row>
    <row r="337" spans="9:229"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  <c r="ER337" s="6"/>
      <c r="ES337" s="6"/>
      <c r="ET337" s="6"/>
      <c r="EU337" s="6"/>
      <c r="EV337" s="6"/>
      <c r="EW337" s="6"/>
      <c r="EX337" s="6"/>
      <c r="EY337" s="6"/>
      <c r="EZ337" s="6"/>
      <c r="FA337" s="6"/>
      <c r="FB337" s="6"/>
      <c r="FC337" s="6"/>
      <c r="FD337" s="6"/>
      <c r="FE337" s="6"/>
      <c r="FF337" s="6"/>
      <c r="FG337" s="6"/>
      <c r="FH337" s="6"/>
      <c r="FI337" s="6"/>
      <c r="FJ337" s="6"/>
      <c r="FK337" s="6"/>
      <c r="FL337" s="6"/>
      <c r="FM337" s="6"/>
      <c r="FN337" s="6"/>
      <c r="FO337" s="6"/>
      <c r="FP337" s="6"/>
      <c r="FQ337" s="6"/>
      <c r="FR337" s="6"/>
      <c r="FS337" s="6"/>
      <c r="FT337" s="6"/>
      <c r="FU337" s="6"/>
      <c r="FV337" s="6"/>
      <c r="FW337" s="6"/>
      <c r="FX337" s="6"/>
      <c r="FY337" s="6"/>
      <c r="FZ337" s="6"/>
      <c r="GA337" s="6"/>
      <c r="GB337" s="6"/>
      <c r="GC337" s="6"/>
      <c r="GD337" s="6"/>
      <c r="GE337" s="6"/>
      <c r="GF337" s="6"/>
      <c r="GG337" s="6"/>
      <c r="GH337" s="6"/>
      <c r="GI337" s="6"/>
      <c r="GJ337" s="6"/>
      <c r="GK337" s="6"/>
      <c r="GL337" s="6"/>
      <c r="GM337" s="6"/>
      <c r="GN337" s="6"/>
      <c r="GO337" s="6"/>
      <c r="GP337" s="6"/>
      <c r="GQ337" s="6"/>
      <c r="GR337" s="6"/>
      <c r="GS337" s="6"/>
      <c r="GT337" s="6"/>
      <c r="GU337" s="6"/>
      <c r="GV337" s="6"/>
      <c r="GW337" s="6"/>
      <c r="GX337" s="6"/>
      <c r="GY337" s="6"/>
      <c r="GZ337" s="6"/>
      <c r="HA337" s="6"/>
      <c r="HB337" s="6"/>
      <c r="HC337" s="6"/>
      <c r="HD337" s="6"/>
      <c r="HE337" s="6"/>
      <c r="HF337" s="6"/>
      <c r="HG337" s="6"/>
      <c r="HH337" s="6"/>
      <c r="HI337" s="6"/>
      <c r="HJ337" s="6"/>
      <c r="HK337" s="6"/>
      <c r="HL337" s="6"/>
      <c r="HM337" s="6"/>
      <c r="HN337" s="6"/>
      <c r="HO337" s="6"/>
      <c r="HP337" s="6"/>
      <c r="HQ337" s="6"/>
      <c r="HR337" s="6"/>
      <c r="HS337" s="6"/>
      <c r="HT337" s="6"/>
      <c r="HU337" s="6"/>
    </row>
    <row r="338" spans="9:229"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  <c r="ER338" s="6"/>
      <c r="ES338" s="6"/>
      <c r="ET338" s="6"/>
      <c r="EU338" s="6"/>
      <c r="EV338" s="6"/>
      <c r="EW338" s="6"/>
      <c r="EX338" s="6"/>
      <c r="EY338" s="6"/>
      <c r="EZ338" s="6"/>
      <c r="FA338" s="6"/>
      <c r="FB338" s="6"/>
      <c r="FC338" s="6"/>
      <c r="FD338" s="6"/>
      <c r="FE338" s="6"/>
      <c r="FF338" s="6"/>
      <c r="FG338" s="6"/>
      <c r="FH338" s="6"/>
      <c r="FI338" s="6"/>
      <c r="FJ338" s="6"/>
      <c r="FK338" s="6"/>
      <c r="FL338" s="6"/>
      <c r="FM338" s="6"/>
      <c r="FN338" s="6"/>
      <c r="FO338" s="6"/>
      <c r="FP338" s="6"/>
      <c r="FQ338" s="6"/>
      <c r="FR338" s="6"/>
      <c r="FS338" s="6"/>
      <c r="FT338" s="6"/>
      <c r="FU338" s="6"/>
      <c r="FV338" s="6"/>
      <c r="FW338" s="6"/>
      <c r="FX338" s="6"/>
      <c r="FY338" s="6"/>
      <c r="FZ338" s="6"/>
      <c r="GA338" s="6"/>
      <c r="GB338" s="6"/>
      <c r="GC338" s="6"/>
      <c r="GD338" s="6"/>
      <c r="GE338" s="6"/>
      <c r="GF338" s="6"/>
      <c r="GG338" s="6"/>
      <c r="GH338" s="6"/>
      <c r="GI338" s="6"/>
      <c r="GJ338" s="6"/>
      <c r="GK338" s="6"/>
      <c r="GL338" s="6"/>
      <c r="GM338" s="6"/>
      <c r="GN338" s="6"/>
      <c r="GO338" s="6"/>
      <c r="GP338" s="6"/>
      <c r="GQ338" s="6"/>
      <c r="GR338" s="6"/>
      <c r="GS338" s="6"/>
      <c r="GT338" s="6"/>
      <c r="GU338" s="6"/>
      <c r="GV338" s="6"/>
      <c r="GW338" s="6"/>
      <c r="GX338" s="6"/>
      <c r="GY338" s="6"/>
      <c r="GZ338" s="6"/>
      <c r="HA338" s="6"/>
      <c r="HB338" s="6"/>
      <c r="HC338" s="6"/>
      <c r="HD338" s="6"/>
      <c r="HE338" s="6"/>
      <c r="HF338" s="6"/>
      <c r="HG338" s="6"/>
      <c r="HH338" s="6"/>
      <c r="HI338" s="6"/>
      <c r="HJ338" s="6"/>
      <c r="HK338" s="6"/>
      <c r="HL338" s="6"/>
      <c r="HM338" s="6"/>
      <c r="HN338" s="6"/>
      <c r="HO338" s="6"/>
      <c r="HP338" s="6"/>
      <c r="HQ338" s="6"/>
      <c r="HR338" s="6"/>
      <c r="HS338" s="6"/>
      <c r="HT338" s="6"/>
      <c r="HU338" s="6"/>
    </row>
    <row r="339" spans="9:229"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  <c r="ER339" s="6"/>
      <c r="ES339" s="6"/>
      <c r="ET339" s="6"/>
      <c r="EU339" s="6"/>
      <c r="EV339" s="6"/>
      <c r="EW339" s="6"/>
      <c r="EX339" s="6"/>
      <c r="EY339" s="6"/>
      <c r="EZ339" s="6"/>
      <c r="FA339" s="6"/>
      <c r="FB339" s="6"/>
      <c r="FC339" s="6"/>
      <c r="FD339" s="6"/>
      <c r="FE339" s="6"/>
      <c r="FF339" s="6"/>
      <c r="FG339" s="6"/>
      <c r="FH339" s="6"/>
      <c r="FI339" s="6"/>
      <c r="FJ339" s="6"/>
      <c r="FK339" s="6"/>
      <c r="FL339" s="6"/>
      <c r="FM339" s="6"/>
      <c r="FN339" s="6"/>
      <c r="FO339" s="6"/>
      <c r="FP339" s="6"/>
      <c r="FQ339" s="6"/>
      <c r="FR339" s="6"/>
      <c r="FS339" s="6"/>
      <c r="FT339" s="6"/>
      <c r="FU339" s="6"/>
      <c r="FV339" s="6"/>
      <c r="FW339" s="6"/>
      <c r="FX339" s="6"/>
      <c r="FY339" s="6"/>
      <c r="FZ339" s="6"/>
      <c r="GA339" s="6"/>
      <c r="GB339" s="6"/>
      <c r="GC339" s="6"/>
      <c r="GD339" s="6"/>
      <c r="GE339" s="6"/>
      <c r="GF339" s="6"/>
      <c r="GG339" s="6"/>
      <c r="GH339" s="6"/>
      <c r="GI339" s="6"/>
      <c r="GJ339" s="6"/>
      <c r="GK339" s="6"/>
      <c r="GL339" s="6"/>
      <c r="GM339" s="6"/>
      <c r="GN339" s="6"/>
      <c r="GO339" s="6"/>
      <c r="GP339" s="6"/>
      <c r="GQ339" s="6"/>
      <c r="GR339" s="6"/>
      <c r="GS339" s="6"/>
      <c r="GT339" s="6"/>
      <c r="GU339" s="6"/>
      <c r="GV339" s="6"/>
      <c r="GW339" s="6"/>
      <c r="GX339" s="6"/>
      <c r="GY339" s="6"/>
      <c r="GZ339" s="6"/>
      <c r="HA339" s="6"/>
      <c r="HB339" s="6"/>
      <c r="HC339" s="6"/>
      <c r="HD339" s="6"/>
      <c r="HE339" s="6"/>
      <c r="HF339" s="6"/>
      <c r="HG339" s="6"/>
      <c r="HH339" s="6"/>
      <c r="HI339" s="6"/>
      <c r="HJ339" s="6"/>
      <c r="HK339" s="6"/>
      <c r="HL339" s="6"/>
      <c r="HM339" s="6"/>
      <c r="HN339" s="6"/>
      <c r="HO339" s="6"/>
      <c r="HP339" s="6"/>
      <c r="HQ339" s="6"/>
      <c r="HR339" s="6"/>
      <c r="HS339" s="6"/>
      <c r="HT339" s="6"/>
      <c r="HU339" s="6"/>
    </row>
    <row r="340" spans="9:229"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  <c r="ER340" s="6"/>
      <c r="ES340" s="6"/>
      <c r="ET340" s="6"/>
      <c r="EU340" s="6"/>
      <c r="EV340" s="6"/>
      <c r="EW340" s="6"/>
      <c r="EX340" s="6"/>
      <c r="EY340" s="6"/>
      <c r="EZ340" s="6"/>
      <c r="FA340" s="6"/>
      <c r="FB340" s="6"/>
      <c r="FC340" s="6"/>
      <c r="FD340" s="6"/>
      <c r="FE340" s="6"/>
      <c r="FF340" s="6"/>
      <c r="FG340" s="6"/>
      <c r="FH340" s="6"/>
      <c r="FI340" s="6"/>
      <c r="FJ340" s="6"/>
      <c r="FK340" s="6"/>
      <c r="FL340" s="6"/>
      <c r="FM340" s="6"/>
      <c r="FN340" s="6"/>
      <c r="FO340" s="6"/>
      <c r="FP340" s="6"/>
      <c r="FQ340" s="6"/>
      <c r="FR340" s="6"/>
      <c r="FS340" s="6"/>
      <c r="FT340" s="6"/>
      <c r="FU340" s="6"/>
      <c r="FV340" s="6"/>
      <c r="FW340" s="6"/>
      <c r="FX340" s="6"/>
      <c r="FY340" s="6"/>
      <c r="FZ340" s="6"/>
      <c r="GA340" s="6"/>
      <c r="GB340" s="6"/>
      <c r="GC340" s="6"/>
      <c r="GD340" s="6"/>
      <c r="GE340" s="6"/>
      <c r="GF340" s="6"/>
      <c r="GG340" s="6"/>
      <c r="GH340" s="6"/>
      <c r="GI340" s="6"/>
      <c r="GJ340" s="6"/>
      <c r="GK340" s="6"/>
      <c r="GL340" s="6"/>
      <c r="GM340" s="6"/>
      <c r="GN340" s="6"/>
      <c r="GO340" s="6"/>
      <c r="GP340" s="6"/>
      <c r="GQ340" s="6"/>
      <c r="GR340" s="6"/>
      <c r="GS340" s="6"/>
      <c r="GT340" s="6"/>
      <c r="GU340" s="6"/>
      <c r="GV340" s="6"/>
      <c r="GW340" s="6"/>
      <c r="GX340" s="6"/>
      <c r="GY340" s="6"/>
      <c r="GZ340" s="6"/>
      <c r="HA340" s="6"/>
      <c r="HB340" s="6"/>
      <c r="HC340" s="6"/>
      <c r="HD340" s="6"/>
      <c r="HE340" s="6"/>
      <c r="HF340" s="6"/>
      <c r="HG340" s="6"/>
      <c r="HH340" s="6"/>
      <c r="HI340" s="6"/>
      <c r="HJ340" s="6"/>
      <c r="HK340" s="6"/>
      <c r="HL340" s="6"/>
      <c r="HM340" s="6"/>
      <c r="HN340" s="6"/>
      <c r="HO340" s="6"/>
      <c r="HP340" s="6"/>
      <c r="HQ340" s="6"/>
      <c r="HR340" s="6"/>
      <c r="HS340" s="6"/>
      <c r="HT340" s="6"/>
      <c r="HU340" s="6"/>
    </row>
    <row r="341" spans="9:229"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  <c r="ER341" s="6"/>
      <c r="ES341" s="6"/>
      <c r="ET341" s="6"/>
      <c r="EU341" s="6"/>
      <c r="EV341" s="6"/>
      <c r="EW341" s="6"/>
      <c r="EX341" s="6"/>
      <c r="EY341" s="6"/>
      <c r="EZ341" s="6"/>
      <c r="FA341" s="6"/>
      <c r="FB341" s="6"/>
      <c r="FC341" s="6"/>
      <c r="FD341" s="6"/>
      <c r="FE341" s="6"/>
      <c r="FF341" s="6"/>
      <c r="FG341" s="6"/>
      <c r="FH341" s="6"/>
      <c r="FI341" s="6"/>
      <c r="FJ341" s="6"/>
      <c r="FK341" s="6"/>
      <c r="FL341" s="6"/>
      <c r="FM341" s="6"/>
      <c r="FN341" s="6"/>
      <c r="FO341" s="6"/>
      <c r="FP341" s="6"/>
      <c r="FQ341" s="6"/>
      <c r="FR341" s="6"/>
      <c r="FS341" s="6"/>
      <c r="FT341" s="6"/>
      <c r="FU341" s="6"/>
      <c r="FV341" s="6"/>
      <c r="FW341" s="6"/>
      <c r="FX341" s="6"/>
      <c r="FY341" s="6"/>
      <c r="FZ341" s="6"/>
      <c r="GA341" s="6"/>
      <c r="GB341" s="6"/>
      <c r="GC341" s="6"/>
      <c r="GD341" s="6"/>
      <c r="GE341" s="6"/>
      <c r="GF341" s="6"/>
      <c r="GG341" s="6"/>
      <c r="GH341" s="6"/>
      <c r="GI341" s="6"/>
      <c r="GJ341" s="6"/>
      <c r="GK341" s="6"/>
      <c r="GL341" s="6"/>
      <c r="GM341" s="6"/>
      <c r="GN341" s="6"/>
      <c r="GO341" s="6"/>
      <c r="GP341" s="6"/>
      <c r="GQ341" s="6"/>
      <c r="GR341" s="6"/>
      <c r="GS341" s="6"/>
      <c r="GT341" s="6"/>
      <c r="GU341" s="6"/>
      <c r="GV341" s="6"/>
      <c r="GW341" s="6"/>
      <c r="GX341" s="6"/>
      <c r="GY341" s="6"/>
      <c r="GZ341" s="6"/>
      <c r="HA341" s="6"/>
      <c r="HB341" s="6"/>
      <c r="HC341" s="6"/>
      <c r="HD341" s="6"/>
      <c r="HE341" s="6"/>
      <c r="HF341" s="6"/>
      <c r="HG341" s="6"/>
      <c r="HH341" s="6"/>
      <c r="HI341" s="6"/>
      <c r="HJ341" s="6"/>
      <c r="HK341" s="6"/>
      <c r="HL341" s="6"/>
      <c r="HM341" s="6"/>
      <c r="HN341" s="6"/>
      <c r="HO341" s="6"/>
      <c r="HP341" s="6"/>
      <c r="HQ341" s="6"/>
      <c r="HR341" s="6"/>
      <c r="HS341" s="6"/>
      <c r="HT341" s="6"/>
      <c r="HU341" s="6"/>
    </row>
    <row r="342" spans="9:229"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  <c r="ER342" s="6"/>
      <c r="ES342" s="6"/>
      <c r="ET342" s="6"/>
      <c r="EU342" s="6"/>
      <c r="EV342" s="6"/>
      <c r="EW342" s="6"/>
      <c r="EX342" s="6"/>
      <c r="EY342" s="6"/>
      <c r="EZ342" s="6"/>
      <c r="FA342" s="6"/>
      <c r="FB342" s="6"/>
      <c r="FC342" s="6"/>
      <c r="FD342" s="6"/>
      <c r="FE342" s="6"/>
      <c r="FF342" s="6"/>
      <c r="FG342" s="6"/>
      <c r="FH342" s="6"/>
      <c r="FI342" s="6"/>
      <c r="FJ342" s="6"/>
      <c r="FK342" s="6"/>
      <c r="FL342" s="6"/>
      <c r="FM342" s="6"/>
      <c r="FN342" s="6"/>
      <c r="FO342" s="6"/>
      <c r="FP342" s="6"/>
      <c r="FQ342" s="6"/>
      <c r="FR342" s="6"/>
      <c r="FS342" s="6"/>
      <c r="FT342" s="6"/>
      <c r="FU342" s="6"/>
      <c r="FV342" s="6"/>
      <c r="FW342" s="6"/>
      <c r="FX342" s="6"/>
      <c r="FY342" s="6"/>
      <c r="FZ342" s="6"/>
      <c r="GA342" s="6"/>
      <c r="GB342" s="6"/>
      <c r="GC342" s="6"/>
      <c r="GD342" s="6"/>
      <c r="GE342" s="6"/>
      <c r="GF342" s="6"/>
      <c r="GG342" s="6"/>
      <c r="GH342" s="6"/>
      <c r="GI342" s="6"/>
      <c r="GJ342" s="6"/>
      <c r="GK342" s="6"/>
      <c r="GL342" s="6"/>
      <c r="GM342" s="6"/>
      <c r="GN342" s="6"/>
      <c r="GO342" s="6"/>
      <c r="GP342" s="6"/>
      <c r="GQ342" s="6"/>
      <c r="GR342" s="6"/>
      <c r="GS342" s="6"/>
      <c r="GT342" s="6"/>
      <c r="GU342" s="6"/>
      <c r="GV342" s="6"/>
      <c r="GW342" s="6"/>
      <c r="GX342" s="6"/>
      <c r="GY342" s="6"/>
      <c r="GZ342" s="6"/>
      <c r="HA342" s="6"/>
      <c r="HB342" s="6"/>
      <c r="HC342" s="6"/>
      <c r="HD342" s="6"/>
      <c r="HE342" s="6"/>
      <c r="HF342" s="6"/>
      <c r="HG342" s="6"/>
      <c r="HH342" s="6"/>
      <c r="HI342" s="6"/>
      <c r="HJ342" s="6"/>
      <c r="HK342" s="6"/>
      <c r="HL342" s="6"/>
      <c r="HM342" s="6"/>
      <c r="HN342" s="6"/>
      <c r="HO342" s="6"/>
      <c r="HP342" s="6"/>
      <c r="HQ342" s="6"/>
      <c r="HR342" s="6"/>
      <c r="HS342" s="6"/>
      <c r="HT342" s="6"/>
      <c r="HU342" s="6"/>
    </row>
    <row r="343" spans="9:229"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  <c r="ER343" s="6"/>
      <c r="ES343" s="6"/>
      <c r="ET343" s="6"/>
      <c r="EU343" s="6"/>
      <c r="EV343" s="6"/>
      <c r="EW343" s="6"/>
      <c r="EX343" s="6"/>
      <c r="EY343" s="6"/>
      <c r="EZ343" s="6"/>
      <c r="FA343" s="6"/>
      <c r="FB343" s="6"/>
      <c r="FC343" s="6"/>
      <c r="FD343" s="6"/>
      <c r="FE343" s="6"/>
      <c r="FF343" s="6"/>
      <c r="FG343" s="6"/>
      <c r="FH343" s="6"/>
      <c r="FI343" s="6"/>
      <c r="FJ343" s="6"/>
      <c r="FK343" s="6"/>
      <c r="FL343" s="6"/>
      <c r="FM343" s="6"/>
      <c r="FN343" s="6"/>
      <c r="FO343" s="6"/>
      <c r="FP343" s="6"/>
      <c r="FQ343" s="6"/>
      <c r="FR343" s="6"/>
      <c r="FS343" s="6"/>
      <c r="FT343" s="6"/>
      <c r="FU343" s="6"/>
      <c r="FV343" s="6"/>
      <c r="FW343" s="6"/>
      <c r="FX343" s="6"/>
      <c r="FY343" s="6"/>
      <c r="FZ343" s="6"/>
      <c r="GA343" s="6"/>
      <c r="GB343" s="6"/>
      <c r="GC343" s="6"/>
      <c r="GD343" s="6"/>
      <c r="GE343" s="6"/>
      <c r="GF343" s="6"/>
      <c r="GG343" s="6"/>
      <c r="GH343" s="6"/>
      <c r="GI343" s="6"/>
      <c r="GJ343" s="6"/>
      <c r="GK343" s="6"/>
      <c r="GL343" s="6"/>
      <c r="GM343" s="6"/>
      <c r="GN343" s="6"/>
      <c r="GO343" s="6"/>
      <c r="GP343" s="6"/>
      <c r="GQ343" s="6"/>
      <c r="GR343" s="6"/>
      <c r="GS343" s="6"/>
      <c r="GT343" s="6"/>
      <c r="GU343" s="6"/>
      <c r="GV343" s="6"/>
      <c r="GW343" s="6"/>
      <c r="GX343" s="6"/>
      <c r="GY343" s="6"/>
      <c r="GZ343" s="6"/>
      <c r="HA343" s="6"/>
      <c r="HB343" s="6"/>
      <c r="HC343" s="6"/>
      <c r="HD343" s="6"/>
      <c r="HE343" s="6"/>
      <c r="HF343" s="6"/>
      <c r="HG343" s="6"/>
      <c r="HH343" s="6"/>
      <c r="HI343" s="6"/>
      <c r="HJ343" s="6"/>
      <c r="HK343" s="6"/>
      <c r="HL343" s="6"/>
      <c r="HM343" s="6"/>
      <c r="HN343" s="6"/>
      <c r="HO343" s="6"/>
      <c r="HP343" s="6"/>
      <c r="HQ343" s="6"/>
      <c r="HR343" s="6"/>
      <c r="HS343" s="6"/>
      <c r="HT343" s="6"/>
      <c r="HU343" s="6"/>
    </row>
    <row r="344" spans="9:229"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  <c r="ER344" s="6"/>
      <c r="ES344" s="6"/>
      <c r="ET344" s="6"/>
      <c r="EU344" s="6"/>
      <c r="EV344" s="6"/>
      <c r="EW344" s="6"/>
      <c r="EX344" s="6"/>
      <c r="EY344" s="6"/>
      <c r="EZ344" s="6"/>
      <c r="FA344" s="6"/>
      <c r="FB344" s="6"/>
      <c r="FC344" s="6"/>
      <c r="FD344" s="6"/>
      <c r="FE344" s="6"/>
      <c r="FF344" s="6"/>
      <c r="FG344" s="6"/>
      <c r="FH344" s="6"/>
      <c r="FI344" s="6"/>
      <c r="FJ344" s="6"/>
      <c r="FK344" s="6"/>
      <c r="FL344" s="6"/>
      <c r="FM344" s="6"/>
      <c r="FN344" s="6"/>
      <c r="FO344" s="6"/>
      <c r="FP344" s="6"/>
      <c r="FQ344" s="6"/>
      <c r="FR344" s="6"/>
      <c r="FS344" s="6"/>
      <c r="FT344" s="6"/>
      <c r="FU344" s="6"/>
      <c r="FV344" s="6"/>
      <c r="FW344" s="6"/>
      <c r="FX344" s="6"/>
      <c r="FY344" s="6"/>
      <c r="FZ344" s="6"/>
      <c r="GA344" s="6"/>
      <c r="GB344" s="6"/>
      <c r="GC344" s="6"/>
      <c r="GD344" s="6"/>
      <c r="GE344" s="6"/>
      <c r="GF344" s="6"/>
      <c r="GG344" s="6"/>
      <c r="GH344" s="6"/>
      <c r="GI344" s="6"/>
      <c r="GJ344" s="6"/>
      <c r="GK344" s="6"/>
      <c r="GL344" s="6"/>
      <c r="GM344" s="6"/>
      <c r="GN344" s="6"/>
      <c r="GO344" s="6"/>
      <c r="GP344" s="6"/>
      <c r="GQ344" s="6"/>
      <c r="GR344" s="6"/>
      <c r="GS344" s="6"/>
      <c r="GT344" s="6"/>
      <c r="GU344" s="6"/>
      <c r="GV344" s="6"/>
      <c r="GW344" s="6"/>
      <c r="GX344" s="6"/>
      <c r="GY344" s="6"/>
      <c r="GZ344" s="6"/>
      <c r="HA344" s="6"/>
      <c r="HB344" s="6"/>
      <c r="HC344" s="6"/>
      <c r="HD344" s="6"/>
      <c r="HE344" s="6"/>
      <c r="HF344" s="6"/>
      <c r="HG344" s="6"/>
      <c r="HH344" s="6"/>
      <c r="HI344" s="6"/>
      <c r="HJ344" s="6"/>
      <c r="HK344" s="6"/>
      <c r="HL344" s="6"/>
      <c r="HM344" s="6"/>
      <c r="HN344" s="6"/>
      <c r="HO344" s="6"/>
      <c r="HP344" s="6"/>
      <c r="HQ344" s="6"/>
      <c r="HR344" s="6"/>
      <c r="HS344" s="6"/>
      <c r="HT344" s="6"/>
      <c r="HU344" s="6"/>
    </row>
    <row r="345" spans="9:229"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  <c r="ER345" s="6"/>
      <c r="ES345" s="6"/>
      <c r="ET345" s="6"/>
      <c r="EU345" s="6"/>
      <c r="EV345" s="6"/>
      <c r="EW345" s="6"/>
      <c r="EX345" s="6"/>
      <c r="EY345" s="6"/>
      <c r="EZ345" s="6"/>
      <c r="FA345" s="6"/>
      <c r="FB345" s="6"/>
      <c r="FC345" s="6"/>
      <c r="FD345" s="6"/>
      <c r="FE345" s="6"/>
      <c r="FF345" s="6"/>
      <c r="FG345" s="6"/>
      <c r="FH345" s="6"/>
      <c r="FI345" s="6"/>
      <c r="FJ345" s="6"/>
      <c r="FK345" s="6"/>
      <c r="FL345" s="6"/>
      <c r="FM345" s="6"/>
      <c r="FN345" s="6"/>
      <c r="FO345" s="6"/>
      <c r="FP345" s="6"/>
      <c r="FQ345" s="6"/>
      <c r="FR345" s="6"/>
      <c r="FS345" s="6"/>
      <c r="FT345" s="6"/>
      <c r="FU345" s="6"/>
      <c r="FV345" s="6"/>
      <c r="FW345" s="6"/>
      <c r="FX345" s="6"/>
      <c r="FY345" s="6"/>
      <c r="FZ345" s="6"/>
      <c r="GA345" s="6"/>
      <c r="GB345" s="6"/>
      <c r="GC345" s="6"/>
      <c r="GD345" s="6"/>
      <c r="GE345" s="6"/>
      <c r="GF345" s="6"/>
      <c r="GG345" s="6"/>
      <c r="GH345" s="6"/>
      <c r="GI345" s="6"/>
      <c r="GJ345" s="6"/>
      <c r="GK345" s="6"/>
      <c r="GL345" s="6"/>
      <c r="GM345" s="6"/>
      <c r="GN345" s="6"/>
      <c r="GO345" s="6"/>
      <c r="GP345" s="6"/>
      <c r="GQ345" s="6"/>
      <c r="GR345" s="6"/>
      <c r="GS345" s="6"/>
      <c r="GT345" s="6"/>
      <c r="GU345" s="6"/>
      <c r="GV345" s="6"/>
      <c r="GW345" s="6"/>
      <c r="GX345" s="6"/>
      <c r="GY345" s="6"/>
      <c r="GZ345" s="6"/>
      <c r="HA345" s="6"/>
      <c r="HB345" s="6"/>
      <c r="HC345" s="6"/>
      <c r="HD345" s="6"/>
      <c r="HE345" s="6"/>
      <c r="HF345" s="6"/>
      <c r="HG345" s="6"/>
      <c r="HH345" s="6"/>
      <c r="HI345" s="6"/>
      <c r="HJ345" s="6"/>
      <c r="HK345" s="6"/>
      <c r="HL345" s="6"/>
      <c r="HM345" s="6"/>
      <c r="HN345" s="6"/>
      <c r="HO345" s="6"/>
      <c r="HP345" s="6"/>
      <c r="HQ345" s="6"/>
      <c r="HR345" s="6"/>
      <c r="HS345" s="6"/>
      <c r="HT345" s="6"/>
      <c r="HU345" s="6"/>
    </row>
    <row r="346" spans="9:229"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BV346" s="6"/>
      <c r="BW346" s="6"/>
      <c r="BX346" s="6"/>
      <c r="BY346" s="6"/>
      <c r="BZ346" s="6"/>
      <c r="CA346" s="6"/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  <c r="ER346" s="6"/>
      <c r="ES346" s="6"/>
      <c r="ET346" s="6"/>
      <c r="EU346" s="6"/>
      <c r="EV346" s="6"/>
      <c r="EW346" s="6"/>
      <c r="EX346" s="6"/>
      <c r="EY346" s="6"/>
      <c r="EZ346" s="6"/>
      <c r="FA346" s="6"/>
      <c r="FB346" s="6"/>
      <c r="FC346" s="6"/>
      <c r="FD346" s="6"/>
      <c r="FE346" s="6"/>
      <c r="FF346" s="6"/>
      <c r="FG346" s="6"/>
      <c r="FH346" s="6"/>
      <c r="FI346" s="6"/>
      <c r="FJ346" s="6"/>
      <c r="FK346" s="6"/>
      <c r="FL346" s="6"/>
      <c r="FM346" s="6"/>
      <c r="FN346" s="6"/>
      <c r="FO346" s="6"/>
      <c r="FP346" s="6"/>
      <c r="FQ346" s="6"/>
      <c r="FR346" s="6"/>
      <c r="FS346" s="6"/>
      <c r="FT346" s="6"/>
      <c r="FU346" s="6"/>
      <c r="FV346" s="6"/>
      <c r="FW346" s="6"/>
      <c r="FX346" s="6"/>
      <c r="FY346" s="6"/>
      <c r="FZ346" s="6"/>
      <c r="GA346" s="6"/>
      <c r="GB346" s="6"/>
      <c r="GC346" s="6"/>
      <c r="GD346" s="6"/>
      <c r="GE346" s="6"/>
      <c r="GF346" s="6"/>
      <c r="GG346" s="6"/>
      <c r="GH346" s="6"/>
      <c r="GI346" s="6"/>
      <c r="GJ346" s="6"/>
      <c r="GK346" s="6"/>
      <c r="GL346" s="6"/>
      <c r="GM346" s="6"/>
      <c r="GN346" s="6"/>
      <c r="GO346" s="6"/>
      <c r="GP346" s="6"/>
      <c r="GQ346" s="6"/>
      <c r="GR346" s="6"/>
      <c r="GS346" s="6"/>
      <c r="GT346" s="6"/>
      <c r="GU346" s="6"/>
      <c r="GV346" s="6"/>
      <c r="GW346" s="6"/>
      <c r="GX346" s="6"/>
      <c r="GY346" s="6"/>
      <c r="GZ346" s="6"/>
      <c r="HA346" s="6"/>
      <c r="HB346" s="6"/>
      <c r="HC346" s="6"/>
      <c r="HD346" s="6"/>
      <c r="HE346" s="6"/>
      <c r="HF346" s="6"/>
      <c r="HG346" s="6"/>
      <c r="HH346" s="6"/>
      <c r="HI346" s="6"/>
      <c r="HJ346" s="6"/>
      <c r="HK346" s="6"/>
      <c r="HL346" s="6"/>
      <c r="HM346" s="6"/>
      <c r="HN346" s="6"/>
      <c r="HO346" s="6"/>
      <c r="HP346" s="6"/>
      <c r="HQ346" s="6"/>
      <c r="HR346" s="6"/>
      <c r="HS346" s="6"/>
      <c r="HT346" s="6"/>
      <c r="HU346" s="6"/>
    </row>
    <row r="347" spans="9:229"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BV347" s="6"/>
      <c r="BW347" s="6"/>
      <c r="BX347" s="6"/>
      <c r="BY347" s="6"/>
      <c r="BZ347" s="6"/>
      <c r="CA347" s="6"/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  <c r="ER347" s="6"/>
      <c r="ES347" s="6"/>
      <c r="ET347" s="6"/>
      <c r="EU347" s="6"/>
      <c r="EV347" s="6"/>
      <c r="EW347" s="6"/>
      <c r="EX347" s="6"/>
      <c r="EY347" s="6"/>
      <c r="EZ347" s="6"/>
      <c r="FA347" s="6"/>
      <c r="FB347" s="6"/>
      <c r="FC347" s="6"/>
      <c r="FD347" s="6"/>
      <c r="FE347" s="6"/>
      <c r="FF347" s="6"/>
      <c r="FG347" s="6"/>
      <c r="FH347" s="6"/>
      <c r="FI347" s="6"/>
      <c r="FJ347" s="6"/>
      <c r="FK347" s="6"/>
      <c r="FL347" s="6"/>
      <c r="FM347" s="6"/>
      <c r="FN347" s="6"/>
      <c r="FO347" s="6"/>
      <c r="FP347" s="6"/>
      <c r="FQ347" s="6"/>
      <c r="FR347" s="6"/>
      <c r="FS347" s="6"/>
      <c r="FT347" s="6"/>
      <c r="FU347" s="6"/>
      <c r="FV347" s="6"/>
      <c r="FW347" s="6"/>
      <c r="FX347" s="6"/>
      <c r="FY347" s="6"/>
      <c r="FZ347" s="6"/>
      <c r="GA347" s="6"/>
      <c r="GB347" s="6"/>
      <c r="GC347" s="6"/>
      <c r="GD347" s="6"/>
      <c r="GE347" s="6"/>
      <c r="GF347" s="6"/>
      <c r="GG347" s="6"/>
      <c r="GH347" s="6"/>
      <c r="GI347" s="6"/>
      <c r="GJ347" s="6"/>
      <c r="GK347" s="6"/>
      <c r="GL347" s="6"/>
      <c r="GM347" s="6"/>
      <c r="GN347" s="6"/>
      <c r="GO347" s="6"/>
      <c r="GP347" s="6"/>
      <c r="GQ347" s="6"/>
      <c r="GR347" s="6"/>
      <c r="GS347" s="6"/>
      <c r="GT347" s="6"/>
      <c r="GU347" s="6"/>
      <c r="GV347" s="6"/>
      <c r="GW347" s="6"/>
      <c r="GX347" s="6"/>
      <c r="GY347" s="6"/>
      <c r="GZ347" s="6"/>
      <c r="HA347" s="6"/>
      <c r="HB347" s="6"/>
      <c r="HC347" s="6"/>
      <c r="HD347" s="6"/>
      <c r="HE347" s="6"/>
      <c r="HF347" s="6"/>
      <c r="HG347" s="6"/>
      <c r="HH347" s="6"/>
      <c r="HI347" s="6"/>
      <c r="HJ347" s="6"/>
      <c r="HK347" s="6"/>
      <c r="HL347" s="6"/>
      <c r="HM347" s="6"/>
      <c r="HN347" s="6"/>
      <c r="HO347" s="6"/>
      <c r="HP347" s="6"/>
      <c r="HQ347" s="6"/>
      <c r="HR347" s="6"/>
      <c r="HS347" s="6"/>
      <c r="HT347" s="6"/>
      <c r="HU347" s="6"/>
    </row>
    <row r="348" spans="9:229"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BV348" s="6"/>
      <c r="BW348" s="6"/>
      <c r="BX348" s="6"/>
      <c r="BY348" s="6"/>
      <c r="BZ348" s="6"/>
      <c r="CA348" s="6"/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  <c r="ER348" s="6"/>
      <c r="ES348" s="6"/>
      <c r="ET348" s="6"/>
      <c r="EU348" s="6"/>
      <c r="EV348" s="6"/>
      <c r="EW348" s="6"/>
      <c r="EX348" s="6"/>
      <c r="EY348" s="6"/>
      <c r="EZ348" s="6"/>
      <c r="FA348" s="6"/>
      <c r="FB348" s="6"/>
      <c r="FC348" s="6"/>
      <c r="FD348" s="6"/>
      <c r="FE348" s="6"/>
      <c r="FF348" s="6"/>
      <c r="FG348" s="6"/>
      <c r="FH348" s="6"/>
      <c r="FI348" s="6"/>
      <c r="FJ348" s="6"/>
      <c r="FK348" s="6"/>
      <c r="FL348" s="6"/>
      <c r="FM348" s="6"/>
      <c r="FN348" s="6"/>
      <c r="FO348" s="6"/>
      <c r="FP348" s="6"/>
      <c r="FQ348" s="6"/>
      <c r="FR348" s="6"/>
      <c r="FS348" s="6"/>
      <c r="FT348" s="6"/>
      <c r="FU348" s="6"/>
      <c r="FV348" s="6"/>
      <c r="FW348" s="6"/>
      <c r="FX348" s="6"/>
      <c r="FY348" s="6"/>
      <c r="FZ348" s="6"/>
      <c r="GA348" s="6"/>
      <c r="GB348" s="6"/>
      <c r="GC348" s="6"/>
      <c r="GD348" s="6"/>
      <c r="GE348" s="6"/>
      <c r="GF348" s="6"/>
      <c r="GG348" s="6"/>
      <c r="GH348" s="6"/>
      <c r="GI348" s="6"/>
      <c r="GJ348" s="6"/>
      <c r="GK348" s="6"/>
      <c r="GL348" s="6"/>
      <c r="GM348" s="6"/>
      <c r="GN348" s="6"/>
      <c r="GO348" s="6"/>
      <c r="GP348" s="6"/>
      <c r="GQ348" s="6"/>
      <c r="GR348" s="6"/>
      <c r="GS348" s="6"/>
      <c r="GT348" s="6"/>
      <c r="GU348" s="6"/>
      <c r="GV348" s="6"/>
      <c r="GW348" s="6"/>
      <c r="GX348" s="6"/>
      <c r="GY348" s="6"/>
      <c r="GZ348" s="6"/>
      <c r="HA348" s="6"/>
      <c r="HB348" s="6"/>
      <c r="HC348" s="6"/>
      <c r="HD348" s="6"/>
      <c r="HE348" s="6"/>
      <c r="HF348" s="6"/>
      <c r="HG348" s="6"/>
      <c r="HH348" s="6"/>
      <c r="HI348" s="6"/>
      <c r="HJ348" s="6"/>
      <c r="HK348" s="6"/>
      <c r="HL348" s="6"/>
      <c r="HM348" s="6"/>
      <c r="HN348" s="6"/>
      <c r="HO348" s="6"/>
      <c r="HP348" s="6"/>
      <c r="HQ348" s="6"/>
      <c r="HR348" s="6"/>
      <c r="HS348" s="6"/>
      <c r="HT348" s="6"/>
      <c r="HU348" s="6"/>
    </row>
    <row r="349" spans="9:229"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BV349" s="6"/>
      <c r="BW349" s="6"/>
      <c r="BX349" s="6"/>
      <c r="BY349" s="6"/>
      <c r="BZ349" s="6"/>
      <c r="CA349" s="6"/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  <c r="ER349" s="6"/>
      <c r="ES349" s="6"/>
      <c r="ET349" s="6"/>
      <c r="EU349" s="6"/>
      <c r="EV349" s="6"/>
      <c r="EW349" s="6"/>
      <c r="EX349" s="6"/>
      <c r="EY349" s="6"/>
      <c r="EZ349" s="6"/>
      <c r="FA349" s="6"/>
      <c r="FB349" s="6"/>
      <c r="FC349" s="6"/>
      <c r="FD349" s="6"/>
      <c r="FE349" s="6"/>
      <c r="FF349" s="6"/>
      <c r="FG349" s="6"/>
      <c r="FH349" s="6"/>
      <c r="FI349" s="6"/>
      <c r="FJ349" s="6"/>
      <c r="FK349" s="6"/>
      <c r="FL349" s="6"/>
      <c r="FM349" s="6"/>
      <c r="FN349" s="6"/>
      <c r="FO349" s="6"/>
      <c r="FP349" s="6"/>
      <c r="FQ349" s="6"/>
      <c r="FR349" s="6"/>
      <c r="FS349" s="6"/>
      <c r="FT349" s="6"/>
      <c r="FU349" s="6"/>
      <c r="FV349" s="6"/>
      <c r="FW349" s="6"/>
      <c r="FX349" s="6"/>
      <c r="FY349" s="6"/>
      <c r="FZ349" s="6"/>
      <c r="GA349" s="6"/>
      <c r="GB349" s="6"/>
      <c r="GC349" s="6"/>
      <c r="GD349" s="6"/>
      <c r="GE349" s="6"/>
      <c r="GF349" s="6"/>
      <c r="GG349" s="6"/>
      <c r="GH349" s="6"/>
      <c r="GI349" s="6"/>
      <c r="GJ349" s="6"/>
      <c r="GK349" s="6"/>
      <c r="GL349" s="6"/>
      <c r="GM349" s="6"/>
      <c r="GN349" s="6"/>
      <c r="GO349" s="6"/>
      <c r="GP349" s="6"/>
      <c r="GQ349" s="6"/>
      <c r="GR349" s="6"/>
      <c r="GS349" s="6"/>
      <c r="GT349" s="6"/>
      <c r="GU349" s="6"/>
      <c r="GV349" s="6"/>
      <c r="GW349" s="6"/>
      <c r="GX349" s="6"/>
      <c r="GY349" s="6"/>
      <c r="GZ349" s="6"/>
      <c r="HA349" s="6"/>
      <c r="HB349" s="6"/>
      <c r="HC349" s="6"/>
      <c r="HD349" s="6"/>
      <c r="HE349" s="6"/>
      <c r="HF349" s="6"/>
      <c r="HG349" s="6"/>
      <c r="HH349" s="6"/>
      <c r="HI349" s="6"/>
      <c r="HJ349" s="6"/>
      <c r="HK349" s="6"/>
      <c r="HL349" s="6"/>
      <c r="HM349" s="6"/>
      <c r="HN349" s="6"/>
      <c r="HO349" s="6"/>
      <c r="HP349" s="6"/>
      <c r="HQ349" s="6"/>
      <c r="HR349" s="6"/>
      <c r="HS349" s="6"/>
      <c r="HT349" s="6"/>
      <c r="HU349" s="6"/>
    </row>
    <row r="350" spans="9:229"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BV350" s="6"/>
      <c r="BW350" s="6"/>
      <c r="BX350" s="6"/>
      <c r="BY350" s="6"/>
      <c r="BZ350" s="6"/>
      <c r="CA350" s="6"/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  <c r="ER350" s="6"/>
      <c r="ES350" s="6"/>
      <c r="ET350" s="6"/>
      <c r="EU350" s="6"/>
      <c r="EV350" s="6"/>
      <c r="EW350" s="6"/>
      <c r="EX350" s="6"/>
      <c r="EY350" s="6"/>
      <c r="EZ350" s="6"/>
      <c r="FA350" s="6"/>
      <c r="FB350" s="6"/>
      <c r="FC350" s="6"/>
      <c r="FD350" s="6"/>
      <c r="FE350" s="6"/>
      <c r="FF350" s="6"/>
      <c r="FG350" s="6"/>
      <c r="FH350" s="6"/>
      <c r="FI350" s="6"/>
      <c r="FJ350" s="6"/>
      <c r="FK350" s="6"/>
      <c r="FL350" s="6"/>
      <c r="FM350" s="6"/>
      <c r="FN350" s="6"/>
      <c r="FO350" s="6"/>
      <c r="FP350" s="6"/>
      <c r="FQ350" s="6"/>
      <c r="FR350" s="6"/>
      <c r="FS350" s="6"/>
      <c r="FT350" s="6"/>
      <c r="FU350" s="6"/>
      <c r="FV350" s="6"/>
      <c r="FW350" s="6"/>
      <c r="FX350" s="6"/>
      <c r="FY350" s="6"/>
      <c r="FZ350" s="6"/>
      <c r="GA350" s="6"/>
      <c r="GB350" s="6"/>
      <c r="GC350" s="6"/>
      <c r="GD350" s="6"/>
      <c r="GE350" s="6"/>
      <c r="GF350" s="6"/>
      <c r="GG350" s="6"/>
      <c r="GH350" s="6"/>
      <c r="GI350" s="6"/>
      <c r="GJ350" s="6"/>
      <c r="GK350" s="6"/>
      <c r="GL350" s="6"/>
      <c r="GM350" s="6"/>
      <c r="GN350" s="6"/>
      <c r="GO350" s="6"/>
      <c r="GP350" s="6"/>
      <c r="GQ350" s="6"/>
      <c r="GR350" s="6"/>
      <c r="GS350" s="6"/>
      <c r="GT350" s="6"/>
      <c r="GU350" s="6"/>
      <c r="GV350" s="6"/>
      <c r="GW350" s="6"/>
      <c r="GX350" s="6"/>
      <c r="GY350" s="6"/>
      <c r="GZ350" s="6"/>
      <c r="HA350" s="6"/>
      <c r="HB350" s="6"/>
      <c r="HC350" s="6"/>
      <c r="HD350" s="6"/>
      <c r="HE350" s="6"/>
      <c r="HF350" s="6"/>
      <c r="HG350" s="6"/>
      <c r="HH350" s="6"/>
      <c r="HI350" s="6"/>
      <c r="HJ350" s="6"/>
      <c r="HK350" s="6"/>
      <c r="HL350" s="6"/>
      <c r="HM350" s="6"/>
      <c r="HN350" s="6"/>
      <c r="HO350" s="6"/>
      <c r="HP350" s="6"/>
      <c r="HQ350" s="6"/>
      <c r="HR350" s="6"/>
      <c r="HS350" s="6"/>
      <c r="HT350" s="6"/>
      <c r="HU350" s="6"/>
    </row>
    <row r="351" spans="9:229"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  <c r="ER351" s="6"/>
      <c r="ES351" s="6"/>
      <c r="ET351" s="6"/>
      <c r="EU351" s="6"/>
      <c r="EV351" s="6"/>
      <c r="EW351" s="6"/>
      <c r="EX351" s="6"/>
      <c r="EY351" s="6"/>
      <c r="EZ351" s="6"/>
      <c r="FA351" s="6"/>
      <c r="FB351" s="6"/>
      <c r="FC351" s="6"/>
      <c r="FD351" s="6"/>
      <c r="FE351" s="6"/>
      <c r="FF351" s="6"/>
      <c r="FG351" s="6"/>
      <c r="FH351" s="6"/>
      <c r="FI351" s="6"/>
      <c r="FJ351" s="6"/>
      <c r="FK351" s="6"/>
      <c r="FL351" s="6"/>
      <c r="FM351" s="6"/>
      <c r="FN351" s="6"/>
      <c r="FO351" s="6"/>
      <c r="FP351" s="6"/>
      <c r="FQ351" s="6"/>
      <c r="FR351" s="6"/>
      <c r="FS351" s="6"/>
      <c r="FT351" s="6"/>
      <c r="FU351" s="6"/>
      <c r="FV351" s="6"/>
      <c r="FW351" s="6"/>
      <c r="FX351" s="6"/>
      <c r="FY351" s="6"/>
      <c r="FZ351" s="6"/>
      <c r="GA351" s="6"/>
      <c r="GB351" s="6"/>
      <c r="GC351" s="6"/>
      <c r="GD351" s="6"/>
      <c r="GE351" s="6"/>
      <c r="GF351" s="6"/>
      <c r="GG351" s="6"/>
      <c r="GH351" s="6"/>
      <c r="GI351" s="6"/>
      <c r="GJ351" s="6"/>
      <c r="GK351" s="6"/>
      <c r="GL351" s="6"/>
      <c r="GM351" s="6"/>
      <c r="GN351" s="6"/>
      <c r="GO351" s="6"/>
      <c r="GP351" s="6"/>
      <c r="GQ351" s="6"/>
      <c r="GR351" s="6"/>
      <c r="GS351" s="6"/>
      <c r="GT351" s="6"/>
      <c r="GU351" s="6"/>
      <c r="GV351" s="6"/>
      <c r="GW351" s="6"/>
      <c r="GX351" s="6"/>
      <c r="GY351" s="6"/>
      <c r="GZ351" s="6"/>
      <c r="HA351" s="6"/>
      <c r="HB351" s="6"/>
      <c r="HC351" s="6"/>
      <c r="HD351" s="6"/>
      <c r="HE351" s="6"/>
      <c r="HF351" s="6"/>
      <c r="HG351" s="6"/>
      <c r="HH351" s="6"/>
      <c r="HI351" s="6"/>
      <c r="HJ351" s="6"/>
      <c r="HK351" s="6"/>
      <c r="HL351" s="6"/>
      <c r="HM351" s="6"/>
      <c r="HN351" s="6"/>
      <c r="HO351" s="6"/>
      <c r="HP351" s="6"/>
      <c r="HQ351" s="6"/>
      <c r="HR351" s="6"/>
      <c r="HS351" s="6"/>
      <c r="HT351" s="6"/>
      <c r="HU351" s="6"/>
    </row>
    <row r="352" spans="9:229"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  <c r="ER352" s="6"/>
      <c r="ES352" s="6"/>
      <c r="ET352" s="6"/>
      <c r="EU352" s="6"/>
      <c r="EV352" s="6"/>
      <c r="EW352" s="6"/>
      <c r="EX352" s="6"/>
      <c r="EY352" s="6"/>
      <c r="EZ352" s="6"/>
      <c r="FA352" s="6"/>
      <c r="FB352" s="6"/>
      <c r="FC352" s="6"/>
      <c r="FD352" s="6"/>
      <c r="FE352" s="6"/>
      <c r="FF352" s="6"/>
      <c r="FG352" s="6"/>
      <c r="FH352" s="6"/>
      <c r="FI352" s="6"/>
      <c r="FJ352" s="6"/>
      <c r="FK352" s="6"/>
      <c r="FL352" s="6"/>
      <c r="FM352" s="6"/>
      <c r="FN352" s="6"/>
      <c r="FO352" s="6"/>
      <c r="FP352" s="6"/>
      <c r="FQ352" s="6"/>
      <c r="FR352" s="6"/>
      <c r="FS352" s="6"/>
      <c r="FT352" s="6"/>
      <c r="FU352" s="6"/>
      <c r="FV352" s="6"/>
      <c r="FW352" s="6"/>
      <c r="FX352" s="6"/>
      <c r="FY352" s="6"/>
      <c r="FZ352" s="6"/>
      <c r="GA352" s="6"/>
      <c r="GB352" s="6"/>
      <c r="GC352" s="6"/>
      <c r="GD352" s="6"/>
      <c r="GE352" s="6"/>
      <c r="GF352" s="6"/>
      <c r="GG352" s="6"/>
      <c r="GH352" s="6"/>
      <c r="GI352" s="6"/>
      <c r="GJ352" s="6"/>
      <c r="GK352" s="6"/>
      <c r="GL352" s="6"/>
      <c r="GM352" s="6"/>
      <c r="GN352" s="6"/>
      <c r="GO352" s="6"/>
      <c r="GP352" s="6"/>
      <c r="GQ352" s="6"/>
      <c r="GR352" s="6"/>
      <c r="GS352" s="6"/>
      <c r="GT352" s="6"/>
      <c r="GU352" s="6"/>
      <c r="GV352" s="6"/>
      <c r="GW352" s="6"/>
      <c r="GX352" s="6"/>
      <c r="GY352" s="6"/>
      <c r="GZ352" s="6"/>
      <c r="HA352" s="6"/>
      <c r="HB352" s="6"/>
      <c r="HC352" s="6"/>
      <c r="HD352" s="6"/>
      <c r="HE352" s="6"/>
      <c r="HF352" s="6"/>
      <c r="HG352" s="6"/>
      <c r="HH352" s="6"/>
      <c r="HI352" s="6"/>
      <c r="HJ352" s="6"/>
      <c r="HK352" s="6"/>
      <c r="HL352" s="6"/>
      <c r="HM352" s="6"/>
      <c r="HN352" s="6"/>
      <c r="HO352" s="6"/>
      <c r="HP352" s="6"/>
      <c r="HQ352" s="6"/>
      <c r="HR352" s="6"/>
      <c r="HS352" s="6"/>
      <c r="HT352" s="6"/>
      <c r="HU352" s="6"/>
    </row>
    <row r="353" spans="9:229"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BV353" s="6"/>
      <c r="BW353" s="6"/>
      <c r="BX353" s="6"/>
      <c r="BY353" s="6"/>
      <c r="BZ353" s="6"/>
      <c r="CA353" s="6"/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  <c r="ER353" s="6"/>
      <c r="ES353" s="6"/>
      <c r="ET353" s="6"/>
      <c r="EU353" s="6"/>
      <c r="EV353" s="6"/>
      <c r="EW353" s="6"/>
      <c r="EX353" s="6"/>
      <c r="EY353" s="6"/>
      <c r="EZ353" s="6"/>
      <c r="FA353" s="6"/>
      <c r="FB353" s="6"/>
      <c r="FC353" s="6"/>
      <c r="FD353" s="6"/>
      <c r="FE353" s="6"/>
      <c r="FF353" s="6"/>
      <c r="FG353" s="6"/>
      <c r="FH353" s="6"/>
      <c r="FI353" s="6"/>
      <c r="FJ353" s="6"/>
      <c r="FK353" s="6"/>
      <c r="FL353" s="6"/>
      <c r="FM353" s="6"/>
      <c r="FN353" s="6"/>
      <c r="FO353" s="6"/>
      <c r="FP353" s="6"/>
      <c r="FQ353" s="6"/>
      <c r="FR353" s="6"/>
      <c r="FS353" s="6"/>
      <c r="FT353" s="6"/>
      <c r="FU353" s="6"/>
      <c r="FV353" s="6"/>
      <c r="FW353" s="6"/>
      <c r="FX353" s="6"/>
      <c r="FY353" s="6"/>
      <c r="FZ353" s="6"/>
      <c r="GA353" s="6"/>
      <c r="GB353" s="6"/>
      <c r="GC353" s="6"/>
      <c r="GD353" s="6"/>
      <c r="GE353" s="6"/>
      <c r="GF353" s="6"/>
      <c r="GG353" s="6"/>
      <c r="GH353" s="6"/>
      <c r="GI353" s="6"/>
      <c r="GJ353" s="6"/>
      <c r="GK353" s="6"/>
      <c r="GL353" s="6"/>
      <c r="GM353" s="6"/>
      <c r="GN353" s="6"/>
      <c r="GO353" s="6"/>
      <c r="GP353" s="6"/>
      <c r="GQ353" s="6"/>
      <c r="GR353" s="6"/>
      <c r="GS353" s="6"/>
      <c r="GT353" s="6"/>
      <c r="GU353" s="6"/>
      <c r="GV353" s="6"/>
      <c r="GW353" s="6"/>
      <c r="GX353" s="6"/>
      <c r="GY353" s="6"/>
      <c r="GZ353" s="6"/>
      <c r="HA353" s="6"/>
      <c r="HB353" s="6"/>
      <c r="HC353" s="6"/>
      <c r="HD353" s="6"/>
      <c r="HE353" s="6"/>
      <c r="HF353" s="6"/>
      <c r="HG353" s="6"/>
      <c r="HH353" s="6"/>
      <c r="HI353" s="6"/>
      <c r="HJ353" s="6"/>
      <c r="HK353" s="6"/>
      <c r="HL353" s="6"/>
      <c r="HM353" s="6"/>
      <c r="HN353" s="6"/>
      <c r="HO353" s="6"/>
      <c r="HP353" s="6"/>
      <c r="HQ353" s="6"/>
      <c r="HR353" s="6"/>
      <c r="HS353" s="6"/>
      <c r="HT353" s="6"/>
      <c r="HU353" s="6"/>
    </row>
    <row r="354" spans="9:229"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BV354" s="6"/>
      <c r="BW354" s="6"/>
      <c r="BX354" s="6"/>
      <c r="BY354" s="6"/>
      <c r="BZ354" s="6"/>
      <c r="CA354" s="6"/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  <c r="ER354" s="6"/>
      <c r="ES354" s="6"/>
      <c r="ET354" s="6"/>
      <c r="EU354" s="6"/>
      <c r="EV354" s="6"/>
      <c r="EW354" s="6"/>
      <c r="EX354" s="6"/>
      <c r="EY354" s="6"/>
      <c r="EZ354" s="6"/>
      <c r="FA354" s="6"/>
      <c r="FB354" s="6"/>
      <c r="FC354" s="6"/>
      <c r="FD354" s="6"/>
      <c r="FE354" s="6"/>
      <c r="FF354" s="6"/>
      <c r="FG354" s="6"/>
      <c r="FH354" s="6"/>
      <c r="FI354" s="6"/>
      <c r="FJ354" s="6"/>
      <c r="FK354" s="6"/>
      <c r="FL354" s="6"/>
      <c r="FM354" s="6"/>
      <c r="FN354" s="6"/>
      <c r="FO354" s="6"/>
      <c r="FP354" s="6"/>
      <c r="FQ354" s="6"/>
      <c r="FR354" s="6"/>
      <c r="FS354" s="6"/>
      <c r="FT354" s="6"/>
      <c r="FU354" s="6"/>
      <c r="FV354" s="6"/>
      <c r="FW354" s="6"/>
      <c r="FX354" s="6"/>
      <c r="FY354" s="6"/>
      <c r="FZ354" s="6"/>
      <c r="GA354" s="6"/>
      <c r="GB354" s="6"/>
      <c r="GC354" s="6"/>
      <c r="GD354" s="6"/>
      <c r="GE354" s="6"/>
      <c r="GF354" s="6"/>
      <c r="GG354" s="6"/>
      <c r="GH354" s="6"/>
      <c r="GI354" s="6"/>
      <c r="GJ354" s="6"/>
      <c r="GK354" s="6"/>
      <c r="GL354" s="6"/>
      <c r="GM354" s="6"/>
      <c r="GN354" s="6"/>
      <c r="GO354" s="6"/>
      <c r="GP354" s="6"/>
      <c r="GQ354" s="6"/>
      <c r="GR354" s="6"/>
      <c r="GS354" s="6"/>
      <c r="GT354" s="6"/>
      <c r="GU354" s="6"/>
      <c r="GV354" s="6"/>
      <c r="GW354" s="6"/>
      <c r="GX354" s="6"/>
      <c r="GY354" s="6"/>
      <c r="GZ354" s="6"/>
      <c r="HA354" s="6"/>
      <c r="HB354" s="6"/>
      <c r="HC354" s="6"/>
      <c r="HD354" s="6"/>
      <c r="HE354" s="6"/>
      <c r="HF354" s="6"/>
      <c r="HG354" s="6"/>
      <c r="HH354" s="6"/>
      <c r="HI354" s="6"/>
      <c r="HJ354" s="6"/>
      <c r="HK354" s="6"/>
      <c r="HL354" s="6"/>
      <c r="HM354" s="6"/>
      <c r="HN354" s="6"/>
      <c r="HO354" s="6"/>
      <c r="HP354" s="6"/>
      <c r="HQ354" s="6"/>
      <c r="HR354" s="6"/>
      <c r="HS354" s="6"/>
      <c r="HT354" s="6"/>
      <c r="HU354" s="6"/>
    </row>
    <row r="355" spans="9:229"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BV355" s="6"/>
      <c r="BW355" s="6"/>
      <c r="BX355" s="6"/>
      <c r="BY355" s="6"/>
      <c r="BZ355" s="6"/>
      <c r="CA355" s="6"/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  <c r="ER355" s="6"/>
      <c r="ES355" s="6"/>
      <c r="ET355" s="6"/>
      <c r="EU355" s="6"/>
      <c r="EV355" s="6"/>
      <c r="EW355" s="6"/>
      <c r="EX355" s="6"/>
      <c r="EY355" s="6"/>
      <c r="EZ355" s="6"/>
      <c r="FA355" s="6"/>
      <c r="FB355" s="6"/>
      <c r="FC355" s="6"/>
      <c r="FD355" s="6"/>
      <c r="FE355" s="6"/>
      <c r="FF355" s="6"/>
      <c r="FG355" s="6"/>
      <c r="FH355" s="6"/>
      <c r="FI355" s="6"/>
      <c r="FJ355" s="6"/>
      <c r="FK355" s="6"/>
      <c r="FL355" s="6"/>
      <c r="FM355" s="6"/>
      <c r="FN355" s="6"/>
      <c r="FO355" s="6"/>
      <c r="FP355" s="6"/>
      <c r="FQ355" s="6"/>
      <c r="FR355" s="6"/>
      <c r="FS355" s="6"/>
      <c r="FT355" s="6"/>
      <c r="FU355" s="6"/>
      <c r="FV355" s="6"/>
      <c r="FW355" s="6"/>
      <c r="FX355" s="6"/>
      <c r="FY355" s="6"/>
      <c r="FZ355" s="6"/>
      <c r="GA355" s="6"/>
      <c r="GB355" s="6"/>
      <c r="GC355" s="6"/>
      <c r="GD355" s="6"/>
      <c r="GE355" s="6"/>
      <c r="GF355" s="6"/>
      <c r="GG355" s="6"/>
      <c r="GH355" s="6"/>
      <c r="GI355" s="6"/>
      <c r="GJ355" s="6"/>
      <c r="GK355" s="6"/>
      <c r="GL355" s="6"/>
      <c r="GM355" s="6"/>
      <c r="GN355" s="6"/>
      <c r="GO355" s="6"/>
      <c r="GP355" s="6"/>
      <c r="GQ355" s="6"/>
      <c r="GR355" s="6"/>
      <c r="GS355" s="6"/>
      <c r="GT355" s="6"/>
      <c r="GU355" s="6"/>
      <c r="GV355" s="6"/>
      <c r="GW355" s="6"/>
      <c r="GX355" s="6"/>
      <c r="GY355" s="6"/>
      <c r="GZ355" s="6"/>
      <c r="HA355" s="6"/>
      <c r="HB355" s="6"/>
      <c r="HC355" s="6"/>
      <c r="HD355" s="6"/>
      <c r="HE355" s="6"/>
      <c r="HF355" s="6"/>
      <c r="HG355" s="6"/>
      <c r="HH355" s="6"/>
      <c r="HI355" s="6"/>
      <c r="HJ355" s="6"/>
      <c r="HK355" s="6"/>
      <c r="HL355" s="6"/>
      <c r="HM355" s="6"/>
      <c r="HN355" s="6"/>
      <c r="HO355" s="6"/>
      <c r="HP355" s="6"/>
      <c r="HQ355" s="6"/>
      <c r="HR355" s="6"/>
      <c r="HS355" s="6"/>
      <c r="HT355" s="6"/>
      <c r="HU355" s="6"/>
    </row>
    <row r="356" spans="9:229"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BV356" s="6"/>
      <c r="BW356" s="6"/>
      <c r="BX356" s="6"/>
      <c r="BY356" s="6"/>
      <c r="BZ356" s="6"/>
      <c r="CA356" s="6"/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  <c r="ER356" s="6"/>
      <c r="ES356" s="6"/>
      <c r="ET356" s="6"/>
      <c r="EU356" s="6"/>
      <c r="EV356" s="6"/>
      <c r="EW356" s="6"/>
      <c r="EX356" s="6"/>
      <c r="EY356" s="6"/>
      <c r="EZ356" s="6"/>
      <c r="FA356" s="6"/>
      <c r="FB356" s="6"/>
      <c r="FC356" s="6"/>
      <c r="FD356" s="6"/>
      <c r="FE356" s="6"/>
      <c r="FF356" s="6"/>
      <c r="FG356" s="6"/>
      <c r="FH356" s="6"/>
      <c r="FI356" s="6"/>
      <c r="FJ356" s="6"/>
      <c r="FK356" s="6"/>
      <c r="FL356" s="6"/>
      <c r="FM356" s="6"/>
      <c r="FN356" s="6"/>
      <c r="FO356" s="6"/>
      <c r="FP356" s="6"/>
      <c r="FQ356" s="6"/>
      <c r="FR356" s="6"/>
      <c r="FS356" s="6"/>
      <c r="FT356" s="6"/>
      <c r="FU356" s="6"/>
      <c r="FV356" s="6"/>
      <c r="FW356" s="6"/>
      <c r="FX356" s="6"/>
      <c r="FY356" s="6"/>
      <c r="FZ356" s="6"/>
      <c r="GA356" s="6"/>
      <c r="GB356" s="6"/>
      <c r="GC356" s="6"/>
      <c r="GD356" s="6"/>
      <c r="GE356" s="6"/>
      <c r="GF356" s="6"/>
      <c r="GG356" s="6"/>
      <c r="GH356" s="6"/>
      <c r="GI356" s="6"/>
      <c r="GJ356" s="6"/>
      <c r="GK356" s="6"/>
      <c r="GL356" s="6"/>
      <c r="GM356" s="6"/>
      <c r="GN356" s="6"/>
      <c r="GO356" s="6"/>
      <c r="GP356" s="6"/>
      <c r="GQ356" s="6"/>
      <c r="GR356" s="6"/>
      <c r="GS356" s="6"/>
      <c r="GT356" s="6"/>
      <c r="GU356" s="6"/>
      <c r="GV356" s="6"/>
      <c r="GW356" s="6"/>
      <c r="GX356" s="6"/>
      <c r="GY356" s="6"/>
      <c r="GZ356" s="6"/>
      <c r="HA356" s="6"/>
      <c r="HB356" s="6"/>
      <c r="HC356" s="6"/>
      <c r="HD356" s="6"/>
      <c r="HE356" s="6"/>
      <c r="HF356" s="6"/>
      <c r="HG356" s="6"/>
      <c r="HH356" s="6"/>
      <c r="HI356" s="6"/>
      <c r="HJ356" s="6"/>
      <c r="HK356" s="6"/>
      <c r="HL356" s="6"/>
      <c r="HM356" s="6"/>
      <c r="HN356" s="6"/>
      <c r="HO356" s="6"/>
      <c r="HP356" s="6"/>
      <c r="HQ356" s="6"/>
      <c r="HR356" s="6"/>
      <c r="HS356" s="6"/>
      <c r="HT356" s="6"/>
      <c r="HU356" s="6"/>
    </row>
    <row r="357" spans="9:229"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BV357" s="6"/>
      <c r="BW357" s="6"/>
      <c r="BX357" s="6"/>
      <c r="BY357" s="6"/>
      <c r="BZ357" s="6"/>
      <c r="CA357" s="6"/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  <c r="ER357" s="6"/>
      <c r="ES357" s="6"/>
      <c r="ET357" s="6"/>
      <c r="EU357" s="6"/>
      <c r="EV357" s="6"/>
      <c r="EW357" s="6"/>
      <c r="EX357" s="6"/>
      <c r="EY357" s="6"/>
      <c r="EZ357" s="6"/>
      <c r="FA357" s="6"/>
      <c r="FB357" s="6"/>
      <c r="FC357" s="6"/>
      <c r="FD357" s="6"/>
      <c r="FE357" s="6"/>
      <c r="FF357" s="6"/>
      <c r="FG357" s="6"/>
      <c r="FH357" s="6"/>
      <c r="FI357" s="6"/>
      <c r="FJ357" s="6"/>
      <c r="FK357" s="6"/>
      <c r="FL357" s="6"/>
      <c r="FM357" s="6"/>
      <c r="FN357" s="6"/>
      <c r="FO357" s="6"/>
      <c r="FP357" s="6"/>
      <c r="FQ357" s="6"/>
      <c r="FR357" s="6"/>
      <c r="FS357" s="6"/>
      <c r="FT357" s="6"/>
      <c r="FU357" s="6"/>
      <c r="FV357" s="6"/>
      <c r="FW357" s="6"/>
      <c r="FX357" s="6"/>
      <c r="FY357" s="6"/>
      <c r="FZ357" s="6"/>
      <c r="GA357" s="6"/>
      <c r="GB357" s="6"/>
      <c r="GC357" s="6"/>
      <c r="GD357" s="6"/>
      <c r="GE357" s="6"/>
      <c r="GF357" s="6"/>
      <c r="GG357" s="6"/>
      <c r="GH357" s="6"/>
      <c r="GI357" s="6"/>
      <c r="GJ357" s="6"/>
      <c r="GK357" s="6"/>
      <c r="GL357" s="6"/>
      <c r="GM357" s="6"/>
      <c r="GN357" s="6"/>
      <c r="GO357" s="6"/>
      <c r="GP357" s="6"/>
      <c r="GQ357" s="6"/>
      <c r="GR357" s="6"/>
      <c r="GS357" s="6"/>
      <c r="GT357" s="6"/>
      <c r="GU357" s="6"/>
      <c r="GV357" s="6"/>
      <c r="GW357" s="6"/>
      <c r="GX357" s="6"/>
      <c r="GY357" s="6"/>
      <c r="GZ357" s="6"/>
      <c r="HA357" s="6"/>
      <c r="HB357" s="6"/>
      <c r="HC357" s="6"/>
      <c r="HD357" s="6"/>
      <c r="HE357" s="6"/>
      <c r="HF357" s="6"/>
      <c r="HG357" s="6"/>
      <c r="HH357" s="6"/>
      <c r="HI357" s="6"/>
      <c r="HJ357" s="6"/>
      <c r="HK357" s="6"/>
      <c r="HL357" s="6"/>
      <c r="HM357" s="6"/>
      <c r="HN357" s="6"/>
      <c r="HO357" s="6"/>
      <c r="HP357" s="6"/>
      <c r="HQ357" s="6"/>
      <c r="HR357" s="6"/>
      <c r="HS357" s="6"/>
      <c r="HT357" s="6"/>
      <c r="HU357" s="6"/>
    </row>
    <row r="358" spans="9:229"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BV358" s="6"/>
      <c r="BW358" s="6"/>
      <c r="BX358" s="6"/>
      <c r="BY358" s="6"/>
      <c r="BZ358" s="6"/>
      <c r="CA358" s="6"/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  <c r="ER358" s="6"/>
      <c r="ES358" s="6"/>
      <c r="ET358" s="6"/>
      <c r="EU358" s="6"/>
      <c r="EV358" s="6"/>
      <c r="EW358" s="6"/>
      <c r="EX358" s="6"/>
      <c r="EY358" s="6"/>
      <c r="EZ358" s="6"/>
      <c r="FA358" s="6"/>
      <c r="FB358" s="6"/>
      <c r="FC358" s="6"/>
      <c r="FD358" s="6"/>
      <c r="FE358" s="6"/>
      <c r="FF358" s="6"/>
      <c r="FG358" s="6"/>
      <c r="FH358" s="6"/>
      <c r="FI358" s="6"/>
      <c r="FJ358" s="6"/>
      <c r="FK358" s="6"/>
      <c r="FL358" s="6"/>
      <c r="FM358" s="6"/>
      <c r="FN358" s="6"/>
      <c r="FO358" s="6"/>
      <c r="FP358" s="6"/>
      <c r="FQ358" s="6"/>
      <c r="FR358" s="6"/>
      <c r="FS358" s="6"/>
      <c r="FT358" s="6"/>
      <c r="FU358" s="6"/>
      <c r="FV358" s="6"/>
      <c r="FW358" s="6"/>
      <c r="FX358" s="6"/>
      <c r="FY358" s="6"/>
      <c r="FZ358" s="6"/>
      <c r="GA358" s="6"/>
      <c r="GB358" s="6"/>
      <c r="GC358" s="6"/>
      <c r="GD358" s="6"/>
      <c r="GE358" s="6"/>
      <c r="GF358" s="6"/>
      <c r="GG358" s="6"/>
      <c r="GH358" s="6"/>
      <c r="GI358" s="6"/>
      <c r="GJ358" s="6"/>
      <c r="GK358" s="6"/>
      <c r="GL358" s="6"/>
      <c r="GM358" s="6"/>
      <c r="GN358" s="6"/>
      <c r="GO358" s="6"/>
      <c r="GP358" s="6"/>
      <c r="GQ358" s="6"/>
      <c r="GR358" s="6"/>
      <c r="GS358" s="6"/>
      <c r="GT358" s="6"/>
      <c r="GU358" s="6"/>
      <c r="GV358" s="6"/>
      <c r="GW358" s="6"/>
      <c r="GX358" s="6"/>
      <c r="GY358" s="6"/>
      <c r="GZ358" s="6"/>
      <c r="HA358" s="6"/>
      <c r="HB358" s="6"/>
      <c r="HC358" s="6"/>
      <c r="HD358" s="6"/>
      <c r="HE358" s="6"/>
      <c r="HF358" s="6"/>
      <c r="HG358" s="6"/>
      <c r="HH358" s="6"/>
      <c r="HI358" s="6"/>
      <c r="HJ358" s="6"/>
      <c r="HK358" s="6"/>
      <c r="HL358" s="6"/>
      <c r="HM358" s="6"/>
      <c r="HN358" s="6"/>
      <c r="HO358" s="6"/>
      <c r="HP358" s="6"/>
      <c r="HQ358" s="6"/>
      <c r="HR358" s="6"/>
      <c r="HS358" s="6"/>
      <c r="HT358" s="6"/>
      <c r="HU358" s="6"/>
    </row>
    <row r="359" spans="9:229"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BV359" s="6"/>
      <c r="BW359" s="6"/>
      <c r="BX359" s="6"/>
      <c r="BY359" s="6"/>
      <c r="BZ359" s="6"/>
      <c r="CA359" s="6"/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  <c r="ER359" s="6"/>
      <c r="ES359" s="6"/>
      <c r="ET359" s="6"/>
      <c r="EU359" s="6"/>
      <c r="EV359" s="6"/>
      <c r="EW359" s="6"/>
      <c r="EX359" s="6"/>
      <c r="EY359" s="6"/>
      <c r="EZ359" s="6"/>
      <c r="FA359" s="6"/>
      <c r="FB359" s="6"/>
      <c r="FC359" s="6"/>
      <c r="FD359" s="6"/>
      <c r="FE359" s="6"/>
      <c r="FF359" s="6"/>
      <c r="FG359" s="6"/>
      <c r="FH359" s="6"/>
      <c r="FI359" s="6"/>
      <c r="FJ359" s="6"/>
      <c r="FK359" s="6"/>
      <c r="FL359" s="6"/>
      <c r="FM359" s="6"/>
      <c r="FN359" s="6"/>
      <c r="FO359" s="6"/>
      <c r="FP359" s="6"/>
      <c r="FQ359" s="6"/>
      <c r="FR359" s="6"/>
      <c r="FS359" s="6"/>
      <c r="FT359" s="6"/>
      <c r="FU359" s="6"/>
      <c r="FV359" s="6"/>
      <c r="FW359" s="6"/>
      <c r="FX359" s="6"/>
      <c r="FY359" s="6"/>
      <c r="FZ359" s="6"/>
      <c r="GA359" s="6"/>
      <c r="GB359" s="6"/>
      <c r="GC359" s="6"/>
      <c r="GD359" s="6"/>
      <c r="GE359" s="6"/>
      <c r="GF359" s="6"/>
      <c r="GG359" s="6"/>
      <c r="GH359" s="6"/>
      <c r="GI359" s="6"/>
      <c r="GJ359" s="6"/>
      <c r="GK359" s="6"/>
      <c r="GL359" s="6"/>
      <c r="GM359" s="6"/>
      <c r="GN359" s="6"/>
      <c r="GO359" s="6"/>
      <c r="GP359" s="6"/>
      <c r="GQ359" s="6"/>
      <c r="GR359" s="6"/>
      <c r="GS359" s="6"/>
      <c r="GT359" s="6"/>
      <c r="GU359" s="6"/>
      <c r="GV359" s="6"/>
      <c r="GW359" s="6"/>
      <c r="GX359" s="6"/>
      <c r="GY359" s="6"/>
      <c r="GZ359" s="6"/>
      <c r="HA359" s="6"/>
      <c r="HB359" s="6"/>
      <c r="HC359" s="6"/>
      <c r="HD359" s="6"/>
      <c r="HE359" s="6"/>
      <c r="HF359" s="6"/>
      <c r="HG359" s="6"/>
      <c r="HH359" s="6"/>
      <c r="HI359" s="6"/>
      <c r="HJ359" s="6"/>
      <c r="HK359" s="6"/>
      <c r="HL359" s="6"/>
      <c r="HM359" s="6"/>
      <c r="HN359" s="6"/>
      <c r="HO359" s="6"/>
      <c r="HP359" s="6"/>
      <c r="HQ359" s="6"/>
      <c r="HR359" s="6"/>
      <c r="HS359" s="6"/>
      <c r="HT359" s="6"/>
      <c r="HU359" s="6"/>
    </row>
    <row r="360" spans="9:229"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BV360" s="6"/>
      <c r="BW360" s="6"/>
      <c r="BX360" s="6"/>
      <c r="BY360" s="6"/>
      <c r="BZ360" s="6"/>
      <c r="CA360" s="6"/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  <c r="ER360" s="6"/>
      <c r="ES360" s="6"/>
      <c r="ET360" s="6"/>
      <c r="EU360" s="6"/>
      <c r="EV360" s="6"/>
      <c r="EW360" s="6"/>
      <c r="EX360" s="6"/>
      <c r="EY360" s="6"/>
      <c r="EZ360" s="6"/>
      <c r="FA360" s="6"/>
      <c r="FB360" s="6"/>
      <c r="FC360" s="6"/>
      <c r="FD360" s="6"/>
      <c r="FE360" s="6"/>
      <c r="FF360" s="6"/>
      <c r="FG360" s="6"/>
      <c r="FH360" s="6"/>
      <c r="FI360" s="6"/>
      <c r="FJ360" s="6"/>
      <c r="FK360" s="6"/>
      <c r="FL360" s="6"/>
      <c r="FM360" s="6"/>
      <c r="FN360" s="6"/>
      <c r="FO360" s="6"/>
      <c r="FP360" s="6"/>
      <c r="FQ360" s="6"/>
      <c r="FR360" s="6"/>
      <c r="FS360" s="6"/>
      <c r="FT360" s="6"/>
      <c r="FU360" s="6"/>
      <c r="FV360" s="6"/>
      <c r="FW360" s="6"/>
      <c r="FX360" s="6"/>
      <c r="FY360" s="6"/>
      <c r="FZ360" s="6"/>
      <c r="GA360" s="6"/>
      <c r="GB360" s="6"/>
      <c r="GC360" s="6"/>
      <c r="GD360" s="6"/>
      <c r="GE360" s="6"/>
      <c r="GF360" s="6"/>
      <c r="GG360" s="6"/>
      <c r="GH360" s="6"/>
      <c r="GI360" s="6"/>
      <c r="GJ360" s="6"/>
      <c r="GK360" s="6"/>
      <c r="GL360" s="6"/>
      <c r="GM360" s="6"/>
      <c r="GN360" s="6"/>
      <c r="GO360" s="6"/>
      <c r="GP360" s="6"/>
      <c r="GQ360" s="6"/>
      <c r="GR360" s="6"/>
      <c r="GS360" s="6"/>
      <c r="GT360" s="6"/>
      <c r="GU360" s="6"/>
      <c r="GV360" s="6"/>
      <c r="GW360" s="6"/>
      <c r="GX360" s="6"/>
      <c r="GY360" s="6"/>
      <c r="GZ360" s="6"/>
      <c r="HA360" s="6"/>
      <c r="HB360" s="6"/>
      <c r="HC360" s="6"/>
      <c r="HD360" s="6"/>
      <c r="HE360" s="6"/>
      <c r="HF360" s="6"/>
      <c r="HG360" s="6"/>
      <c r="HH360" s="6"/>
      <c r="HI360" s="6"/>
      <c r="HJ360" s="6"/>
      <c r="HK360" s="6"/>
      <c r="HL360" s="6"/>
      <c r="HM360" s="6"/>
      <c r="HN360" s="6"/>
      <c r="HO360" s="6"/>
      <c r="HP360" s="6"/>
      <c r="HQ360" s="6"/>
      <c r="HR360" s="6"/>
      <c r="HS360" s="6"/>
      <c r="HT360" s="6"/>
      <c r="HU360" s="6"/>
    </row>
    <row r="361" spans="9:229"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BV361" s="6"/>
      <c r="BW361" s="6"/>
      <c r="BX361" s="6"/>
      <c r="BY361" s="6"/>
      <c r="BZ361" s="6"/>
      <c r="CA361" s="6"/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  <c r="ER361" s="6"/>
      <c r="ES361" s="6"/>
      <c r="ET361" s="6"/>
      <c r="EU361" s="6"/>
      <c r="EV361" s="6"/>
      <c r="EW361" s="6"/>
      <c r="EX361" s="6"/>
      <c r="EY361" s="6"/>
      <c r="EZ361" s="6"/>
      <c r="FA361" s="6"/>
      <c r="FB361" s="6"/>
      <c r="FC361" s="6"/>
      <c r="FD361" s="6"/>
      <c r="FE361" s="6"/>
      <c r="FF361" s="6"/>
      <c r="FG361" s="6"/>
      <c r="FH361" s="6"/>
      <c r="FI361" s="6"/>
      <c r="FJ361" s="6"/>
      <c r="FK361" s="6"/>
      <c r="FL361" s="6"/>
      <c r="FM361" s="6"/>
      <c r="FN361" s="6"/>
      <c r="FO361" s="6"/>
      <c r="FP361" s="6"/>
      <c r="FQ361" s="6"/>
      <c r="FR361" s="6"/>
      <c r="FS361" s="6"/>
      <c r="FT361" s="6"/>
      <c r="FU361" s="6"/>
      <c r="FV361" s="6"/>
      <c r="FW361" s="6"/>
      <c r="FX361" s="6"/>
      <c r="FY361" s="6"/>
      <c r="FZ361" s="6"/>
      <c r="GA361" s="6"/>
      <c r="GB361" s="6"/>
      <c r="GC361" s="6"/>
      <c r="GD361" s="6"/>
      <c r="GE361" s="6"/>
      <c r="GF361" s="6"/>
      <c r="GG361" s="6"/>
      <c r="GH361" s="6"/>
      <c r="GI361" s="6"/>
      <c r="GJ361" s="6"/>
      <c r="GK361" s="6"/>
      <c r="GL361" s="6"/>
      <c r="GM361" s="6"/>
      <c r="GN361" s="6"/>
      <c r="GO361" s="6"/>
      <c r="GP361" s="6"/>
      <c r="GQ361" s="6"/>
      <c r="GR361" s="6"/>
      <c r="GS361" s="6"/>
      <c r="GT361" s="6"/>
      <c r="GU361" s="6"/>
      <c r="GV361" s="6"/>
      <c r="GW361" s="6"/>
      <c r="GX361" s="6"/>
      <c r="GY361" s="6"/>
      <c r="GZ361" s="6"/>
      <c r="HA361" s="6"/>
      <c r="HB361" s="6"/>
      <c r="HC361" s="6"/>
      <c r="HD361" s="6"/>
      <c r="HE361" s="6"/>
      <c r="HF361" s="6"/>
      <c r="HG361" s="6"/>
      <c r="HH361" s="6"/>
      <c r="HI361" s="6"/>
      <c r="HJ361" s="6"/>
      <c r="HK361" s="6"/>
      <c r="HL361" s="6"/>
      <c r="HM361" s="6"/>
      <c r="HN361" s="6"/>
      <c r="HO361" s="6"/>
      <c r="HP361" s="6"/>
      <c r="HQ361" s="6"/>
      <c r="HR361" s="6"/>
      <c r="HS361" s="6"/>
      <c r="HT361" s="6"/>
      <c r="HU361" s="6"/>
    </row>
    <row r="362" spans="9:229"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BV362" s="6"/>
      <c r="BW362" s="6"/>
      <c r="BX362" s="6"/>
      <c r="BY362" s="6"/>
      <c r="BZ362" s="6"/>
      <c r="CA362" s="6"/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  <c r="ER362" s="6"/>
      <c r="ES362" s="6"/>
      <c r="ET362" s="6"/>
      <c r="EU362" s="6"/>
      <c r="EV362" s="6"/>
      <c r="EW362" s="6"/>
      <c r="EX362" s="6"/>
      <c r="EY362" s="6"/>
      <c r="EZ362" s="6"/>
      <c r="FA362" s="6"/>
      <c r="FB362" s="6"/>
      <c r="FC362" s="6"/>
      <c r="FD362" s="6"/>
      <c r="FE362" s="6"/>
      <c r="FF362" s="6"/>
      <c r="FG362" s="6"/>
      <c r="FH362" s="6"/>
      <c r="FI362" s="6"/>
      <c r="FJ362" s="6"/>
      <c r="FK362" s="6"/>
      <c r="FL362" s="6"/>
      <c r="FM362" s="6"/>
      <c r="FN362" s="6"/>
      <c r="FO362" s="6"/>
      <c r="FP362" s="6"/>
      <c r="FQ362" s="6"/>
      <c r="FR362" s="6"/>
      <c r="FS362" s="6"/>
      <c r="FT362" s="6"/>
      <c r="FU362" s="6"/>
      <c r="FV362" s="6"/>
      <c r="FW362" s="6"/>
      <c r="FX362" s="6"/>
      <c r="FY362" s="6"/>
      <c r="FZ362" s="6"/>
      <c r="GA362" s="6"/>
      <c r="GB362" s="6"/>
      <c r="GC362" s="6"/>
      <c r="GD362" s="6"/>
      <c r="GE362" s="6"/>
      <c r="GF362" s="6"/>
      <c r="GG362" s="6"/>
      <c r="GH362" s="6"/>
      <c r="GI362" s="6"/>
      <c r="GJ362" s="6"/>
      <c r="GK362" s="6"/>
      <c r="GL362" s="6"/>
      <c r="GM362" s="6"/>
      <c r="GN362" s="6"/>
      <c r="GO362" s="6"/>
      <c r="GP362" s="6"/>
      <c r="GQ362" s="6"/>
      <c r="GR362" s="6"/>
      <c r="GS362" s="6"/>
      <c r="GT362" s="6"/>
      <c r="GU362" s="6"/>
      <c r="GV362" s="6"/>
      <c r="GW362" s="6"/>
      <c r="GX362" s="6"/>
      <c r="GY362" s="6"/>
      <c r="GZ362" s="6"/>
      <c r="HA362" s="6"/>
      <c r="HB362" s="6"/>
      <c r="HC362" s="6"/>
      <c r="HD362" s="6"/>
      <c r="HE362" s="6"/>
      <c r="HF362" s="6"/>
      <c r="HG362" s="6"/>
      <c r="HH362" s="6"/>
      <c r="HI362" s="6"/>
      <c r="HJ362" s="6"/>
      <c r="HK362" s="6"/>
      <c r="HL362" s="6"/>
      <c r="HM362" s="6"/>
      <c r="HN362" s="6"/>
      <c r="HO362" s="6"/>
      <c r="HP362" s="6"/>
      <c r="HQ362" s="6"/>
      <c r="HR362" s="6"/>
      <c r="HS362" s="6"/>
      <c r="HT362" s="6"/>
      <c r="HU362" s="6"/>
    </row>
    <row r="363" spans="9:229"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BV363" s="6"/>
      <c r="BW363" s="6"/>
      <c r="BX363" s="6"/>
      <c r="BY363" s="6"/>
      <c r="BZ363" s="6"/>
      <c r="CA363" s="6"/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  <c r="ER363" s="6"/>
      <c r="ES363" s="6"/>
      <c r="ET363" s="6"/>
      <c r="EU363" s="6"/>
      <c r="EV363" s="6"/>
      <c r="EW363" s="6"/>
      <c r="EX363" s="6"/>
      <c r="EY363" s="6"/>
      <c r="EZ363" s="6"/>
      <c r="FA363" s="6"/>
      <c r="FB363" s="6"/>
      <c r="FC363" s="6"/>
      <c r="FD363" s="6"/>
      <c r="FE363" s="6"/>
      <c r="FF363" s="6"/>
      <c r="FG363" s="6"/>
      <c r="FH363" s="6"/>
      <c r="FI363" s="6"/>
      <c r="FJ363" s="6"/>
      <c r="FK363" s="6"/>
      <c r="FL363" s="6"/>
      <c r="FM363" s="6"/>
      <c r="FN363" s="6"/>
      <c r="FO363" s="6"/>
      <c r="FP363" s="6"/>
      <c r="FQ363" s="6"/>
      <c r="FR363" s="6"/>
      <c r="FS363" s="6"/>
      <c r="FT363" s="6"/>
      <c r="FU363" s="6"/>
      <c r="FV363" s="6"/>
      <c r="FW363" s="6"/>
      <c r="FX363" s="6"/>
      <c r="FY363" s="6"/>
      <c r="FZ363" s="6"/>
      <c r="GA363" s="6"/>
      <c r="GB363" s="6"/>
      <c r="GC363" s="6"/>
      <c r="GD363" s="6"/>
      <c r="GE363" s="6"/>
      <c r="GF363" s="6"/>
      <c r="GG363" s="6"/>
      <c r="GH363" s="6"/>
      <c r="GI363" s="6"/>
      <c r="GJ363" s="6"/>
      <c r="GK363" s="6"/>
      <c r="GL363" s="6"/>
      <c r="GM363" s="6"/>
      <c r="GN363" s="6"/>
      <c r="GO363" s="6"/>
      <c r="GP363" s="6"/>
      <c r="GQ363" s="6"/>
      <c r="GR363" s="6"/>
      <c r="GS363" s="6"/>
      <c r="GT363" s="6"/>
      <c r="GU363" s="6"/>
      <c r="GV363" s="6"/>
      <c r="GW363" s="6"/>
      <c r="GX363" s="6"/>
      <c r="GY363" s="6"/>
      <c r="GZ363" s="6"/>
      <c r="HA363" s="6"/>
      <c r="HB363" s="6"/>
      <c r="HC363" s="6"/>
      <c r="HD363" s="6"/>
      <c r="HE363" s="6"/>
      <c r="HF363" s="6"/>
      <c r="HG363" s="6"/>
      <c r="HH363" s="6"/>
      <c r="HI363" s="6"/>
      <c r="HJ363" s="6"/>
      <c r="HK363" s="6"/>
      <c r="HL363" s="6"/>
      <c r="HM363" s="6"/>
      <c r="HN363" s="6"/>
      <c r="HO363" s="6"/>
      <c r="HP363" s="6"/>
      <c r="HQ363" s="6"/>
      <c r="HR363" s="6"/>
      <c r="HS363" s="6"/>
      <c r="HT363" s="6"/>
      <c r="HU363" s="6"/>
    </row>
    <row r="364" spans="9:229"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BV364" s="6"/>
      <c r="BW364" s="6"/>
      <c r="BX364" s="6"/>
      <c r="BY364" s="6"/>
      <c r="BZ364" s="6"/>
      <c r="CA364" s="6"/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  <c r="ER364" s="6"/>
      <c r="ES364" s="6"/>
      <c r="ET364" s="6"/>
      <c r="EU364" s="6"/>
      <c r="EV364" s="6"/>
      <c r="EW364" s="6"/>
      <c r="EX364" s="6"/>
      <c r="EY364" s="6"/>
      <c r="EZ364" s="6"/>
      <c r="FA364" s="6"/>
      <c r="FB364" s="6"/>
      <c r="FC364" s="6"/>
      <c r="FD364" s="6"/>
      <c r="FE364" s="6"/>
      <c r="FF364" s="6"/>
      <c r="FG364" s="6"/>
      <c r="FH364" s="6"/>
      <c r="FI364" s="6"/>
      <c r="FJ364" s="6"/>
      <c r="FK364" s="6"/>
      <c r="FL364" s="6"/>
      <c r="FM364" s="6"/>
      <c r="FN364" s="6"/>
      <c r="FO364" s="6"/>
      <c r="FP364" s="6"/>
      <c r="FQ364" s="6"/>
      <c r="FR364" s="6"/>
      <c r="FS364" s="6"/>
      <c r="FT364" s="6"/>
      <c r="FU364" s="6"/>
      <c r="FV364" s="6"/>
      <c r="FW364" s="6"/>
      <c r="FX364" s="6"/>
      <c r="FY364" s="6"/>
      <c r="FZ364" s="6"/>
      <c r="GA364" s="6"/>
      <c r="GB364" s="6"/>
      <c r="GC364" s="6"/>
      <c r="GD364" s="6"/>
      <c r="GE364" s="6"/>
      <c r="GF364" s="6"/>
      <c r="GG364" s="6"/>
      <c r="GH364" s="6"/>
      <c r="GI364" s="6"/>
      <c r="GJ364" s="6"/>
      <c r="GK364" s="6"/>
      <c r="GL364" s="6"/>
      <c r="GM364" s="6"/>
      <c r="GN364" s="6"/>
      <c r="GO364" s="6"/>
      <c r="GP364" s="6"/>
      <c r="GQ364" s="6"/>
      <c r="GR364" s="6"/>
      <c r="GS364" s="6"/>
      <c r="GT364" s="6"/>
      <c r="GU364" s="6"/>
      <c r="GV364" s="6"/>
      <c r="GW364" s="6"/>
      <c r="GX364" s="6"/>
      <c r="GY364" s="6"/>
      <c r="GZ364" s="6"/>
      <c r="HA364" s="6"/>
      <c r="HB364" s="6"/>
      <c r="HC364" s="6"/>
      <c r="HD364" s="6"/>
      <c r="HE364" s="6"/>
      <c r="HF364" s="6"/>
      <c r="HG364" s="6"/>
      <c r="HH364" s="6"/>
      <c r="HI364" s="6"/>
      <c r="HJ364" s="6"/>
      <c r="HK364" s="6"/>
      <c r="HL364" s="6"/>
      <c r="HM364" s="6"/>
      <c r="HN364" s="6"/>
      <c r="HO364" s="6"/>
      <c r="HP364" s="6"/>
      <c r="HQ364" s="6"/>
      <c r="HR364" s="6"/>
      <c r="HS364" s="6"/>
      <c r="HT364" s="6"/>
      <c r="HU364" s="6"/>
    </row>
    <row r="365" spans="9:229"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BV365" s="6"/>
      <c r="BW365" s="6"/>
      <c r="BX365" s="6"/>
      <c r="BY365" s="6"/>
      <c r="BZ365" s="6"/>
      <c r="CA365" s="6"/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  <c r="ER365" s="6"/>
      <c r="ES365" s="6"/>
      <c r="ET365" s="6"/>
      <c r="EU365" s="6"/>
      <c r="EV365" s="6"/>
      <c r="EW365" s="6"/>
      <c r="EX365" s="6"/>
      <c r="EY365" s="6"/>
      <c r="EZ365" s="6"/>
      <c r="FA365" s="6"/>
      <c r="FB365" s="6"/>
      <c r="FC365" s="6"/>
      <c r="FD365" s="6"/>
      <c r="FE365" s="6"/>
      <c r="FF365" s="6"/>
      <c r="FG365" s="6"/>
      <c r="FH365" s="6"/>
      <c r="FI365" s="6"/>
      <c r="FJ365" s="6"/>
      <c r="FK365" s="6"/>
      <c r="FL365" s="6"/>
      <c r="FM365" s="6"/>
      <c r="FN365" s="6"/>
      <c r="FO365" s="6"/>
      <c r="FP365" s="6"/>
      <c r="FQ365" s="6"/>
      <c r="FR365" s="6"/>
      <c r="FS365" s="6"/>
      <c r="FT365" s="6"/>
      <c r="FU365" s="6"/>
      <c r="FV365" s="6"/>
      <c r="FW365" s="6"/>
      <c r="FX365" s="6"/>
      <c r="FY365" s="6"/>
      <c r="FZ365" s="6"/>
      <c r="GA365" s="6"/>
      <c r="GB365" s="6"/>
      <c r="GC365" s="6"/>
      <c r="GD365" s="6"/>
      <c r="GE365" s="6"/>
      <c r="GF365" s="6"/>
      <c r="GG365" s="6"/>
      <c r="GH365" s="6"/>
      <c r="GI365" s="6"/>
      <c r="GJ365" s="6"/>
      <c r="GK365" s="6"/>
      <c r="GL365" s="6"/>
      <c r="GM365" s="6"/>
      <c r="GN365" s="6"/>
      <c r="GO365" s="6"/>
      <c r="GP365" s="6"/>
      <c r="GQ365" s="6"/>
      <c r="GR365" s="6"/>
      <c r="GS365" s="6"/>
      <c r="GT365" s="6"/>
      <c r="GU365" s="6"/>
      <c r="GV365" s="6"/>
      <c r="GW365" s="6"/>
      <c r="GX365" s="6"/>
      <c r="GY365" s="6"/>
      <c r="GZ365" s="6"/>
      <c r="HA365" s="6"/>
      <c r="HB365" s="6"/>
      <c r="HC365" s="6"/>
      <c r="HD365" s="6"/>
      <c r="HE365" s="6"/>
      <c r="HF365" s="6"/>
      <c r="HG365" s="6"/>
      <c r="HH365" s="6"/>
      <c r="HI365" s="6"/>
      <c r="HJ365" s="6"/>
      <c r="HK365" s="6"/>
      <c r="HL365" s="6"/>
      <c r="HM365" s="6"/>
      <c r="HN365" s="6"/>
      <c r="HO365" s="6"/>
      <c r="HP365" s="6"/>
      <c r="HQ365" s="6"/>
      <c r="HR365" s="6"/>
      <c r="HS365" s="6"/>
      <c r="HT365" s="6"/>
      <c r="HU365" s="6"/>
    </row>
    <row r="366" spans="9:229"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BV366" s="6"/>
      <c r="BW366" s="6"/>
      <c r="BX366" s="6"/>
      <c r="BY366" s="6"/>
      <c r="BZ366" s="6"/>
      <c r="CA366" s="6"/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  <c r="ER366" s="6"/>
      <c r="ES366" s="6"/>
      <c r="ET366" s="6"/>
      <c r="EU366" s="6"/>
      <c r="EV366" s="6"/>
      <c r="EW366" s="6"/>
      <c r="EX366" s="6"/>
      <c r="EY366" s="6"/>
      <c r="EZ366" s="6"/>
      <c r="FA366" s="6"/>
      <c r="FB366" s="6"/>
      <c r="FC366" s="6"/>
      <c r="FD366" s="6"/>
      <c r="FE366" s="6"/>
      <c r="FF366" s="6"/>
      <c r="FG366" s="6"/>
      <c r="FH366" s="6"/>
      <c r="FI366" s="6"/>
      <c r="FJ366" s="6"/>
      <c r="FK366" s="6"/>
      <c r="FL366" s="6"/>
      <c r="FM366" s="6"/>
      <c r="FN366" s="6"/>
      <c r="FO366" s="6"/>
      <c r="FP366" s="6"/>
      <c r="FQ366" s="6"/>
      <c r="FR366" s="6"/>
      <c r="FS366" s="6"/>
      <c r="FT366" s="6"/>
      <c r="FU366" s="6"/>
      <c r="FV366" s="6"/>
      <c r="FW366" s="6"/>
      <c r="FX366" s="6"/>
      <c r="FY366" s="6"/>
      <c r="FZ366" s="6"/>
      <c r="GA366" s="6"/>
      <c r="GB366" s="6"/>
      <c r="GC366" s="6"/>
      <c r="GD366" s="6"/>
      <c r="GE366" s="6"/>
      <c r="GF366" s="6"/>
      <c r="GG366" s="6"/>
      <c r="GH366" s="6"/>
      <c r="GI366" s="6"/>
      <c r="GJ366" s="6"/>
      <c r="GK366" s="6"/>
      <c r="GL366" s="6"/>
      <c r="GM366" s="6"/>
      <c r="GN366" s="6"/>
      <c r="GO366" s="6"/>
      <c r="GP366" s="6"/>
      <c r="GQ366" s="6"/>
      <c r="GR366" s="6"/>
      <c r="GS366" s="6"/>
      <c r="GT366" s="6"/>
      <c r="GU366" s="6"/>
      <c r="GV366" s="6"/>
      <c r="GW366" s="6"/>
      <c r="GX366" s="6"/>
      <c r="GY366" s="6"/>
      <c r="GZ366" s="6"/>
      <c r="HA366" s="6"/>
      <c r="HB366" s="6"/>
      <c r="HC366" s="6"/>
      <c r="HD366" s="6"/>
      <c r="HE366" s="6"/>
      <c r="HF366" s="6"/>
      <c r="HG366" s="6"/>
      <c r="HH366" s="6"/>
      <c r="HI366" s="6"/>
      <c r="HJ366" s="6"/>
      <c r="HK366" s="6"/>
      <c r="HL366" s="6"/>
      <c r="HM366" s="6"/>
      <c r="HN366" s="6"/>
      <c r="HO366" s="6"/>
      <c r="HP366" s="6"/>
      <c r="HQ366" s="6"/>
      <c r="HR366" s="6"/>
      <c r="HS366" s="6"/>
      <c r="HT366" s="6"/>
      <c r="HU366" s="6"/>
    </row>
    <row r="367" spans="9:229"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BV367" s="6"/>
      <c r="BW367" s="6"/>
      <c r="BX367" s="6"/>
      <c r="BY367" s="6"/>
      <c r="BZ367" s="6"/>
      <c r="CA367" s="6"/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  <c r="ER367" s="6"/>
      <c r="ES367" s="6"/>
      <c r="ET367" s="6"/>
      <c r="EU367" s="6"/>
      <c r="EV367" s="6"/>
      <c r="EW367" s="6"/>
      <c r="EX367" s="6"/>
      <c r="EY367" s="6"/>
      <c r="EZ367" s="6"/>
      <c r="FA367" s="6"/>
      <c r="FB367" s="6"/>
      <c r="FC367" s="6"/>
      <c r="FD367" s="6"/>
      <c r="FE367" s="6"/>
      <c r="FF367" s="6"/>
      <c r="FG367" s="6"/>
      <c r="FH367" s="6"/>
      <c r="FI367" s="6"/>
      <c r="FJ367" s="6"/>
      <c r="FK367" s="6"/>
      <c r="FL367" s="6"/>
      <c r="FM367" s="6"/>
      <c r="FN367" s="6"/>
      <c r="FO367" s="6"/>
      <c r="FP367" s="6"/>
      <c r="FQ367" s="6"/>
      <c r="FR367" s="6"/>
      <c r="FS367" s="6"/>
      <c r="FT367" s="6"/>
      <c r="FU367" s="6"/>
      <c r="FV367" s="6"/>
      <c r="FW367" s="6"/>
      <c r="FX367" s="6"/>
      <c r="FY367" s="6"/>
      <c r="FZ367" s="6"/>
      <c r="GA367" s="6"/>
      <c r="GB367" s="6"/>
      <c r="GC367" s="6"/>
      <c r="GD367" s="6"/>
      <c r="GE367" s="6"/>
      <c r="GF367" s="6"/>
      <c r="GG367" s="6"/>
      <c r="GH367" s="6"/>
      <c r="GI367" s="6"/>
      <c r="GJ367" s="6"/>
      <c r="GK367" s="6"/>
      <c r="GL367" s="6"/>
      <c r="GM367" s="6"/>
      <c r="GN367" s="6"/>
      <c r="GO367" s="6"/>
      <c r="GP367" s="6"/>
      <c r="GQ367" s="6"/>
      <c r="GR367" s="6"/>
      <c r="GS367" s="6"/>
      <c r="GT367" s="6"/>
      <c r="GU367" s="6"/>
      <c r="GV367" s="6"/>
      <c r="GW367" s="6"/>
      <c r="GX367" s="6"/>
      <c r="GY367" s="6"/>
      <c r="GZ367" s="6"/>
      <c r="HA367" s="6"/>
      <c r="HB367" s="6"/>
      <c r="HC367" s="6"/>
      <c r="HD367" s="6"/>
      <c r="HE367" s="6"/>
      <c r="HF367" s="6"/>
      <c r="HG367" s="6"/>
      <c r="HH367" s="6"/>
      <c r="HI367" s="6"/>
      <c r="HJ367" s="6"/>
      <c r="HK367" s="6"/>
      <c r="HL367" s="6"/>
      <c r="HM367" s="6"/>
      <c r="HN367" s="6"/>
      <c r="HO367" s="6"/>
      <c r="HP367" s="6"/>
      <c r="HQ367" s="6"/>
      <c r="HR367" s="6"/>
      <c r="HS367" s="6"/>
      <c r="HT367" s="6"/>
      <c r="HU367" s="6"/>
    </row>
    <row r="368" spans="9:229"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BV368" s="6"/>
      <c r="BW368" s="6"/>
      <c r="BX368" s="6"/>
      <c r="BY368" s="6"/>
      <c r="BZ368" s="6"/>
      <c r="CA368" s="6"/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  <c r="ER368" s="6"/>
      <c r="ES368" s="6"/>
      <c r="ET368" s="6"/>
      <c r="EU368" s="6"/>
      <c r="EV368" s="6"/>
      <c r="EW368" s="6"/>
      <c r="EX368" s="6"/>
      <c r="EY368" s="6"/>
      <c r="EZ368" s="6"/>
      <c r="FA368" s="6"/>
      <c r="FB368" s="6"/>
      <c r="FC368" s="6"/>
      <c r="FD368" s="6"/>
      <c r="FE368" s="6"/>
      <c r="FF368" s="6"/>
      <c r="FG368" s="6"/>
      <c r="FH368" s="6"/>
      <c r="FI368" s="6"/>
      <c r="FJ368" s="6"/>
      <c r="FK368" s="6"/>
      <c r="FL368" s="6"/>
      <c r="FM368" s="6"/>
      <c r="FN368" s="6"/>
      <c r="FO368" s="6"/>
      <c r="FP368" s="6"/>
      <c r="FQ368" s="6"/>
      <c r="FR368" s="6"/>
      <c r="FS368" s="6"/>
      <c r="FT368" s="6"/>
      <c r="FU368" s="6"/>
      <c r="FV368" s="6"/>
      <c r="FW368" s="6"/>
      <c r="FX368" s="6"/>
      <c r="FY368" s="6"/>
      <c r="FZ368" s="6"/>
      <c r="GA368" s="6"/>
      <c r="GB368" s="6"/>
      <c r="GC368" s="6"/>
      <c r="GD368" s="6"/>
      <c r="GE368" s="6"/>
      <c r="GF368" s="6"/>
      <c r="GG368" s="6"/>
      <c r="GH368" s="6"/>
      <c r="GI368" s="6"/>
      <c r="GJ368" s="6"/>
      <c r="GK368" s="6"/>
      <c r="GL368" s="6"/>
      <c r="GM368" s="6"/>
      <c r="GN368" s="6"/>
      <c r="GO368" s="6"/>
      <c r="GP368" s="6"/>
      <c r="GQ368" s="6"/>
      <c r="GR368" s="6"/>
      <c r="GS368" s="6"/>
      <c r="GT368" s="6"/>
      <c r="GU368" s="6"/>
      <c r="GV368" s="6"/>
      <c r="GW368" s="6"/>
      <c r="GX368" s="6"/>
      <c r="GY368" s="6"/>
      <c r="GZ368" s="6"/>
      <c r="HA368" s="6"/>
      <c r="HB368" s="6"/>
      <c r="HC368" s="6"/>
      <c r="HD368" s="6"/>
      <c r="HE368" s="6"/>
      <c r="HF368" s="6"/>
      <c r="HG368" s="6"/>
      <c r="HH368" s="6"/>
      <c r="HI368" s="6"/>
      <c r="HJ368" s="6"/>
      <c r="HK368" s="6"/>
      <c r="HL368" s="6"/>
      <c r="HM368" s="6"/>
      <c r="HN368" s="6"/>
      <c r="HO368" s="6"/>
      <c r="HP368" s="6"/>
      <c r="HQ368" s="6"/>
      <c r="HR368" s="6"/>
      <c r="HS368" s="6"/>
      <c r="HT368" s="6"/>
      <c r="HU368" s="6"/>
    </row>
    <row r="369" spans="9:229"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BV369" s="6"/>
      <c r="BW369" s="6"/>
      <c r="BX369" s="6"/>
      <c r="BY369" s="6"/>
      <c r="BZ369" s="6"/>
      <c r="CA369" s="6"/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  <c r="ER369" s="6"/>
      <c r="ES369" s="6"/>
      <c r="ET369" s="6"/>
      <c r="EU369" s="6"/>
      <c r="EV369" s="6"/>
      <c r="EW369" s="6"/>
      <c r="EX369" s="6"/>
      <c r="EY369" s="6"/>
      <c r="EZ369" s="6"/>
      <c r="FA369" s="6"/>
      <c r="FB369" s="6"/>
      <c r="FC369" s="6"/>
      <c r="FD369" s="6"/>
      <c r="FE369" s="6"/>
      <c r="FF369" s="6"/>
      <c r="FG369" s="6"/>
      <c r="FH369" s="6"/>
      <c r="FI369" s="6"/>
      <c r="FJ369" s="6"/>
      <c r="FK369" s="6"/>
      <c r="FL369" s="6"/>
      <c r="FM369" s="6"/>
      <c r="FN369" s="6"/>
      <c r="FO369" s="6"/>
      <c r="FP369" s="6"/>
      <c r="FQ369" s="6"/>
      <c r="FR369" s="6"/>
      <c r="FS369" s="6"/>
      <c r="FT369" s="6"/>
      <c r="FU369" s="6"/>
      <c r="FV369" s="6"/>
      <c r="FW369" s="6"/>
      <c r="FX369" s="6"/>
      <c r="FY369" s="6"/>
      <c r="FZ369" s="6"/>
      <c r="GA369" s="6"/>
      <c r="GB369" s="6"/>
      <c r="GC369" s="6"/>
      <c r="GD369" s="6"/>
      <c r="GE369" s="6"/>
      <c r="GF369" s="6"/>
      <c r="GG369" s="6"/>
      <c r="GH369" s="6"/>
      <c r="GI369" s="6"/>
      <c r="GJ369" s="6"/>
      <c r="GK369" s="6"/>
      <c r="GL369" s="6"/>
      <c r="GM369" s="6"/>
      <c r="GN369" s="6"/>
      <c r="GO369" s="6"/>
      <c r="GP369" s="6"/>
      <c r="GQ369" s="6"/>
      <c r="GR369" s="6"/>
      <c r="GS369" s="6"/>
      <c r="GT369" s="6"/>
      <c r="GU369" s="6"/>
      <c r="GV369" s="6"/>
      <c r="GW369" s="6"/>
      <c r="GX369" s="6"/>
      <c r="GY369" s="6"/>
      <c r="GZ369" s="6"/>
      <c r="HA369" s="6"/>
      <c r="HB369" s="6"/>
      <c r="HC369" s="6"/>
      <c r="HD369" s="6"/>
      <c r="HE369" s="6"/>
      <c r="HF369" s="6"/>
      <c r="HG369" s="6"/>
      <c r="HH369" s="6"/>
      <c r="HI369" s="6"/>
      <c r="HJ369" s="6"/>
      <c r="HK369" s="6"/>
      <c r="HL369" s="6"/>
      <c r="HM369" s="6"/>
      <c r="HN369" s="6"/>
      <c r="HO369" s="6"/>
      <c r="HP369" s="6"/>
      <c r="HQ369" s="6"/>
      <c r="HR369" s="6"/>
      <c r="HS369" s="6"/>
      <c r="HT369" s="6"/>
      <c r="HU369" s="6"/>
    </row>
    <row r="370" spans="9:229"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BV370" s="6"/>
      <c r="BW370" s="6"/>
      <c r="BX370" s="6"/>
      <c r="BY370" s="6"/>
      <c r="BZ370" s="6"/>
      <c r="CA370" s="6"/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  <c r="ER370" s="6"/>
      <c r="ES370" s="6"/>
      <c r="ET370" s="6"/>
      <c r="EU370" s="6"/>
      <c r="EV370" s="6"/>
      <c r="EW370" s="6"/>
      <c r="EX370" s="6"/>
      <c r="EY370" s="6"/>
      <c r="EZ370" s="6"/>
      <c r="FA370" s="6"/>
      <c r="FB370" s="6"/>
      <c r="FC370" s="6"/>
      <c r="FD370" s="6"/>
      <c r="FE370" s="6"/>
      <c r="FF370" s="6"/>
      <c r="FG370" s="6"/>
      <c r="FH370" s="6"/>
      <c r="FI370" s="6"/>
      <c r="FJ370" s="6"/>
      <c r="FK370" s="6"/>
      <c r="FL370" s="6"/>
      <c r="FM370" s="6"/>
      <c r="FN370" s="6"/>
      <c r="FO370" s="6"/>
      <c r="FP370" s="6"/>
      <c r="FQ370" s="6"/>
      <c r="FR370" s="6"/>
      <c r="FS370" s="6"/>
      <c r="FT370" s="6"/>
      <c r="FU370" s="6"/>
      <c r="FV370" s="6"/>
      <c r="FW370" s="6"/>
      <c r="FX370" s="6"/>
      <c r="FY370" s="6"/>
      <c r="FZ370" s="6"/>
      <c r="GA370" s="6"/>
      <c r="GB370" s="6"/>
      <c r="GC370" s="6"/>
      <c r="GD370" s="6"/>
      <c r="GE370" s="6"/>
      <c r="GF370" s="6"/>
      <c r="GG370" s="6"/>
      <c r="GH370" s="6"/>
      <c r="GI370" s="6"/>
      <c r="GJ370" s="6"/>
      <c r="GK370" s="6"/>
      <c r="GL370" s="6"/>
      <c r="GM370" s="6"/>
      <c r="GN370" s="6"/>
      <c r="GO370" s="6"/>
      <c r="GP370" s="6"/>
      <c r="GQ370" s="6"/>
      <c r="GR370" s="6"/>
      <c r="GS370" s="6"/>
      <c r="GT370" s="6"/>
      <c r="GU370" s="6"/>
      <c r="GV370" s="6"/>
      <c r="GW370" s="6"/>
      <c r="GX370" s="6"/>
      <c r="GY370" s="6"/>
      <c r="GZ370" s="6"/>
      <c r="HA370" s="6"/>
      <c r="HB370" s="6"/>
      <c r="HC370" s="6"/>
      <c r="HD370" s="6"/>
      <c r="HE370" s="6"/>
      <c r="HF370" s="6"/>
      <c r="HG370" s="6"/>
      <c r="HH370" s="6"/>
      <c r="HI370" s="6"/>
      <c r="HJ370" s="6"/>
      <c r="HK370" s="6"/>
      <c r="HL370" s="6"/>
      <c r="HM370" s="6"/>
      <c r="HN370" s="6"/>
      <c r="HO370" s="6"/>
      <c r="HP370" s="6"/>
      <c r="HQ370" s="6"/>
      <c r="HR370" s="6"/>
      <c r="HS370" s="6"/>
      <c r="HT370" s="6"/>
      <c r="HU370" s="6"/>
    </row>
    <row r="371" spans="9:229"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  <c r="ER371" s="6"/>
      <c r="ES371" s="6"/>
      <c r="ET371" s="6"/>
      <c r="EU371" s="6"/>
      <c r="EV371" s="6"/>
      <c r="EW371" s="6"/>
      <c r="EX371" s="6"/>
      <c r="EY371" s="6"/>
      <c r="EZ371" s="6"/>
      <c r="FA371" s="6"/>
      <c r="FB371" s="6"/>
      <c r="FC371" s="6"/>
      <c r="FD371" s="6"/>
      <c r="FE371" s="6"/>
      <c r="FF371" s="6"/>
      <c r="FG371" s="6"/>
      <c r="FH371" s="6"/>
      <c r="FI371" s="6"/>
      <c r="FJ371" s="6"/>
      <c r="FK371" s="6"/>
      <c r="FL371" s="6"/>
      <c r="FM371" s="6"/>
      <c r="FN371" s="6"/>
      <c r="FO371" s="6"/>
      <c r="FP371" s="6"/>
      <c r="FQ371" s="6"/>
      <c r="FR371" s="6"/>
      <c r="FS371" s="6"/>
      <c r="FT371" s="6"/>
      <c r="FU371" s="6"/>
      <c r="FV371" s="6"/>
      <c r="FW371" s="6"/>
      <c r="FX371" s="6"/>
      <c r="FY371" s="6"/>
      <c r="FZ371" s="6"/>
      <c r="GA371" s="6"/>
      <c r="GB371" s="6"/>
      <c r="GC371" s="6"/>
      <c r="GD371" s="6"/>
      <c r="GE371" s="6"/>
      <c r="GF371" s="6"/>
      <c r="GG371" s="6"/>
      <c r="GH371" s="6"/>
      <c r="GI371" s="6"/>
      <c r="GJ371" s="6"/>
      <c r="GK371" s="6"/>
      <c r="GL371" s="6"/>
      <c r="GM371" s="6"/>
      <c r="GN371" s="6"/>
      <c r="GO371" s="6"/>
      <c r="GP371" s="6"/>
      <c r="GQ371" s="6"/>
      <c r="GR371" s="6"/>
      <c r="GS371" s="6"/>
      <c r="GT371" s="6"/>
      <c r="GU371" s="6"/>
      <c r="GV371" s="6"/>
      <c r="GW371" s="6"/>
      <c r="GX371" s="6"/>
      <c r="GY371" s="6"/>
      <c r="GZ371" s="6"/>
      <c r="HA371" s="6"/>
      <c r="HB371" s="6"/>
      <c r="HC371" s="6"/>
      <c r="HD371" s="6"/>
      <c r="HE371" s="6"/>
      <c r="HF371" s="6"/>
      <c r="HG371" s="6"/>
      <c r="HH371" s="6"/>
      <c r="HI371" s="6"/>
      <c r="HJ371" s="6"/>
      <c r="HK371" s="6"/>
      <c r="HL371" s="6"/>
      <c r="HM371" s="6"/>
      <c r="HN371" s="6"/>
      <c r="HO371" s="6"/>
      <c r="HP371" s="6"/>
      <c r="HQ371" s="6"/>
      <c r="HR371" s="6"/>
      <c r="HS371" s="6"/>
      <c r="HT371" s="6"/>
      <c r="HU371" s="6"/>
    </row>
    <row r="372" spans="9:229"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  <c r="ER372" s="6"/>
      <c r="ES372" s="6"/>
      <c r="ET372" s="6"/>
      <c r="EU372" s="6"/>
      <c r="EV372" s="6"/>
      <c r="EW372" s="6"/>
      <c r="EX372" s="6"/>
      <c r="EY372" s="6"/>
      <c r="EZ372" s="6"/>
      <c r="FA372" s="6"/>
      <c r="FB372" s="6"/>
      <c r="FC372" s="6"/>
      <c r="FD372" s="6"/>
      <c r="FE372" s="6"/>
      <c r="FF372" s="6"/>
      <c r="FG372" s="6"/>
      <c r="FH372" s="6"/>
      <c r="FI372" s="6"/>
      <c r="FJ372" s="6"/>
      <c r="FK372" s="6"/>
      <c r="FL372" s="6"/>
      <c r="FM372" s="6"/>
      <c r="FN372" s="6"/>
      <c r="FO372" s="6"/>
      <c r="FP372" s="6"/>
      <c r="FQ372" s="6"/>
      <c r="FR372" s="6"/>
      <c r="FS372" s="6"/>
      <c r="FT372" s="6"/>
      <c r="FU372" s="6"/>
      <c r="FV372" s="6"/>
      <c r="FW372" s="6"/>
      <c r="FX372" s="6"/>
      <c r="FY372" s="6"/>
      <c r="FZ372" s="6"/>
      <c r="GA372" s="6"/>
      <c r="GB372" s="6"/>
      <c r="GC372" s="6"/>
      <c r="GD372" s="6"/>
      <c r="GE372" s="6"/>
      <c r="GF372" s="6"/>
      <c r="GG372" s="6"/>
      <c r="GH372" s="6"/>
      <c r="GI372" s="6"/>
      <c r="GJ372" s="6"/>
      <c r="GK372" s="6"/>
      <c r="GL372" s="6"/>
      <c r="GM372" s="6"/>
      <c r="GN372" s="6"/>
      <c r="GO372" s="6"/>
      <c r="GP372" s="6"/>
      <c r="GQ372" s="6"/>
      <c r="GR372" s="6"/>
      <c r="GS372" s="6"/>
      <c r="GT372" s="6"/>
      <c r="GU372" s="6"/>
      <c r="GV372" s="6"/>
      <c r="GW372" s="6"/>
      <c r="GX372" s="6"/>
      <c r="GY372" s="6"/>
      <c r="GZ372" s="6"/>
      <c r="HA372" s="6"/>
      <c r="HB372" s="6"/>
      <c r="HC372" s="6"/>
      <c r="HD372" s="6"/>
      <c r="HE372" s="6"/>
      <c r="HF372" s="6"/>
      <c r="HG372" s="6"/>
      <c r="HH372" s="6"/>
      <c r="HI372" s="6"/>
      <c r="HJ372" s="6"/>
      <c r="HK372" s="6"/>
      <c r="HL372" s="6"/>
      <c r="HM372" s="6"/>
      <c r="HN372" s="6"/>
      <c r="HO372" s="6"/>
      <c r="HP372" s="6"/>
      <c r="HQ372" s="6"/>
      <c r="HR372" s="6"/>
      <c r="HS372" s="6"/>
      <c r="HT372" s="6"/>
      <c r="HU372" s="6"/>
    </row>
    <row r="373" spans="9:229"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BV373" s="6"/>
      <c r="BW373" s="6"/>
      <c r="BX373" s="6"/>
      <c r="BY373" s="6"/>
      <c r="BZ373" s="6"/>
      <c r="CA373" s="6"/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  <c r="ER373" s="6"/>
      <c r="ES373" s="6"/>
      <c r="ET373" s="6"/>
      <c r="EU373" s="6"/>
      <c r="EV373" s="6"/>
      <c r="EW373" s="6"/>
      <c r="EX373" s="6"/>
      <c r="EY373" s="6"/>
      <c r="EZ373" s="6"/>
      <c r="FA373" s="6"/>
      <c r="FB373" s="6"/>
      <c r="FC373" s="6"/>
      <c r="FD373" s="6"/>
      <c r="FE373" s="6"/>
      <c r="FF373" s="6"/>
      <c r="FG373" s="6"/>
      <c r="FH373" s="6"/>
      <c r="FI373" s="6"/>
      <c r="FJ373" s="6"/>
      <c r="FK373" s="6"/>
      <c r="FL373" s="6"/>
      <c r="FM373" s="6"/>
      <c r="FN373" s="6"/>
      <c r="FO373" s="6"/>
      <c r="FP373" s="6"/>
      <c r="FQ373" s="6"/>
      <c r="FR373" s="6"/>
      <c r="FS373" s="6"/>
      <c r="FT373" s="6"/>
      <c r="FU373" s="6"/>
      <c r="FV373" s="6"/>
      <c r="FW373" s="6"/>
      <c r="FX373" s="6"/>
      <c r="FY373" s="6"/>
      <c r="FZ373" s="6"/>
      <c r="GA373" s="6"/>
      <c r="GB373" s="6"/>
      <c r="GC373" s="6"/>
      <c r="GD373" s="6"/>
      <c r="GE373" s="6"/>
      <c r="GF373" s="6"/>
      <c r="GG373" s="6"/>
      <c r="GH373" s="6"/>
      <c r="GI373" s="6"/>
      <c r="GJ373" s="6"/>
      <c r="GK373" s="6"/>
      <c r="GL373" s="6"/>
      <c r="GM373" s="6"/>
      <c r="GN373" s="6"/>
      <c r="GO373" s="6"/>
      <c r="GP373" s="6"/>
      <c r="GQ373" s="6"/>
      <c r="GR373" s="6"/>
      <c r="GS373" s="6"/>
      <c r="GT373" s="6"/>
      <c r="GU373" s="6"/>
      <c r="GV373" s="6"/>
      <c r="GW373" s="6"/>
      <c r="GX373" s="6"/>
      <c r="GY373" s="6"/>
      <c r="GZ373" s="6"/>
      <c r="HA373" s="6"/>
      <c r="HB373" s="6"/>
      <c r="HC373" s="6"/>
      <c r="HD373" s="6"/>
      <c r="HE373" s="6"/>
      <c r="HF373" s="6"/>
      <c r="HG373" s="6"/>
      <c r="HH373" s="6"/>
      <c r="HI373" s="6"/>
      <c r="HJ373" s="6"/>
      <c r="HK373" s="6"/>
      <c r="HL373" s="6"/>
      <c r="HM373" s="6"/>
      <c r="HN373" s="6"/>
      <c r="HO373" s="6"/>
      <c r="HP373" s="6"/>
      <c r="HQ373" s="6"/>
      <c r="HR373" s="6"/>
      <c r="HS373" s="6"/>
      <c r="HT373" s="6"/>
      <c r="HU373" s="6"/>
    </row>
    <row r="374" spans="9:229"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BV374" s="6"/>
      <c r="BW374" s="6"/>
      <c r="BX374" s="6"/>
      <c r="BY374" s="6"/>
      <c r="BZ374" s="6"/>
      <c r="CA374" s="6"/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  <c r="ER374" s="6"/>
      <c r="ES374" s="6"/>
      <c r="ET374" s="6"/>
      <c r="EU374" s="6"/>
      <c r="EV374" s="6"/>
      <c r="EW374" s="6"/>
      <c r="EX374" s="6"/>
      <c r="EY374" s="6"/>
      <c r="EZ374" s="6"/>
      <c r="FA374" s="6"/>
      <c r="FB374" s="6"/>
      <c r="FC374" s="6"/>
      <c r="FD374" s="6"/>
      <c r="FE374" s="6"/>
      <c r="FF374" s="6"/>
      <c r="FG374" s="6"/>
      <c r="FH374" s="6"/>
      <c r="FI374" s="6"/>
      <c r="FJ374" s="6"/>
      <c r="FK374" s="6"/>
      <c r="FL374" s="6"/>
      <c r="FM374" s="6"/>
      <c r="FN374" s="6"/>
      <c r="FO374" s="6"/>
      <c r="FP374" s="6"/>
      <c r="FQ374" s="6"/>
      <c r="FR374" s="6"/>
      <c r="FS374" s="6"/>
      <c r="FT374" s="6"/>
      <c r="FU374" s="6"/>
      <c r="FV374" s="6"/>
      <c r="FW374" s="6"/>
      <c r="FX374" s="6"/>
      <c r="FY374" s="6"/>
      <c r="FZ374" s="6"/>
      <c r="GA374" s="6"/>
      <c r="GB374" s="6"/>
      <c r="GC374" s="6"/>
      <c r="GD374" s="6"/>
      <c r="GE374" s="6"/>
      <c r="GF374" s="6"/>
      <c r="GG374" s="6"/>
      <c r="GH374" s="6"/>
      <c r="GI374" s="6"/>
      <c r="GJ374" s="6"/>
      <c r="GK374" s="6"/>
      <c r="GL374" s="6"/>
      <c r="GM374" s="6"/>
      <c r="GN374" s="6"/>
      <c r="GO374" s="6"/>
      <c r="GP374" s="6"/>
      <c r="GQ374" s="6"/>
      <c r="GR374" s="6"/>
      <c r="GS374" s="6"/>
      <c r="GT374" s="6"/>
      <c r="GU374" s="6"/>
      <c r="GV374" s="6"/>
      <c r="GW374" s="6"/>
      <c r="GX374" s="6"/>
      <c r="GY374" s="6"/>
      <c r="GZ374" s="6"/>
      <c r="HA374" s="6"/>
      <c r="HB374" s="6"/>
      <c r="HC374" s="6"/>
      <c r="HD374" s="6"/>
      <c r="HE374" s="6"/>
      <c r="HF374" s="6"/>
      <c r="HG374" s="6"/>
      <c r="HH374" s="6"/>
      <c r="HI374" s="6"/>
      <c r="HJ374" s="6"/>
      <c r="HK374" s="6"/>
      <c r="HL374" s="6"/>
      <c r="HM374" s="6"/>
      <c r="HN374" s="6"/>
      <c r="HO374" s="6"/>
      <c r="HP374" s="6"/>
      <c r="HQ374" s="6"/>
      <c r="HR374" s="6"/>
      <c r="HS374" s="6"/>
      <c r="HT374" s="6"/>
      <c r="HU374" s="6"/>
    </row>
    <row r="375" spans="9:229"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BV375" s="6"/>
      <c r="BW375" s="6"/>
      <c r="BX375" s="6"/>
      <c r="BY375" s="6"/>
      <c r="BZ375" s="6"/>
      <c r="CA375" s="6"/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6"/>
      <c r="CV375" s="6"/>
      <c r="CW375" s="6"/>
      <c r="CX375" s="6"/>
      <c r="CY375" s="6"/>
      <c r="CZ375" s="6"/>
      <c r="DA375" s="6"/>
      <c r="DB375" s="6"/>
      <c r="DC375" s="6"/>
      <c r="DD375" s="6"/>
      <c r="DE375" s="6"/>
      <c r="DF375" s="6"/>
      <c r="DG375" s="6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  <c r="ER375" s="6"/>
      <c r="ES375" s="6"/>
      <c r="ET375" s="6"/>
      <c r="EU375" s="6"/>
      <c r="EV375" s="6"/>
      <c r="EW375" s="6"/>
      <c r="EX375" s="6"/>
      <c r="EY375" s="6"/>
      <c r="EZ375" s="6"/>
      <c r="FA375" s="6"/>
      <c r="FB375" s="6"/>
      <c r="FC375" s="6"/>
      <c r="FD375" s="6"/>
      <c r="FE375" s="6"/>
      <c r="FF375" s="6"/>
      <c r="FG375" s="6"/>
      <c r="FH375" s="6"/>
      <c r="FI375" s="6"/>
      <c r="FJ375" s="6"/>
      <c r="FK375" s="6"/>
      <c r="FL375" s="6"/>
      <c r="FM375" s="6"/>
      <c r="FN375" s="6"/>
      <c r="FO375" s="6"/>
      <c r="FP375" s="6"/>
      <c r="FQ375" s="6"/>
      <c r="FR375" s="6"/>
      <c r="FS375" s="6"/>
      <c r="FT375" s="6"/>
      <c r="FU375" s="6"/>
      <c r="FV375" s="6"/>
      <c r="FW375" s="6"/>
      <c r="FX375" s="6"/>
      <c r="FY375" s="6"/>
      <c r="FZ375" s="6"/>
      <c r="GA375" s="6"/>
      <c r="GB375" s="6"/>
      <c r="GC375" s="6"/>
      <c r="GD375" s="6"/>
      <c r="GE375" s="6"/>
      <c r="GF375" s="6"/>
      <c r="GG375" s="6"/>
      <c r="GH375" s="6"/>
      <c r="GI375" s="6"/>
      <c r="GJ375" s="6"/>
      <c r="GK375" s="6"/>
      <c r="GL375" s="6"/>
      <c r="GM375" s="6"/>
      <c r="GN375" s="6"/>
      <c r="GO375" s="6"/>
      <c r="GP375" s="6"/>
      <c r="GQ375" s="6"/>
      <c r="GR375" s="6"/>
      <c r="GS375" s="6"/>
      <c r="GT375" s="6"/>
      <c r="GU375" s="6"/>
      <c r="GV375" s="6"/>
      <c r="GW375" s="6"/>
      <c r="GX375" s="6"/>
      <c r="GY375" s="6"/>
      <c r="GZ375" s="6"/>
      <c r="HA375" s="6"/>
      <c r="HB375" s="6"/>
      <c r="HC375" s="6"/>
      <c r="HD375" s="6"/>
      <c r="HE375" s="6"/>
      <c r="HF375" s="6"/>
      <c r="HG375" s="6"/>
      <c r="HH375" s="6"/>
      <c r="HI375" s="6"/>
      <c r="HJ375" s="6"/>
      <c r="HK375" s="6"/>
      <c r="HL375" s="6"/>
      <c r="HM375" s="6"/>
      <c r="HN375" s="6"/>
      <c r="HO375" s="6"/>
      <c r="HP375" s="6"/>
      <c r="HQ375" s="6"/>
      <c r="HR375" s="6"/>
      <c r="HS375" s="6"/>
      <c r="HT375" s="6"/>
      <c r="HU375" s="6"/>
    </row>
    <row r="376" spans="9:229"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BV376" s="6"/>
      <c r="BW376" s="6"/>
      <c r="BX376" s="6"/>
      <c r="BY376" s="6"/>
      <c r="BZ376" s="6"/>
      <c r="CA376" s="6"/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6"/>
      <c r="CV376" s="6"/>
      <c r="CW376" s="6"/>
      <c r="CX376" s="6"/>
      <c r="CY376" s="6"/>
      <c r="CZ376" s="6"/>
      <c r="DA376" s="6"/>
      <c r="DB376" s="6"/>
      <c r="DC376" s="6"/>
      <c r="DD376" s="6"/>
      <c r="DE376" s="6"/>
      <c r="DF376" s="6"/>
      <c r="DG376" s="6"/>
      <c r="DH376" s="6"/>
      <c r="DI376" s="6"/>
      <c r="DJ376" s="6"/>
      <c r="DK376" s="6"/>
      <c r="DL376" s="6"/>
      <c r="DM376" s="6"/>
      <c r="DN376" s="6"/>
      <c r="DO376" s="6"/>
      <c r="DP376" s="6"/>
      <c r="DQ376" s="6"/>
      <c r="DR376" s="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  <c r="ER376" s="6"/>
      <c r="ES376" s="6"/>
      <c r="ET376" s="6"/>
      <c r="EU376" s="6"/>
      <c r="EV376" s="6"/>
      <c r="EW376" s="6"/>
      <c r="EX376" s="6"/>
      <c r="EY376" s="6"/>
      <c r="EZ376" s="6"/>
      <c r="FA376" s="6"/>
      <c r="FB376" s="6"/>
      <c r="FC376" s="6"/>
      <c r="FD376" s="6"/>
      <c r="FE376" s="6"/>
      <c r="FF376" s="6"/>
      <c r="FG376" s="6"/>
      <c r="FH376" s="6"/>
      <c r="FI376" s="6"/>
      <c r="FJ376" s="6"/>
      <c r="FK376" s="6"/>
      <c r="FL376" s="6"/>
      <c r="FM376" s="6"/>
      <c r="FN376" s="6"/>
      <c r="FO376" s="6"/>
      <c r="FP376" s="6"/>
      <c r="FQ376" s="6"/>
      <c r="FR376" s="6"/>
      <c r="FS376" s="6"/>
      <c r="FT376" s="6"/>
      <c r="FU376" s="6"/>
      <c r="FV376" s="6"/>
      <c r="FW376" s="6"/>
      <c r="FX376" s="6"/>
      <c r="FY376" s="6"/>
      <c r="FZ376" s="6"/>
      <c r="GA376" s="6"/>
      <c r="GB376" s="6"/>
      <c r="GC376" s="6"/>
      <c r="GD376" s="6"/>
      <c r="GE376" s="6"/>
      <c r="GF376" s="6"/>
      <c r="GG376" s="6"/>
      <c r="GH376" s="6"/>
      <c r="GI376" s="6"/>
      <c r="GJ376" s="6"/>
      <c r="GK376" s="6"/>
      <c r="GL376" s="6"/>
      <c r="GM376" s="6"/>
      <c r="GN376" s="6"/>
      <c r="GO376" s="6"/>
      <c r="GP376" s="6"/>
      <c r="GQ376" s="6"/>
      <c r="GR376" s="6"/>
      <c r="GS376" s="6"/>
      <c r="GT376" s="6"/>
      <c r="GU376" s="6"/>
      <c r="GV376" s="6"/>
      <c r="GW376" s="6"/>
      <c r="GX376" s="6"/>
      <c r="GY376" s="6"/>
      <c r="GZ376" s="6"/>
      <c r="HA376" s="6"/>
      <c r="HB376" s="6"/>
      <c r="HC376" s="6"/>
      <c r="HD376" s="6"/>
      <c r="HE376" s="6"/>
      <c r="HF376" s="6"/>
      <c r="HG376" s="6"/>
      <c r="HH376" s="6"/>
      <c r="HI376" s="6"/>
      <c r="HJ376" s="6"/>
      <c r="HK376" s="6"/>
      <c r="HL376" s="6"/>
      <c r="HM376" s="6"/>
      <c r="HN376" s="6"/>
      <c r="HO376" s="6"/>
      <c r="HP376" s="6"/>
      <c r="HQ376" s="6"/>
      <c r="HR376" s="6"/>
      <c r="HS376" s="6"/>
      <c r="HT376" s="6"/>
      <c r="HU376" s="6"/>
    </row>
    <row r="377" spans="9:229"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6"/>
      <c r="CV377" s="6"/>
      <c r="CW377" s="6"/>
      <c r="CX377" s="6"/>
      <c r="CY377" s="6"/>
      <c r="CZ377" s="6"/>
      <c r="DA377" s="6"/>
      <c r="DB377" s="6"/>
      <c r="DC377" s="6"/>
      <c r="DD377" s="6"/>
      <c r="DE377" s="6"/>
      <c r="DF377" s="6"/>
      <c r="DG377" s="6"/>
      <c r="DH377" s="6"/>
      <c r="DI377" s="6"/>
      <c r="DJ377" s="6"/>
      <c r="DK377" s="6"/>
      <c r="DL377" s="6"/>
      <c r="DM377" s="6"/>
      <c r="DN377" s="6"/>
      <c r="DO377" s="6"/>
      <c r="DP377" s="6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  <c r="ER377" s="6"/>
      <c r="ES377" s="6"/>
      <c r="ET377" s="6"/>
      <c r="EU377" s="6"/>
      <c r="EV377" s="6"/>
      <c r="EW377" s="6"/>
      <c r="EX377" s="6"/>
      <c r="EY377" s="6"/>
      <c r="EZ377" s="6"/>
      <c r="FA377" s="6"/>
      <c r="FB377" s="6"/>
      <c r="FC377" s="6"/>
      <c r="FD377" s="6"/>
      <c r="FE377" s="6"/>
      <c r="FF377" s="6"/>
      <c r="FG377" s="6"/>
      <c r="FH377" s="6"/>
      <c r="FI377" s="6"/>
      <c r="FJ377" s="6"/>
      <c r="FK377" s="6"/>
      <c r="FL377" s="6"/>
      <c r="FM377" s="6"/>
      <c r="FN377" s="6"/>
      <c r="FO377" s="6"/>
      <c r="FP377" s="6"/>
      <c r="FQ377" s="6"/>
      <c r="FR377" s="6"/>
      <c r="FS377" s="6"/>
      <c r="FT377" s="6"/>
      <c r="FU377" s="6"/>
      <c r="FV377" s="6"/>
      <c r="FW377" s="6"/>
      <c r="FX377" s="6"/>
      <c r="FY377" s="6"/>
      <c r="FZ377" s="6"/>
      <c r="GA377" s="6"/>
      <c r="GB377" s="6"/>
      <c r="GC377" s="6"/>
      <c r="GD377" s="6"/>
      <c r="GE377" s="6"/>
      <c r="GF377" s="6"/>
      <c r="GG377" s="6"/>
      <c r="GH377" s="6"/>
      <c r="GI377" s="6"/>
      <c r="GJ377" s="6"/>
      <c r="GK377" s="6"/>
      <c r="GL377" s="6"/>
      <c r="GM377" s="6"/>
      <c r="GN377" s="6"/>
      <c r="GO377" s="6"/>
      <c r="GP377" s="6"/>
      <c r="GQ377" s="6"/>
      <c r="GR377" s="6"/>
      <c r="GS377" s="6"/>
      <c r="GT377" s="6"/>
      <c r="GU377" s="6"/>
      <c r="GV377" s="6"/>
      <c r="GW377" s="6"/>
      <c r="GX377" s="6"/>
      <c r="GY377" s="6"/>
      <c r="GZ377" s="6"/>
      <c r="HA377" s="6"/>
      <c r="HB377" s="6"/>
      <c r="HC377" s="6"/>
      <c r="HD377" s="6"/>
      <c r="HE377" s="6"/>
      <c r="HF377" s="6"/>
      <c r="HG377" s="6"/>
      <c r="HH377" s="6"/>
      <c r="HI377" s="6"/>
      <c r="HJ377" s="6"/>
      <c r="HK377" s="6"/>
      <c r="HL377" s="6"/>
      <c r="HM377" s="6"/>
      <c r="HN377" s="6"/>
      <c r="HO377" s="6"/>
      <c r="HP377" s="6"/>
      <c r="HQ377" s="6"/>
      <c r="HR377" s="6"/>
      <c r="HS377" s="6"/>
      <c r="HT377" s="6"/>
      <c r="HU377" s="6"/>
    </row>
    <row r="378" spans="9:229"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6"/>
      <c r="CV378" s="6"/>
      <c r="CW378" s="6"/>
      <c r="CX378" s="6"/>
      <c r="CY378" s="6"/>
      <c r="CZ378" s="6"/>
      <c r="DA378" s="6"/>
      <c r="DB378" s="6"/>
      <c r="DC378" s="6"/>
      <c r="DD378" s="6"/>
      <c r="DE378" s="6"/>
      <c r="DF378" s="6"/>
      <c r="DG378" s="6"/>
      <c r="DH378" s="6"/>
      <c r="DI378" s="6"/>
      <c r="DJ378" s="6"/>
      <c r="DK378" s="6"/>
      <c r="DL378" s="6"/>
      <c r="DM378" s="6"/>
      <c r="DN378" s="6"/>
      <c r="DO378" s="6"/>
      <c r="DP378" s="6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  <c r="ER378" s="6"/>
      <c r="ES378" s="6"/>
      <c r="ET378" s="6"/>
      <c r="EU378" s="6"/>
      <c r="EV378" s="6"/>
      <c r="EW378" s="6"/>
      <c r="EX378" s="6"/>
      <c r="EY378" s="6"/>
      <c r="EZ378" s="6"/>
      <c r="FA378" s="6"/>
      <c r="FB378" s="6"/>
      <c r="FC378" s="6"/>
      <c r="FD378" s="6"/>
      <c r="FE378" s="6"/>
      <c r="FF378" s="6"/>
      <c r="FG378" s="6"/>
      <c r="FH378" s="6"/>
      <c r="FI378" s="6"/>
      <c r="FJ378" s="6"/>
      <c r="FK378" s="6"/>
      <c r="FL378" s="6"/>
      <c r="FM378" s="6"/>
      <c r="FN378" s="6"/>
      <c r="FO378" s="6"/>
      <c r="FP378" s="6"/>
      <c r="FQ378" s="6"/>
      <c r="FR378" s="6"/>
      <c r="FS378" s="6"/>
      <c r="FT378" s="6"/>
      <c r="FU378" s="6"/>
      <c r="FV378" s="6"/>
      <c r="FW378" s="6"/>
      <c r="FX378" s="6"/>
      <c r="FY378" s="6"/>
      <c r="FZ378" s="6"/>
      <c r="GA378" s="6"/>
      <c r="GB378" s="6"/>
      <c r="GC378" s="6"/>
      <c r="GD378" s="6"/>
      <c r="GE378" s="6"/>
      <c r="GF378" s="6"/>
      <c r="GG378" s="6"/>
      <c r="GH378" s="6"/>
      <c r="GI378" s="6"/>
      <c r="GJ378" s="6"/>
      <c r="GK378" s="6"/>
      <c r="GL378" s="6"/>
      <c r="GM378" s="6"/>
      <c r="GN378" s="6"/>
      <c r="GO378" s="6"/>
      <c r="GP378" s="6"/>
      <c r="GQ378" s="6"/>
      <c r="GR378" s="6"/>
      <c r="GS378" s="6"/>
      <c r="GT378" s="6"/>
      <c r="GU378" s="6"/>
      <c r="GV378" s="6"/>
      <c r="GW378" s="6"/>
      <c r="GX378" s="6"/>
      <c r="GY378" s="6"/>
      <c r="GZ378" s="6"/>
      <c r="HA378" s="6"/>
      <c r="HB378" s="6"/>
      <c r="HC378" s="6"/>
      <c r="HD378" s="6"/>
      <c r="HE378" s="6"/>
      <c r="HF378" s="6"/>
      <c r="HG378" s="6"/>
      <c r="HH378" s="6"/>
      <c r="HI378" s="6"/>
      <c r="HJ378" s="6"/>
      <c r="HK378" s="6"/>
      <c r="HL378" s="6"/>
      <c r="HM378" s="6"/>
      <c r="HN378" s="6"/>
      <c r="HO378" s="6"/>
      <c r="HP378" s="6"/>
      <c r="HQ378" s="6"/>
      <c r="HR378" s="6"/>
      <c r="HS378" s="6"/>
      <c r="HT378" s="6"/>
      <c r="HU378" s="6"/>
    </row>
    <row r="379" spans="9:229"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6"/>
      <c r="CV379" s="6"/>
      <c r="CW379" s="6"/>
      <c r="CX379" s="6"/>
      <c r="CY379" s="6"/>
      <c r="CZ379" s="6"/>
      <c r="DA379" s="6"/>
      <c r="DB379" s="6"/>
      <c r="DC379" s="6"/>
      <c r="DD379" s="6"/>
      <c r="DE379" s="6"/>
      <c r="DF379" s="6"/>
      <c r="DG379" s="6"/>
      <c r="DH379" s="6"/>
      <c r="DI379" s="6"/>
      <c r="DJ379" s="6"/>
      <c r="DK379" s="6"/>
      <c r="DL379" s="6"/>
      <c r="DM379" s="6"/>
      <c r="DN379" s="6"/>
      <c r="DO379" s="6"/>
      <c r="DP379" s="6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  <c r="ER379" s="6"/>
      <c r="ES379" s="6"/>
      <c r="ET379" s="6"/>
      <c r="EU379" s="6"/>
      <c r="EV379" s="6"/>
      <c r="EW379" s="6"/>
      <c r="EX379" s="6"/>
      <c r="EY379" s="6"/>
      <c r="EZ379" s="6"/>
      <c r="FA379" s="6"/>
      <c r="FB379" s="6"/>
      <c r="FC379" s="6"/>
      <c r="FD379" s="6"/>
      <c r="FE379" s="6"/>
      <c r="FF379" s="6"/>
      <c r="FG379" s="6"/>
      <c r="FH379" s="6"/>
      <c r="FI379" s="6"/>
      <c r="FJ379" s="6"/>
      <c r="FK379" s="6"/>
      <c r="FL379" s="6"/>
      <c r="FM379" s="6"/>
      <c r="FN379" s="6"/>
      <c r="FO379" s="6"/>
      <c r="FP379" s="6"/>
      <c r="FQ379" s="6"/>
      <c r="FR379" s="6"/>
      <c r="FS379" s="6"/>
      <c r="FT379" s="6"/>
      <c r="FU379" s="6"/>
      <c r="FV379" s="6"/>
      <c r="FW379" s="6"/>
      <c r="FX379" s="6"/>
      <c r="FY379" s="6"/>
      <c r="FZ379" s="6"/>
      <c r="GA379" s="6"/>
      <c r="GB379" s="6"/>
      <c r="GC379" s="6"/>
      <c r="GD379" s="6"/>
      <c r="GE379" s="6"/>
      <c r="GF379" s="6"/>
      <c r="GG379" s="6"/>
      <c r="GH379" s="6"/>
      <c r="GI379" s="6"/>
      <c r="GJ379" s="6"/>
      <c r="GK379" s="6"/>
      <c r="GL379" s="6"/>
      <c r="GM379" s="6"/>
      <c r="GN379" s="6"/>
      <c r="GO379" s="6"/>
      <c r="GP379" s="6"/>
      <c r="GQ379" s="6"/>
      <c r="GR379" s="6"/>
      <c r="GS379" s="6"/>
      <c r="GT379" s="6"/>
      <c r="GU379" s="6"/>
      <c r="GV379" s="6"/>
      <c r="GW379" s="6"/>
      <c r="GX379" s="6"/>
      <c r="GY379" s="6"/>
      <c r="GZ379" s="6"/>
      <c r="HA379" s="6"/>
      <c r="HB379" s="6"/>
      <c r="HC379" s="6"/>
      <c r="HD379" s="6"/>
      <c r="HE379" s="6"/>
      <c r="HF379" s="6"/>
      <c r="HG379" s="6"/>
      <c r="HH379" s="6"/>
      <c r="HI379" s="6"/>
      <c r="HJ379" s="6"/>
      <c r="HK379" s="6"/>
      <c r="HL379" s="6"/>
      <c r="HM379" s="6"/>
      <c r="HN379" s="6"/>
      <c r="HO379" s="6"/>
      <c r="HP379" s="6"/>
      <c r="HQ379" s="6"/>
      <c r="HR379" s="6"/>
      <c r="HS379" s="6"/>
      <c r="HT379" s="6"/>
      <c r="HU379" s="6"/>
    </row>
    <row r="380" spans="9:229"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6"/>
      <c r="CV380" s="6"/>
      <c r="CW380" s="6"/>
      <c r="CX380" s="6"/>
      <c r="CY380" s="6"/>
      <c r="CZ380" s="6"/>
      <c r="DA380" s="6"/>
      <c r="DB380" s="6"/>
      <c r="DC380" s="6"/>
      <c r="DD380" s="6"/>
      <c r="DE380" s="6"/>
      <c r="DF380" s="6"/>
      <c r="DG380" s="6"/>
      <c r="DH380" s="6"/>
      <c r="DI380" s="6"/>
      <c r="DJ380" s="6"/>
      <c r="DK380" s="6"/>
      <c r="DL380" s="6"/>
      <c r="DM380" s="6"/>
      <c r="DN380" s="6"/>
      <c r="DO380" s="6"/>
      <c r="DP380" s="6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6"/>
      <c r="FE380" s="6"/>
      <c r="FF380" s="6"/>
      <c r="FG380" s="6"/>
      <c r="FH380" s="6"/>
      <c r="FI380" s="6"/>
      <c r="FJ380" s="6"/>
      <c r="FK380" s="6"/>
      <c r="FL380" s="6"/>
      <c r="FM380" s="6"/>
      <c r="FN380" s="6"/>
      <c r="FO380" s="6"/>
      <c r="FP380" s="6"/>
      <c r="FQ380" s="6"/>
      <c r="FR380" s="6"/>
      <c r="FS380" s="6"/>
      <c r="FT380" s="6"/>
      <c r="FU380" s="6"/>
      <c r="FV380" s="6"/>
      <c r="FW380" s="6"/>
      <c r="FX380" s="6"/>
      <c r="FY380" s="6"/>
      <c r="FZ380" s="6"/>
      <c r="GA380" s="6"/>
      <c r="GB380" s="6"/>
      <c r="GC380" s="6"/>
      <c r="GD380" s="6"/>
      <c r="GE380" s="6"/>
      <c r="GF380" s="6"/>
      <c r="GG380" s="6"/>
      <c r="GH380" s="6"/>
      <c r="GI380" s="6"/>
      <c r="GJ380" s="6"/>
      <c r="GK380" s="6"/>
      <c r="GL380" s="6"/>
      <c r="GM380" s="6"/>
      <c r="GN380" s="6"/>
      <c r="GO380" s="6"/>
      <c r="GP380" s="6"/>
      <c r="GQ380" s="6"/>
      <c r="GR380" s="6"/>
      <c r="GS380" s="6"/>
      <c r="GT380" s="6"/>
      <c r="GU380" s="6"/>
      <c r="GV380" s="6"/>
      <c r="GW380" s="6"/>
      <c r="GX380" s="6"/>
      <c r="GY380" s="6"/>
      <c r="GZ380" s="6"/>
      <c r="HA380" s="6"/>
      <c r="HB380" s="6"/>
      <c r="HC380" s="6"/>
      <c r="HD380" s="6"/>
      <c r="HE380" s="6"/>
      <c r="HF380" s="6"/>
      <c r="HG380" s="6"/>
      <c r="HH380" s="6"/>
      <c r="HI380" s="6"/>
      <c r="HJ380" s="6"/>
      <c r="HK380" s="6"/>
      <c r="HL380" s="6"/>
      <c r="HM380" s="6"/>
      <c r="HN380" s="6"/>
      <c r="HO380" s="6"/>
      <c r="HP380" s="6"/>
      <c r="HQ380" s="6"/>
      <c r="HR380" s="6"/>
      <c r="HS380" s="6"/>
      <c r="HT380" s="6"/>
      <c r="HU380" s="6"/>
    </row>
    <row r="381" spans="9:229"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BV381" s="6"/>
      <c r="BW381" s="6"/>
      <c r="BX381" s="6"/>
      <c r="BY381" s="6"/>
      <c r="BZ381" s="6"/>
      <c r="CA381" s="6"/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6"/>
      <c r="CV381" s="6"/>
      <c r="CW381" s="6"/>
      <c r="CX381" s="6"/>
      <c r="CY381" s="6"/>
      <c r="CZ381" s="6"/>
      <c r="DA381" s="6"/>
      <c r="DB381" s="6"/>
      <c r="DC381" s="6"/>
      <c r="DD381" s="6"/>
      <c r="DE381" s="6"/>
      <c r="DF381" s="6"/>
      <c r="DG381" s="6"/>
      <c r="DH381" s="6"/>
      <c r="DI381" s="6"/>
      <c r="DJ381" s="6"/>
      <c r="DK381" s="6"/>
      <c r="DL381" s="6"/>
      <c r="DM381" s="6"/>
      <c r="DN381" s="6"/>
      <c r="DO381" s="6"/>
      <c r="DP381" s="6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  <c r="ER381" s="6"/>
      <c r="ES381" s="6"/>
      <c r="ET381" s="6"/>
      <c r="EU381" s="6"/>
      <c r="EV381" s="6"/>
      <c r="EW381" s="6"/>
      <c r="EX381" s="6"/>
      <c r="EY381" s="6"/>
      <c r="EZ381" s="6"/>
      <c r="FA381" s="6"/>
      <c r="FB381" s="6"/>
      <c r="FC381" s="6"/>
      <c r="FD381" s="6"/>
      <c r="FE381" s="6"/>
      <c r="FF381" s="6"/>
      <c r="FG381" s="6"/>
      <c r="FH381" s="6"/>
      <c r="FI381" s="6"/>
      <c r="FJ381" s="6"/>
      <c r="FK381" s="6"/>
      <c r="FL381" s="6"/>
      <c r="FM381" s="6"/>
      <c r="FN381" s="6"/>
      <c r="FO381" s="6"/>
      <c r="FP381" s="6"/>
      <c r="FQ381" s="6"/>
      <c r="FR381" s="6"/>
      <c r="FS381" s="6"/>
      <c r="FT381" s="6"/>
      <c r="FU381" s="6"/>
      <c r="FV381" s="6"/>
      <c r="FW381" s="6"/>
      <c r="FX381" s="6"/>
      <c r="FY381" s="6"/>
      <c r="FZ381" s="6"/>
      <c r="GA381" s="6"/>
      <c r="GB381" s="6"/>
      <c r="GC381" s="6"/>
      <c r="GD381" s="6"/>
      <c r="GE381" s="6"/>
      <c r="GF381" s="6"/>
      <c r="GG381" s="6"/>
      <c r="GH381" s="6"/>
      <c r="GI381" s="6"/>
      <c r="GJ381" s="6"/>
      <c r="GK381" s="6"/>
      <c r="GL381" s="6"/>
      <c r="GM381" s="6"/>
      <c r="GN381" s="6"/>
      <c r="GO381" s="6"/>
      <c r="GP381" s="6"/>
      <c r="GQ381" s="6"/>
      <c r="GR381" s="6"/>
      <c r="GS381" s="6"/>
      <c r="GT381" s="6"/>
      <c r="GU381" s="6"/>
      <c r="GV381" s="6"/>
      <c r="GW381" s="6"/>
      <c r="GX381" s="6"/>
      <c r="GY381" s="6"/>
      <c r="GZ381" s="6"/>
      <c r="HA381" s="6"/>
      <c r="HB381" s="6"/>
      <c r="HC381" s="6"/>
      <c r="HD381" s="6"/>
      <c r="HE381" s="6"/>
      <c r="HF381" s="6"/>
      <c r="HG381" s="6"/>
      <c r="HH381" s="6"/>
      <c r="HI381" s="6"/>
      <c r="HJ381" s="6"/>
      <c r="HK381" s="6"/>
      <c r="HL381" s="6"/>
      <c r="HM381" s="6"/>
      <c r="HN381" s="6"/>
      <c r="HO381" s="6"/>
      <c r="HP381" s="6"/>
      <c r="HQ381" s="6"/>
      <c r="HR381" s="6"/>
      <c r="HS381" s="6"/>
      <c r="HT381" s="6"/>
      <c r="HU381" s="6"/>
    </row>
    <row r="382" spans="9:229"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BV382" s="6"/>
      <c r="BW382" s="6"/>
      <c r="BX382" s="6"/>
      <c r="BY382" s="6"/>
      <c r="BZ382" s="6"/>
      <c r="CA382" s="6"/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6"/>
      <c r="CW382" s="6"/>
      <c r="CX382" s="6"/>
      <c r="CY382" s="6"/>
      <c r="CZ382" s="6"/>
      <c r="DA382" s="6"/>
      <c r="DB382" s="6"/>
      <c r="DC382" s="6"/>
      <c r="DD382" s="6"/>
      <c r="DE382" s="6"/>
      <c r="DF382" s="6"/>
      <c r="DG382" s="6"/>
      <c r="DH382" s="6"/>
      <c r="DI382" s="6"/>
      <c r="DJ382" s="6"/>
      <c r="DK382" s="6"/>
      <c r="DL382" s="6"/>
      <c r="DM382" s="6"/>
      <c r="DN382" s="6"/>
      <c r="DO382" s="6"/>
      <c r="DP382" s="6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  <c r="ER382" s="6"/>
      <c r="ES382" s="6"/>
      <c r="ET382" s="6"/>
      <c r="EU382" s="6"/>
      <c r="EV382" s="6"/>
      <c r="EW382" s="6"/>
      <c r="EX382" s="6"/>
      <c r="EY382" s="6"/>
      <c r="EZ382" s="6"/>
      <c r="FA382" s="6"/>
      <c r="FB382" s="6"/>
      <c r="FC382" s="6"/>
      <c r="FD382" s="6"/>
      <c r="FE382" s="6"/>
      <c r="FF382" s="6"/>
      <c r="FG382" s="6"/>
      <c r="FH382" s="6"/>
      <c r="FI382" s="6"/>
      <c r="FJ382" s="6"/>
      <c r="FK382" s="6"/>
      <c r="FL382" s="6"/>
      <c r="FM382" s="6"/>
      <c r="FN382" s="6"/>
      <c r="FO382" s="6"/>
      <c r="FP382" s="6"/>
      <c r="FQ382" s="6"/>
      <c r="FR382" s="6"/>
      <c r="FS382" s="6"/>
      <c r="FT382" s="6"/>
      <c r="FU382" s="6"/>
      <c r="FV382" s="6"/>
      <c r="FW382" s="6"/>
      <c r="FX382" s="6"/>
      <c r="FY382" s="6"/>
      <c r="FZ382" s="6"/>
      <c r="GA382" s="6"/>
      <c r="GB382" s="6"/>
      <c r="GC382" s="6"/>
      <c r="GD382" s="6"/>
      <c r="GE382" s="6"/>
      <c r="GF382" s="6"/>
      <c r="GG382" s="6"/>
      <c r="GH382" s="6"/>
      <c r="GI382" s="6"/>
      <c r="GJ382" s="6"/>
      <c r="GK382" s="6"/>
      <c r="GL382" s="6"/>
      <c r="GM382" s="6"/>
      <c r="GN382" s="6"/>
      <c r="GO382" s="6"/>
      <c r="GP382" s="6"/>
      <c r="GQ382" s="6"/>
      <c r="GR382" s="6"/>
      <c r="GS382" s="6"/>
      <c r="GT382" s="6"/>
      <c r="GU382" s="6"/>
      <c r="GV382" s="6"/>
      <c r="GW382" s="6"/>
      <c r="GX382" s="6"/>
      <c r="GY382" s="6"/>
      <c r="GZ382" s="6"/>
      <c r="HA382" s="6"/>
      <c r="HB382" s="6"/>
      <c r="HC382" s="6"/>
      <c r="HD382" s="6"/>
      <c r="HE382" s="6"/>
      <c r="HF382" s="6"/>
      <c r="HG382" s="6"/>
      <c r="HH382" s="6"/>
      <c r="HI382" s="6"/>
      <c r="HJ382" s="6"/>
      <c r="HK382" s="6"/>
      <c r="HL382" s="6"/>
      <c r="HM382" s="6"/>
      <c r="HN382" s="6"/>
      <c r="HO382" s="6"/>
      <c r="HP382" s="6"/>
      <c r="HQ382" s="6"/>
      <c r="HR382" s="6"/>
      <c r="HS382" s="6"/>
      <c r="HT382" s="6"/>
      <c r="HU382" s="6"/>
    </row>
    <row r="383" spans="9:229"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BV383" s="6"/>
      <c r="BW383" s="6"/>
      <c r="BX383" s="6"/>
      <c r="BY383" s="6"/>
      <c r="BZ383" s="6"/>
      <c r="CA383" s="6"/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6"/>
      <c r="CW383" s="6"/>
      <c r="CX383" s="6"/>
      <c r="CY383" s="6"/>
      <c r="CZ383" s="6"/>
      <c r="DA383" s="6"/>
      <c r="DB383" s="6"/>
      <c r="DC383" s="6"/>
      <c r="DD383" s="6"/>
      <c r="DE383" s="6"/>
      <c r="DF383" s="6"/>
      <c r="DG383" s="6"/>
      <c r="DH383" s="6"/>
      <c r="DI383" s="6"/>
      <c r="DJ383" s="6"/>
      <c r="DK383" s="6"/>
      <c r="DL383" s="6"/>
      <c r="DM383" s="6"/>
      <c r="DN383" s="6"/>
      <c r="DO383" s="6"/>
      <c r="DP383" s="6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  <c r="ER383" s="6"/>
      <c r="ES383" s="6"/>
      <c r="ET383" s="6"/>
      <c r="EU383" s="6"/>
      <c r="EV383" s="6"/>
      <c r="EW383" s="6"/>
      <c r="EX383" s="6"/>
      <c r="EY383" s="6"/>
      <c r="EZ383" s="6"/>
      <c r="FA383" s="6"/>
      <c r="FB383" s="6"/>
      <c r="FC383" s="6"/>
      <c r="FD383" s="6"/>
      <c r="FE383" s="6"/>
      <c r="FF383" s="6"/>
      <c r="FG383" s="6"/>
      <c r="FH383" s="6"/>
      <c r="FI383" s="6"/>
      <c r="FJ383" s="6"/>
      <c r="FK383" s="6"/>
      <c r="FL383" s="6"/>
      <c r="FM383" s="6"/>
      <c r="FN383" s="6"/>
      <c r="FO383" s="6"/>
      <c r="FP383" s="6"/>
      <c r="FQ383" s="6"/>
      <c r="FR383" s="6"/>
      <c r="FS383" s="6"/>
      <c r="FT383" s="6"/>
      <c r="FU383" s="6"/>
      <c r="FV383" s="6"/>
      <c r="FW383" s="6"/>
      <c r="FX383" s="6"/>
      <c r="FY383" s="6"/>
      <c r="FZ383" s="6"/>
      <c r="GA383" s="6"/>
      <c r="GB383" s="6"/>
      <c r="GC383" s="6"/>
      <c r="GD383" s="6"/>
      <c r="GE383" s="6"/>
      <c r="GF383" s="6"/>
      <c r="GG383" s="6"/>
      <c r="GH383" s="6"/>
      <c r="GI383" s="6"/>
      <c r="GJ383" s="6"/>
      <c r="GK383" s="6"/>
      <c r="GL383" s="6"/>
      <c r="GM383" s="6"/>
      <c r="GN383" s="6"/>
      <c r="GO383" s="6"/>
      <c r="GP383" s="6"/>
      <c r="GQ383" s="6"/>
      <c r="GR383" s="6"/>
      <c r="GS383" s="6"/>
      <c r="GT383" s="6"/>
      <c r="GU383" s="6"/>
      <c r="GV383" s="6"/>
      <c r="GW383" s="6"/>
      <c r="GX383" s="6"/>
      <c r="GY383" s="6"/>
      <c r="GZ383" s="6"/>
      <c r="HA383" s="6"/>
      <c r="HB383" s="6"/>
      <c r="HC383" s="6"/>
      <c r="HD383" s="6"/>
      <c r="HE383" s="6"/>
      <c r="HF383" s="6"/>
      <c r="HG383" s="6"/>
      <c r="HH383" s="6"/>
      <c r="HI383" s="6"/>
      <c r="HJ383" s="6"/>
      <c r="HK383" s="6"/>
      <c r="HL383" s="6"/>
      <c r="HM383" s="6"/>
      <c r="HN383" s="6"/>
      <c r="HO383" s="6"/>
      <c r="HP383" s="6"/>
      <c r="HQ383" s="6"/>
      <c r="HR383" s="6"/>
      <c r="HS383" s="6"/>
      <c r="HT383" s="6"/>
      <c r="HU383" s="6"/>
    </row>
    <row r="384" spans="9:229"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BV384" s="6"/>
      <c r="BW384" s="6"/>
      <c r="BX384" s="6"/>
      <c r="BY384" s="6"/>
      <c r="BZ384" s="6"/>
      <c r="CA384" s="6"/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6"/>
      <c r="CW384" s="6"/>
      <c r="CX384" s="6"/>
      <c r="CY384" s="6"/>
      <c r="CZ384" s="6"/>
      <c r="DA384" s="6"/>
      <c r="DB384" s="6"/>
      <c r="DC384" s="6"/>
      <c r="DD384" s="6"/>
      <c r="DE384" s="6"/>
      <c r="DF384" s="6"/>
      <c r="DG384" s="6"/>
      <c r="DH384" s="6"/>
      <c r="DI384" s="6"/>
      <c r="DJ384" s="6"/>
      <c r="DK384" s="6"/>
      <c r="DL384" s="6"/>
      <c r="DM384" s="6"/>
      <c r="DN384" s="6"/>
      <c r="DO384" s="6"/>
      <c r="DP384" s="6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  <c r="ER384" s="6"/>
      <c r="ES384" s="6"/>
      <c r="ET384" s="6"/>
      <c r="EU384" s="6"/>
      <c r="EV384" s="6"/>
      <c r="EW384" s="6"/>
      <c r="EX384" s="6"/>
      <c r="EY384" s="6"/>
      <c r="EZ384" s="6"/>
      <c r="FA384" s="6"/>
      <c r="FB384" s="6"/>
      <c r="FC384" s="6"/>
      <c r="FD384" s="6"/>
      <c r="FE384" s="6"/>
      <c r="FF384" s="6"/>
      <c r="FG384" s="6"/>
      <c r="FH384" s="6"/>
      <c r="FI384" s="6"/>
      <c r="FJ384" s="6"/>
      <c r="FK384" s="6"/>
      <c r="FL384" s="6"/>
      <c r="FM384" s="6"/>
      <c r="FN384" s="6"/>
      <c r="FO384" s="6"/>
      <c r="FP384" s="6"/>
      <c r="FQ384" s="6"/>
      <c r="FR384" s="6"/>
      <c r="FS384" s="6"/>
      <c r="FT384" s="6"/>
      <c r="FU384" s="6"/>
      <c r="FV384" s="6"/>
      <c r="FW384" s="6"/>
      <c r="FX384" s="6"/>
      <c r="FY384" s="6"/>
      <c r="FZ384" s="6"/>
      <c r="GA384" s="6"/>
      <c r="GB384" s="6"/>
      <c r="GC384" s="6"/>
      <c r="GD384" s="6"/>
      <c r="GE384" s="6"/>
      <c r="GF384" s="6"/>
      <c r="GG384" s="6"/>
      <c r="GH384" s="6"/>
      <c r="GI384" s="6"/>
      <c r="GJ384" s="6"/>
      <c r="GK384" s="6"/>
      <c r="GL384" s="6"/>
      <c r="GM384" s="6"/>
      <c r="GN384" s="6"/>
      <c r="GO384" s="6"/>
      <c r="GP384" s="6"/>
      <c r="GQ384" s="6"/>
      <c r="GR384" s="6"/>
      <c r="GS384" s="6"/>
      <c r="GT384" s="6"/>
      <c r="GU384" s="6"/>
      <c r="GV384" s="6"/>
      <c r="GW384" s="6"/>
      <c r="GX384" s="6"/>
      <c r="GY384" s="6"/>
      <c r="GZ384" s="6"/>
      <c r="HA384" s="6"/>
      <c r="HB384" s="6"/>
      <c r="HC384" s="6"/>
      <c r="HD384" s="6"/>
      <c r="HE384" s="6"/>
      <c r="HF384" s="6"/>
      <c r="HG384" s="6"/>
      <c r="HH384" s="6"/>
      <c r="HI384" s="6"/>
      <c r="HJ384" s="6"/>
      <c r="HK384" s="6"/>
      <c r="HL384" s="6"/>
      <c r="HM384" s="6"/>
      <c r="HN384" s="6"/>
      <c r="HO384" s="6"/>
      <c r="HP384" s="6"/>
      <c r="HQ384" s="6"/>
      <c r="HR384" s="6"/>
      <c r="HS384" s="6"/>
      <c r="HT384" s="6"/>
      <c r="HU384" s="6"/>
    </row>
    <row r="385" spans="9:229"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6"/>
      <c r="CW385" s="6"/>
      <c r="CX385" s="6"/>
      <c r="CY385" s="6"/>
      <c r="CZ385" s="6"/>
      <c r="DA385" s="6"/>
      <c r="DB385" s="6"/>
      <c r="DC385" s="6"/>
      <c r="DD385" s="6"/>
      <c r="DE385" s="6"/>
      <c r="DF385" s="6"/>
      <c r="DG385" s="6"/>
      <c r="DH385" s="6"/>
      <c r="DI385" s="6"/>
      <c r="DJ385" s="6"/>
      <c r="DK385" s="6"/>
      <c r="DL385" s="6"/>
      <c r="DM385" s="6"/>
      <c r="DN385" s="6"/>
      <c r="DO385" s="6"/>
      <c r="DP385" s="6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  <c r="ER385" s="6"/>
      <c r="ES385" s="6"/>
      <c r="ET385" s="6"/>
      <c r="EU385" s="6"/>
      <c r="EV385" s="6"/>
      <c r="EW385" s="6"/>
      <c r="EX385" s="6"/>
      <c r="EY385" s="6"/>
      <c r="EZ385" s="6"/>
      <c r="FA385" s="6"/>
      <c r="FB385" s="6"/>
      <c r="FC385" s="6"/>
      <c r="FD385" s="6"/>
      <c r="FE385" s="6"/>
      <c r="FF385" s="6"/>
      <c r="FG385" s="6"/>
      <c r="FH385" s="6"/>
      <c r="FI385" s="6"/>
      <c r="FJ385" s="6"/>
      <c r="FK385" s="6"/>
      <c r="FL385" s="6"/>
      <c r="FM385" s="6"/>
      <c r="FN385" s="6"/>
      <c r="FO385" s="6"/>
      <c r="FP385" s="6"/>
      <c r="FQ385" s="6"/>
      <c r="FR385" s="6"/>
      <c r="FS385" s="6"/>
      <c r="FT385" s="6"/>
      <c r="FU385" s="6"/>
      <c r="FV385" s="6"/>
      <c r="FW385" s="6"/>
      <c r="FX385" s="6"/>
      <c r="FY385" s="6"/>
      <c r="FZ385" s="6"/>
      <c r="GA385" s="6"/>
      <c r="GB385" s="6"/>
      <c r="GC385" s="6"/>
      <c r="GD385" s="6"/>
      <c r="GE385" s="6"/>
      <c r="GF385" s="6"/>
      <c r="GG385" s="6"/>
      <c r="GH385" s="6"/>
      <c r="GI385" s="6"/>
      <c r="GJ385" s="6"/>
      <c r="GK385" s="6"/>
      <c r="GL385" s="6"/>
      <c r="GM385" s="6"/>
      <c r="GN385" s="6"/>
      <c r="GO385" s="6"/>
      <c r="GP385" s="6"/>
      <c r="GQ385" s="6"/>
      <c r="GR385" s="6"/>
      <c r="GS385" s="6"/>
      <c r="GT385" s="6"/>
      <c r="GU385" s="6"/>
      <c r="GV385" s="6"/>
      <c r="GW385" s="6"/>
      <c r="GX385" s="6"/>
      <c r="GY385" s="6"/>
      <c r="GZ385" s="6"/>
      <c r="HA385" s="6"/>
      <c r="HB385" s="6"/>
      <c r="HC385" s="6"/>
      <c r="HD385" s="6"/>
      <c r="HE385" s="6"/>
      <c r="HF385" s="6"/>
      <c r="HG385" s="6"/>
      <c r="HH385" s="6"/>
      <c r="HI385" s="6"/>
      <c r="HJ385" s="6"/>
      <c r="HK385" s="6"/>
      <c r="HL385" s="6"/>
      <c r="HM385" s="6"/>
      <c r="HN385" s="6"/>
      <c r="HO385" s="6"/>
      <c r="HP385" s="6"/>
      <c r="HQ385" s="6"/>
      <c r="HR385" s="6"/>
      <c r="HS385" s="6"/>
      <c r="HT385" s="6"/>
      <c r="HU385" s="6"/>
    </row>
    <row r="386" spans="9:229"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BV386" s="6"/>
      <c r="BW386" s="6"/>
      <c r="BX386" s="6"/>
      <c r="BY386" s="6"/>
      <c r="BZ386" s="6"/>
      <c r="CA386" s="6"/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6"/>
      <c r="CW386" s="6"/>
      <c r="CX386" s="6"/>
      <c r="CY386" s="6"/>
      <c r="CZ386" s="6"/>
      <c r="DA386" s="6"/>
      <c r="DB386" s="6"/>
      <c r="DC386" s="6"/>
      <c r="DD386" s="6"/>
      <c r="DE386" s="6"/>
      <c r="DF386" s="6"/>
      <c r="DG386" s="6"/>
      <c r="DH386" s="6"/>
      <c r="DI386" s="6"/>
      <c r="DJ386" s="6"/>
      <c r="DK386" s="6"/>
      <c r="DL386" s="6"/>
      <c r="DM386" s="6"/>
      <c r="DN386" s="6"/>
      <c r="DO386" s="6"/>
      <c r="DP386" s="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  <c r="ER386" s="6"/>
      <c r="ES386" s="6"/>
      <c r="ET386" s="6"/>
      <c r="EU386" s="6"/>
      <c r="EV386" s="6"/>
      <c r="EW386" s="6"/>
      <c r="EX386" s="6"/>
      <c r="EY386" s="6"/>
      <c r="EZ386" s="6"/>
      <c r="FA386" s="6"/>
      <c r="FB386" s="6"/>
      <c r="FC386" s="6"/>
      <c r="FD386" s="6"/>
      <c r="FE386" s="6"/>
      <c r="FF386" s="6"/>
      <c r="FG386" s="6"/>
      <c r="FH386" s="6"/>
      <c r="FI386" s="6"/>
      <c r="FJ386" s="6"/>
      <c r="FK386" s="6"/>
      <c r="FL386" s="6"/>
      <c r="FM386" s="6"/>
      <c r="FN386" s="6"/>
      <c r="FO386" s="6"/>
      <c r="FP386" s="6"/>
      <c r="FQ386" s="6"/>
      <c r="FR386" s="6"/>
      <c r="FS386" s="6"/>
      <c r="FT386" s="6"/>
      <c r="FU386" s="6"/>
      <c r="FV386" s="6"/>
      <c r="FW386" s="6"/>
      <c r="FX386" s="6"/>
      <c r="FY386" s="6"/>
      <c r="FZ386" s="6"/>
      <c r="GA386" s="6"/>
      <c r="GB386" s="6"/>
      <c r="GC386" s="6"/>
      <c r="GD386" s="6"/>
      <c r="GE386" s="6"/>
      <c r="GF386" s="6"/>
      <c r="GG386" s="6"/>
      <c r="GH386" s="6"/>
      <c r="GI386" s="6"/>
      <c r="GJ386" s="6"/>
      <c r="GK386" s="6"/>
      <c r="GL386" s="6"/>
      <c r="GM386" s="6"/>
      <c r="GN386" s="6"/>
      <c r="GO386" s="6"/>
      <c r="GP386" s="6"/>
      <c r="GQ386" s="6"/>
      <c r="GR386" s="6"/>
      <c r="GS386" s="6"/>
      <c r="GT386" s="6"/>
      <c r="GU386" s="6"/>
      <c r="GV386" s="6"/>
      <c r="GW386" s="6"/>
      <c r="GX386" s="6"/>
      <c r="GY386" s="6"/>
      <c r="GZ386" s="6"/>
      <c r="HA386" s="6"/>
      <c r="HB386" s="6"/>
      <c r="HC386" s="6"/>
      <c r="HD386" s="6"/>
      <c r="HE386" s="6"/>
      <c r="HF386" s="6"/>
      <c r="HG386" s="6"/>
      <c r="HH386" s="6"/>
      <c r="HI386" s="6"/>
      <c r="HJ386" s="6"/>
      <c r="HK386" s="6"/>
      <c r="HL386" s="6"/>
      <c r="HM386" s="6"/>
      <c r="HN386" s="6"/>
      <c r="HO386" s="6"/>
      <c r="HP386" s="6"/>
      <c r="HQ386" s="6"/>
      <c r="HR386" s="6"/>
      <c r="HS386" s="6"/>
      <c r="HT386" s="6"/>
      <c r="HU386" s="6"/>
    </row>
    <row r="387" spans="9:229"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BV387" s="6"/>
      <c r="BW387" s="6"/>
      <c r="BX387" s="6"/>
      <c r="BY387" s="6"/>
      <c r="BZ387" s="6"/>
      <c r="CA387" s="6"/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6"/>
      <c r="CW387" s="6"/>
      <c r="CX387" s="6"/>
      <c r="CY387" s="6"/>
      <c r="CZ387" s="6"/>
      <c r="DA387" s="6"/>
      <c r="DB387" s="6"/>
      <c r="DC387" s="6"/>
      <c r="DD387" s="6"/>
      <c r="DE387" s="6"/>
      <c r="DF387" s="6"/>
      <c r="DG387" s="6"/>
      <c r="DH387" s="6"/>
      <c r="DI387" s="6"/>
      <c r="DJ387" s="6"/>
      <c r="DK387" s="6"/>
      <c r="DL387" s="6"/>
      <c r="DM387" s="6"/>
      <c r="DN387" s="6"/>
      <c r="DO387" s="6"/>
      <c r="DP387" s="6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  <c r="ER387" s="6"/>
      <c r="ES387" s="6"/>
      <c r="ET387" s="6"/>
      <c r="EU387" s="6"/>
      <c r="EV387" s="6"/>
      <c r="EW387" s="6"/>
      <c r="EX387" s="6"/>
      <c r="EY387" s="6"/>
      <c r="EZ387" s="6"/>
      <c r="FA387" s="6"/>
      <c r="FB387" s="6"/>
      <c r="FC387" s="6"/>
      <c r="FD387" s="6"/>
      <c r="FE387" s="6"/>
      <c r="FF387" s="6"/>
      <c r="FG387" s="6"/>
      <c r="FH387" s="6"/>
      <c r="FI387" s="6"/>
      <c r="FJ387" s="6"/>
      <c r="FK387" s="6"/>
      <c r="FL387" s="6"/>
      <c r="FM387" s="6"/>
      <c r="FN387" s="6"/>
      <c r="FO387" s="6"/>
      <c r="FP387" s="6"/>
      <c r="FQ387" s="6"/>
      <c r="FR387" s="6"/>
      <c r="FS387" s="6"/>
      <c r="FT387" s="6"/>
      <c r="FU387" s="6"/>
      <c r="FV387" s="6"/>
      <c r="FW387" s="6"/>
      <c r="FX387" s="6"/>
      <c r="FY387" s="6"/>
      <c r="FZ387" s="6"/>
      <c r="GA387" s="6"/>
      <c r="GB387" s="6"/>
      <c r="GC387" s="6"/>
      <c r="GD387" s="6"/>
      <c r="GE387" s="6"/>
      <c r="GF387" s="6"/>
      <c r="GG387" s="6"/>
      <c r="GH387" s="6"/>
      <c r="GI387" s="6"/>
      <c r="GJ387" s="6"/>
      <c r="GK387" s="6"/>
      <c r="GL387" s="6"/>
      <c r="GM387" s="6"/>
      <c r="GN387" s="6"/>
      <c r="GO387" s="6"/>
      <c r="GP387" s="6"/>
      <c r="GQ387" s="6"/>
      <c r="GR387" s="6"/>
      <c r="GS387" s="6"/>
      <c r="GT387" s="6"/>
      <c r="GU387" s="6"/>
      <c r="GV387" s="6"/>
      <c r="GW387" s="6"/>
      <c r="GX387" s="6"/>
      <c r="GY387" s="6"/>
      <c r="GZ387" s="6"/>
      <c r="HA387" s="6"/>
      <c r="HB387" s="6"/>
      <c r="HC387" s="6"/>
      <c r="HD387" s="6"/>
      <c r="HE387" s="6"/>
      <c r="HF387" s="6"/>
      <c r="HG387" s="6"/>
      <c r="HH387" s="6"/>
      <c r="HI387" s="6"/>
      <c r="HJ387" s="6"/>
      <c r="HK387" s="6"/>
      <c r="HL387" s="6"/>
      <c r="HM387" s="6"/>
      <c r="HN387" s="6"/>
      <c r="HO387" s="6"/>
      <c r="HP387" s="6"/>
      <c r="HQ387" s="6"/>
      <c r="HR387" s="6"/>
      <c r="HS387" s="6"/>
      <c r="HT387" s="6"/>
      <c r="HU387" s="6"/>
    </row>
    <row r="388" spans="9:229"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BV388" s="6"/>
      <c r="BW388" s="6"/>
      <c r="BX388" s="6"/>
      <c r="BY388" s="6"/>
      <c r="BZ388" s="6"/>
      <c r="CA388" s="6"/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6"/>
      <c r="CW388" s="6"/>
      <c r="CX388" s="6"/>
      <c r="CY388" s="6"/>
      <c r="CZ388" s="6"/>
      <c r="DA388" s="6"/>
      <c r="DB388" s="6"/>
      <c r="DC388" s="6"/>
      <c r="DD388" s="6"/>
      <c r="DE388" s="6"/>
      <c r="DF388" s="6"/>
      <c r="DG388" s="6"/>
      <c r="DH388" s="6"/>
      <c r="DI388" s="6"/>
      <c r="DJ388" s="6"/>
      <c r="DK388" s="6"/>
      <c r="DL388" s="6"/>
      <c r="DM388" s="6"/>
      <c r="DN388" s="6"/>
      <c r="DO388" s="6"/>
      <c r="DP388" s="6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  <c r="ER388" s="6"/>
      <c r="ES388" s="6"/>
      <c r="ET388" s="6"/>
      <c r="EU388" s="6"/>
      <c r="EV388" s="6"/>
      <c r="EW388" s="6"/>
      <c r="EX388" s="6"/>
      <c r="EY388" s="6"/>
      <c r="EZ388" s="6"/>
      <c r="FA388" s="6"/>
      <c r="FB388" s="6"/>
      <c r="FC388" s="6"/>
      <c r="FD388" s="6"/>
      <c r="FE388" s="6"/>
      <c r="FF388" s="6"/>
      <c r="FG388" s="6"/>
      <c r="FH388" s="6"/>
      <c r="FI388" s="6"/>
      <c r="FJ388" s="6"/>
      <c r="FK388" s="6"/>
      <c r="FL388" s="6"/>
      <c r="FM388" s="6"/>
      <c r="FN388" s="6"/>
      <c r="FO388" s="6"/>
      <c r="FP388" s="6"/>
      <c r="FQ388" s="6"/>
      <c r="FR388" s="6"/>
      <c r="FS388" s="6"/>
      <c r="FT388" s="6"/>
      <c r="FU388" s="6"/>
      <c r="FV388" s="6"/>
      <c r="FW388" s="6"/>
      <c r="FX388" s="6"/>
      <c r="FY388" s="6"/>
      <c r="FZ388" s="6"/>
      <c r="GA388" s="6"/>
      <c r="GB388" s="6"/>
      <c r="GC388" s="6"/>
      <c r="GD388" s="6"/>
      <c r="GE388" s="6"/>
      <c r="GF388" s="6"/>
      <c r="GG388" s="6"/>
      <c r="GH388" s="6"/>
      <c r="GI388" s="6"/>
      <c r="GJ388" s="6"/>
      <c r="GK388" s="6"/>
      <c r="GL388" s="6"/>
      <c r="GM388" s="6"/>
      <c r="GN388" s="6"/>
      <c r="GO388" s="6"/>
      <c r="GP388" s="6"/>
      <c r="GQ388" s="6"/>
      <c r="GR388" s="6"/>
      <c r="GS388" s="6"/>
      <c r="GT388" s="6"/>
      <c r="GU388" s="6"/>
      <c r="GV388" s="6"/>
      <c r="GW388" s="6"/>
      <c r="GX388" s="6"/>
      <c r="GY388" s="6"/>
      <c r="GZ388" s="6"/>
      <c r="HA388" s="6"/>
      <c r="HB388" s="6"/>
      <c r="HC388" s="6"/>
      <c r="HD388" s="6"/>
      <c r="HE388" s="6"/>
      <c r="HF388" s="6"/>
      <c r="HG388" s="6"/>
      <c r="HH388" s="6"/>
      <c r="HI388" s="6"/>
      <c r="HJ388" s="6"/>
      <c r="HK388" s="6"/>
      <c r="HL388" s="6"/>
      <c r="HM388" s="6"/>
      <c r="HN388" s="6"/>
      <c r="HO388" s="6"/>
      <c r="HP388" s="6"/>
      <c r="HQ388" s="6"/>
      <c r="HR388" s="6"/>
      <c r="HS388" s="6"/>
      <c r="HT388" s="6"/>
      <c r="HU388" s="6"/>
    </row>
    <row r="389" spans="9:229"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BV389" s="6"/>
      <c r="BW389" s="6"/>
      <c r="BX389" s="6"/>
      <c r="BY389" s="6"/>
      <c r="BZ389" s="6"/>
      <c r="CA389" s="6"/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6"/>
      <c r="CW389" s="6"/>
      <c r="CX389" s="6"/>
      <c r="CY389" s="6"/>
      <c r="CZ389" s="6"/>
      <c r="DA389" s="6"/>
      <c r="DB389" s="6"/>
      <c r="DC389" s="6"/>
      <c r="DD389" s="6"/>
      <c r="DE389" s="6"/>
      <c r="DF389" s="6"/>
      <c r="DG389" s="6"/>
      <c r="DH389" s="6"/>
      <c r="DI389" s="6"/>
      <c r="DJ389" s="6"/>
      <c r="DK389" s="6"/>
      <c r="DL389" s="6"/>
      <c r="DM389" s="6"/>
      <c r="DN389" s="6"/>
      <c r="DO389" s="6"/>
      <c r="DP389" s="6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  <c r="ER389" s="6"/>
      <c r="ES389" s="6"/>
      <c r="ET389" s="6"/>
      <c r="EU389" s="6"/>
      <c r="EV389" s="6"/>
      <c r="EW389" s="6"/>
      <c r="EX389" s="6"/>
      <c r="EY389" s="6"/>
      <c r="EZ389" s="6"/>
      <c r="FA389" s="6"/>
      <c r="FB389" s="6"/>
      <c r="FC389" s="6"/>
      <c r="FD389" s="6"/>
      <c r="FE389" s="6"/>
      <c r="FF389" s="6"/>
      <c r="FG389" s="6"/>
      <c r="FH389" s="6"/>
      <c r="FI389" s="6"/>
      <c r="FJ389" s="6"/>
      <c r="FK389" s="6"/>
      <c r="FL389" s="6"/>
      <c r="FM389" s="6"/>
      <c r="FN389" s="6"/>
      <c r="FO389" s="6"/>
      <c r="FP389" s="6"/>
      <c r="FQ389" s="6"/>
      <c r="FR389" s="6"/>
      <c r="FS389" s="6"/>
      <c r="FT389" s="6"/>
      <c r="FU389" s="6"/>
      <c r="FV389" s="6"/>
      <c r="FW389" s="6"/>
      <c r="FX389" s="6"/>
      <c r="FY389" s="6"/>
      <c r="FZ389" s="6"/>
      <c r="GA389" s="6"/>
      <c r="GB389" s="6"/>
      <c r="GC389" s="6"/>
      <c r="GD389" s="6"/>
      <c r="GE389" s="6"/>
      <c r="GF389" s="6"/>
      <c r="GG389" s="6"/>
      <c r="GH389" s="6"/>
      <c r="GI389" s="6"/>
      <c r="GJ389" s="6"/>
      <c r="GK389" s="6"/>
      <c r="GL389" s="6"/>
      <c r="GM389" s="6"/>
      <c r="GN389" s="6"/>
      <c r="GO389" s="6"/>
      <c r="GP389" s="6"/>
      <c r="GQ389" s="6"/>
      <c r="GR389" s="6"/>
      <c r="GS389" s="6"/>
      <c r="GT389" s="6"/>
      <c r="GU389" s="6"/>
      <c r="GV389" s="6"/>
      <c r="GW389" s="6"/>
      <c r="GX389" s="6"/>
      <c r="GY389" s="6"/>
      <c r="GZ389" s="6"/>
      <c r="HA389" s="6"/>
      <c r="HB389" s="6"/>
      <c r="HC389" s="6"/>
      <c r="HD389" s="6"/>
      <c r="HE389" s="6"/>
      <c r="HF389" s="6"/>
      <c r="HG389" s="6"/>
      <c r="HH389" s="6"/>
      <c r="HI389" s="6"/>
      <c r="HJ389" s="6"/>
      <c r="HK389" s="6"/>
      <c r="HL389" s="6"/>
      <c r="HM389" s="6"/>
      <c r="HN389" s="6"/>
      <c r="HO389" s="6"/>
      <c r="HP389" s="6"/>
      <c r="HQ389" s="6"/>
      <c r="HR389" s="6"/>
      <c r="HS389" s="6"/>
      <c r="HT389" s="6"/>
      <c r="HU389" s="6"/>
    </row>
    <row r="390" spans="9:229"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BV390" s="6"/>
      <c r="BW390" s="6"/>
      <c r="BX390" s="6"/>
      <c r="BY390" s="6"/>
      <c r="BZ390" s="6"/>
      <c r="CA390" s="6"/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6"/>
      <c r="CW390" s="6"/>
      <c r="CX390" s="6"/>
      <c r="CY390" s="6"/>
      <c r="CZ390" s="6"/>
      <c r="DA390" s="6"/>
      <c r="DB390" s="6"/>
      <c r="DC390" s="6"/>
      <c r="DD390" s="6"/>
      <c r="DE390" s="6"/>
      <c r="DF390" s="6"/>
      <c r="DG390" s="6"/>
      <c r="DH390" s="6"/>
      <c r="DI390" s="6"/>
      <c r="DJ390" s="6"/>
      <c r="DK390" s="6"/>
      <c r="DL390" s="6"/>
      <c r="DM390" s="6"/>
      <c r="DN390" s="6"/>
      <c r="DO390" s="6"/>
      <c r="DP390" s="6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  <c r="ER390" s="6"/>
      <c r="ES390" s="6"/>
      <c r="ET390" s="6"/>
      <c r="EU390" s="6"/>
      <c r="EV390" s="6"/>
      <c r="EW390" s="6"/>
      <c r="EX390" s="6"/>
      <c r="EY390" s="6"/>
      <c r="EZ390" s="6"/>
      <c r="FA390" s="6"/>
      <c r="FB390" s="6"/>
      <c r="FC390" s="6"/>
      <c r="FD390" s="6"/>
      <c r="FE390" s="6"/>
      <c r="FF390" s="6"/>
      <c r="FG390" s="6"/>
      <c r="FH390" s="6"/>
      <c r="FI390" s="6"/>
      <c r="FJ390" s="6"/>
      <c r="FK390" s="6"/>
      <c r="FL390" s="6"/>
      <c r="FM390" s="6"/>
      <c r="FN390" s="6"/>
      <c r="FO390" s="6"/>
      <c r="FP390" s="6"/>
      <c r="FQ390" s="6"/>
      <c r="FR390" s="6"/>
      <c r="FS390" s="6"/>
      <c r="FT390" s="6"/>
      <c r="FU390" s="6"/>
      <c r="FV390" s="6"/>
      <c r="FW390" s="6"/>
      <c r="FX390" s="6"/>
      <c r="FY390" s="6"/>
      <c r="FZ390" s="6"/>
      <c r="GA390" s="6"/>
      <c r="GB390" s="6"/>
      <c r="GC390" s="6"/>
      <c r="GD390" s="6"/>
      <c r="GE390" s="6"/>
      <c r="GF390" s="6"/>
      <c r="GG390" s="6"/>
      <c r="GH390" s="6"/>
      <c r="GI390" s="6"/>
      <c r="GJ390" s="6"/>
      <c r="GK390" s="6"/>
      <c r="GL390" s="6"/>
      <c r="GM390" s="6"/>
      <c r="GN390" s="6"/>
      <c r="GO390" s="6"/>
      <c r="GP390" s="6"/>
      <c r="GQ390" s="6"/>
      <c r="GR390" s="6"/>
      <c r="GS390" s="6"/>
      <c r="GT390" s="6"/>
      <c r="GU390" s="6"/>
      <c r="GV390" s="6"/>
      <c r="GW390" s="6"/>
      <c r="GX390" s="6"/>
      <c r="GY390" s="6"/>
      <c r="GZ390" s="6"/>
      <c r="HA390" s="6"/>
      <c r="HB390" s="6"/>
      <c r="HC390" s="6"/>
      <c r="HD390" s="6"/>
      <c r="HE390" s="6"/>
      <c r="HF390" s="6"/>
      <c r="HG390" s="6"/>
      <c r="HH390" s="6"/>
      <c r="HI390" s="6"/>
      <c r="HJ390" s="6"/>
      <c r="HK390" s="6"/>
      <c r="HL390" s="6"/>
      <c r="HM390" s="6"/>
      <c r="HN390" s="6"/>
      <c r="HO390" s="6"/>
      <c r="HP390" s="6"/>
      <c r="HQ390" s="6"/>
      <c r="HR390" s="6"/>
      <c r="HS390" s="6"/>
      <c r="HT390" s="6"/>
      <c r="HU390" s="6"/>
    </row>
    <row r="391" spans="9:229"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BV391" s="6"/>
      <c r="BW391" s="6"/>
      <c r="BX391" s="6"/>
      <c r="BY391" s="6"/>
      <c r="BZ391" s="6"/>
      <c r="CA391" s="6"/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6"/>
      <c r="CV391" s="6"/>
      <c r="CW391" s="6"/>
      <c r="CX391" s="6"/>
      <c r="CY391" s="6"/>
      <c r="CZ391" s="6"/>
      <c r="DA391" s="6"/>
      <c r="DB391" s="6"/>
      <c r="DC391" s="6"/>
      <c r="DD391" s="6"/>
      <c r="DE391" s="6"/>
      <c r="DF391" s="6"/>
      <c r="DG391" s="6"/>
      <c r="DH391" s="6"/>
      <c r="DI391" s="6"/>
      <c r="DJ391" s="6"/>
      <c r="DK391" s="6"/>
      <c r="DL391" s="6"/>
      <c r="DM391" s="6"/>
      <c r="DN391" s="6"/>
      <c r="DO391" s="6"/>
      <c r="DP391" s="6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  <c r="ER391" s="6"/>
      <c r="ES391" s="6"/>
      <c r="ET391" s="6"/>
      <c r="EU391" s="6"/>
      <c r="EV391" s="6"/>
      <c r="EW391" s="6"/>
      <c r="EX391" s="6"/>
      <c r="EY391" s="6"/>
      <c r="EZ391" s="6"/>
      <c r="FA391" s="6"/>
      <c r="FB391" s="6"/>
      <c r="FC391" s="6"/>
      <c r="FD391" s="6"/>
      <c r="FE391" s="6"/>
      <c r="FF391" s="6"/>
      <c r="FG391" s="6"/>
      <c r="FH391" s="6"/>
      <c r="FI391" s="6"/>
      <c r="FJ391" s="6"/>
      <c r="FK391" s="6"/>
      <c r="FL391" s="6"/>
      <c r="FM391" s="6"/>
      <c r="FN391" s="6"/>
      <c r="FO391" s="6"/>
      <c r="FP391" s="6"/>
      <c r="FQ391" s="6"/>
      <c r="FR391" s="6"/>
      <c r="FS391" s="6"/>
      <c r="FT391" s="6"/>
      <c r="FU391" s="6"/>
      <c r="FV391" s="6"/>
      <c r="FW391" s="6"/>
      <c r="FX391" s="6"/>
      <c r="FY391" s="6"/>
      <c r="FZ391" s="6"/>
      <c r="GA391" s="6"/>
      <c r="GB391" s="6"/>
      <c r="GC391" s="6"/>
      <c r="GD391" s="6"/>
      <c r="GE391" s="6"/>
      <c r="GF391" s="6"/>
      <c r="GG391" s="6"/>
      <c r="GH391" s="6"/>
      <c r="GI391" s="6"/>
      <c r="GJ391" s="6"/>
      <c r="GK391" s="6"/>
      <c r="GL391" s="6"/>
      <c r="GM391" s="6"/>
      <c r="GN391" s="6"/>
      <c r="GO391" s="6"/>
      <c r="GP391" s="6"/>
      <c r="GQ391" s="6"/>
      <c r="GR391" s="6"/>
      <c r="GS391" s="6"/>
      <c r="GT391" s="6"/>
      <c r="GU391" s="6"/>
      <c r="GV391" s="6"/>
      <c r="GW391" s="6"/>
      <c r="GX391" s="6"/>
      <c r="GY391" s="6"/>
      <c r="GZ391" s="6"/>
      <c r="HA391" s="6"/>
      <c r="HB391" s="6"/>
      <c r="HC391" s="6"/>
      <c r="HD391" s="6"/>
      <c r="HE391" s="6"/>
      <c r="HF391" s="6"/>
      <c r="HG391" s="6"/>
      <c r="HH391" s="6"/>
      <c r="HI391" s="6"/>
      <c r="HJ391" s="6"/>
      <c r="HK391" s="6"/>
      <c r="HL391" s="6"/>
      <c r="HM391" s="6"/>
      <c r="HN391" s="6"/>
      <c r="HO391" s="6"/>
      <c r="HP391" s="6"/>
      <c r="HQ391" s="6"/>
      <c r="HR391" s="6"/>
      <c r="HS391" s="6"/>
      <c r="HT391" s="6"/>
      <c r="HU391" s="6"/>
    </row>
    <row r="392" spans="9:229"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BV392" s="6"/>
      <c r="BW392" s="6"/>
      <c r="BX392" s="6"/>
      <c r="BY392" s="6"/>
      <c r="BZ392" s="6"/>
      <c r="CA392" s="6"/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6"/>
      <c r="CW392" s="6"/>
      <c r="CX392" s="6"/>
      <c r="CY392" s="6"/>
      <c r="CZ392" s="6"/>
      <c r="DA392" s="6"/>
      <c r="DB392" s="6"/>
      <c r="DC392" s="6"/>
      <c r="DD392" s="6"/>
      <c r="DE392" s="6"/>
      <c r="DF392" s="6"/>
      <c r="DG392" s="6"/>
      <c r="DH392" s="6"/>
      <c r="DI392" s="6"/>
      <c r="DJ392" s="6"/>
      <c r="DK392" s="6"/>
      <c r="DL392" s="6"/>
      <c r="DM392" s="6"/>
      <c r="DN392" s="6"/>
      <c r="DO392" s="6"/>
      <c r="DP392" s="6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  <c r="ER392" s="6"/>
      <c r="ES392" s="6"/>
      <c r="ET392" s="6"/>
      <c r="EU392" s="6"/>
      <c r="EV392" s="6"/>
      <c r="EW392" s="6"/>
      <c r="EX392" s="6"/>
      <c r="EY392" s="6"/>
      <c r="EZ392" s="6"/>
      <c r="FA392" s="6"/>
      <c r="FB392" s="6"/>
      <c r="FC392" s="6"/>
      <c r="FD392" s="6"/>
      <c r="FE392" s="6"/>
      <c r="FF392" s="6"/>
      <c r="FG392" s="6"/>
      <c r="FH392" s="6"/>
      <c r="FI392" s="6"/>
      <c r="FJ392" s="6"/>
      <c r="FK392" s="6"/>
      <c r="FL392" s="6"/>
      <c r="FM392" s="6"/>
      <c r="FN392" s="6"/>
      <c r="FO392" s="6"/>
      <c r="FP392" s="6"/>
      <c r="FQ392" s="6"/>
      <c r="FR392" s="6"/>
      <c r="FS392" s="6"/>
      <c r="FT392" s="6"/>
      <c r="FU392" s="6"/>
      <c r="FV392" s="6"/>
      <c r="FW392" s="6"/>
      <c r="FX392" s="6"/>
      <c r="FY392" s="6"/>
      <c r="FZ392" s="6"/>
      <c r="GA392" s="6"/>
      <c r="GB392" s="6"/>
      <c r="GC392" s="6"/>
      <c r="GD392" s="6"/>
      <c r="GE392" s="6"/>
      <c r="GF392" s="6"/>
      <c r="GG392" s="6"/>
      <c r="GH392" s="6"/>
      <c r="GI392" s="6"/>
      <c r="GJ392" s="6"/>
      <c r="GK392" s="6"/>
      <c r="GL392" s="6"/>
      <c r="GM392" s="6"/>
      <c r="GN392" s="6"/>
      <c r="GO392" s="6"/>
      <c r="GP392" s="6"/>
      <c r="GQ392" s="6"/>
      <c r="GR392" s="6"/>
      <c r="GS392" s="6"/>
      <c r="GT392" s="6"/>
      <c r="GU392" s="6"/>
      <c r="GV392" s="6"/>
      <c r="GW392" s="6"/>
      <c r="GX392" s="6"/>
      <c r="GY392" s="6"/>
      <c r="GZ392" s="6"/>
      <c r="HA392" s="6"/>
      <c r="HB392" s="6"/>
      <c r="HC392" s="6"/>
      <c r="HD392" s="6"/>
      <c r="HE392" s="6"/>
      <c r="HF392" s="6"/>
      <c r="HG392" s="6"/>
      <c r="HH392" s="6"/>
      <c r="HI392" s="6"/>
      <c r="HJ392" s="6"/>
      <c r="HK392" s="6"/>
      <c r="HL392" s="6"/>
      <c r="HM392" s="6"/>
      <c r="HN392" s="6"/>
      <c r="HO392" s="6"/>
      <c r="HP392" s="6"/>
      <c r="HQ392" s="6"/>
      <c r="HR392" s="6"/>
      <c r="HS392" s="6"/>
      <c r="HT392" s="6"/>
      <c r="HU392" s="6"/>
    </row>
    <row r="393" spans="9:229"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BV393" s="6"/>
      <c r="BW393" s="6"/>
      <c r="BX393" s="6"/>
      <c r="BY393" s="6"/>
      <c r="BZ393" s="6"/>
      <c r="CA393" s="6"/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6"/>
      <c r="CW393" s="6"/>
      <c r="CX393" s="6"/>
      <c r="CY393" s="6"/>
      <c r="CZ393" s="6"/>
      <c r="DA393" s="6"/>
      <c r="DB393" s="6"/>
      <c r="DC393" s="6"/>
      <c r="DD393" s="6"/>
      <c r="DE393" s="6"/>
      <c r="DF393" s="6"/>
      <c r="DG393" s="6"/>
      <c r="DH393" s="6"/>
      <c r="DI393" s="6"/>
      <c r="DJ393" s="6"/>
      <c r="DK393" s="6"/>
      <c r="DL393" s="6"/>
      <c r="DM393" s="6"/>
      <c r="DN393" s="6"/>
      <c r="DO393" s="6"/>
      <c r="DP393" s="6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  <c r="ER393" s="6"/>
      <c r="ES393" s="6"/>
      <c r="ET393" s="6"/>
      <c r="EU393" s="6"/>
      <c r="EV393" s="6"/>
      <c r="EW393" s="6"/>
      <c r="EX393" s="6"/>
      <c r="EY393" s="6"/>
      <c r="EZ393" s="6"/>
      <c r="FA393" s="6"/>
      <c r="FB393" s="6"/>
      <c r="FC393" s="6"/>
      <c r="FD393" s="6"/>
      <c r="FE393" s="6"/>
      <c r="FF393" s="6"/>
      <c r="FG393" s="6"/>
      <c r="FH393" s="6"/>
      <c r="FI393" s="6"/>
      <c r="FJ393" s="6"/>
      <c r="FK393" s="6"/>
      <c r="FL393" s="6"/>
      <c r="FM393" s="6"/>
      <c r="FN393" s="6"/>
      <c r="FO393" s="6"/>
      <c r="FP393" s="6"/>
      <c r="FQ393" s="6"/>
      <c r="FR393" s="6"/>
      <c r="FS393" s="6"/>
      <c r="FT393" s="6"/>
      <c r="FU393" s="6"/>
      <c r="FV393" s="6"/>
      <c r="FW393" s="6"/>
      <c r="FX393" s="6"/>
      <c r="FY393" s="6"/>
      <c r="FZ393" s="6"/>
      <c r="GA393" s="6"/>
      <c r="GB393" s="6"/>
      <c r="GC393" s="6"/>
      <c r="GD393" s="6"/>
      <c r="GE393" s="6"/>
      <c r="GF393" s="6"/>
      <c r="GG393" s="6"/>
      <c r="GH393" s="6"/>
      <c r="GI393" s="6"/>
      <c r="GJ393" s="6"/>
      <c r="GK393" s="6"/>
      <c r="GL393" s="6"/>
      <c r="GM393" s="6"/>
      <c r="GN393" s="6"/>
      <c r="GO393" s="6"/>
      <c r="GP393" s="6"/>
      <c r="GQ393" s="6"/>
      <c r="GR393" s="6"/>
      <c r="GS393" s="6"/>
      <c r="GT393" s="6"/>
      <c r="GU393" s="6"/>
      <c r="GV393" s="6"/>
      <c r="GW393" s="6"/>
      <c r="GX393" s="6"/>
      <c r="GY393" s="6"/>
      <c r="GZ393" s="6"/>
      <c r="HA393" s="6"/>
      <c r="HB393" s="6"/>
      <c r="HC393" s="6"/>
      <c r="HD393" s="6"/>
      <c r="HE393" s="6"/>
      <c r="HF393" s="6"/>
      <c r="HG393" s="6"/>
      <c r="HH393" s="6"/>
      <c r="HI393" s="6"/>
      <c r="HJ393" s="6"/>
      <c r="HK393" s="6"/>
      <c r="HL393" s="6"/>
      <c r="HM393" s="6"/>
      <c r="HN393" s="6"/>
      <c r="HO393" s="6"/>
      <c r="HP393" s="6"/>
      <c r="HQ393" s="6"/>
      <c r="HR393" s="6"/>
      <c r="HS393" s="6"/>
      <c r="HT393" s="6"/>
      <c r="HU393" s="6"/>
    </row>
    <row r="394" spans="9:229"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BV394" s="6"/>
      <c r="BW394" s="6"/>
      <c r="BX394" s="6"/>
      <c r="BY394" s="6"/>
      <c r="BZ394" s="6"/>
      <c r="CA394" s="6"/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6"/>
      <c r="CW394" s="6"/>
      <c r="CX394" s="6"/>
      <c r="CY394" s="6"/>
      <c r="CZ394" s="6"/>
      <c r="DA394" s="6"/>
      <c r="DB394" s="6"/>
      <c r="DC394" s="6"/>
      <c r="DD394" s="6"/>
      <c r="DE394" s="6"/>
      <c r="DF394" s="6"/>
      <c r="DG394" s="6"/>
      <c r="DH394" s="6"/>
      <c r="DI394" s="6"/>
      <c r="DJ394" s="6"/>
      <c r="DK394" s="6"/>
      <c r="DL394" s="6"/>
      <c r="DM394" s="6"/>
      <c r="DN394" s="6"/>
      <c r="DO394" s="6"/>
      <c r="DP394" s="6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  <c r="ER394" s="6"/>
      <c r="ES394" s="6"/>
      <c r="ET394" s="6"/>
      <c r="EU394" s="6"/>
      <c r="EV394" s="6"/>
      <c r="EW394" s="6"/>
      <c r="EX394" s="6"/>
      <c r="EY394" s="6"/>
      <c r="EZ394" s="6"/>
      <c r="FA394" s="6"/>
      <c r="FB394" s="6"/>
      <c r="FC394" s="6"/>
      <c r="FD394" s="6"/>
      <c r="FE394" s="6"/>
      <c r="FF394" s="6"/>
      <c r="FG394" s="6"/>
      <c r="FH394" s="6"/>
      <c r="FI394" s="6"/>
      <c r="FJ394" s="6"/>
      <c r="FK394" s="6"/>
      <c r="FL394" s="6"/>
      <c r="FM394" s="6"/>
      <c r="FN394" s="6"/>
      <c r="FO394" s="6"/>
      <c r="FP394" s="6"/>
      <c r="FQ394" s="6"/>
      <c r="FR394" s="6"/>
      <c r="FS394" s="6"/>
      <c r="FT394" s="6"/>
      <c r="FU394" s="6"/>
      <c r="FV394" s="6"/>
      <c r="FW394" s="6"/>
      <c r="FX394" s="6"/>
      <c r="FY394" s="6"/>
      <c r="FZ394" s="6"/>
      <c r="GA394" s="6"/>
      <c r="GB394" s="6"/>
      <c r="GC394" s="6"/>
      <c r="GD394" s="6"/>
      <c r="GE394" s="6"/>
      <c r="GF394" s="6"/>
      <c r="GG394" s="6"/>
      <c r="GH394" s="6"/>
      <c r="GI394" s="6"/>
      <c r="GJ394" s="6"/>
      <c r="GK394" s="6"/>
      <c r="GL394" s="6"/>
      <c r="GM394" s="6"/>
      <c r="GN394" s="6"/>
      <c r="GO394" s="6"/>
      <c r="GP394" s="6"/>
      <c r="GQ394" s="6"/>
      <c r="GR394" s="6"/>
      <c r="GS394" s="6"/>
      <c r="GT394" s="6"/>
      <c r="GU394" s="6"/>
      <c r="GV394" s="6"/>
      <c r="GW394" s="6"/>
      <c r="GX394" s="6"/>
      <c r="GY394" s="6"/>
      <c r="GZ394" s="6"/>
      <c r="HA394" s="6"/>
      <c r="HB394" s="6"/>
      <c r="HC394" s="6"/>
      <c r="HD394" s="6"/>
      <c r="HE394" s="6"/>
      <c r="HF394" s="6"/>
      <c r="HG394" s="6"/>
      <c r="HH394" s="6"/>
      <c r="HI394" s="6"/>
      <c r="HJ394" s="6"/>
      <c r="HK394" s="6"/>
      <c r="HL394" s="6"/>
      <c r="HM394" s="6"/>
      <c r="HN394" s="6"/>
      <c r="HO394" s="6"/>
      <c r="HP394" s="6"/>
      <c r="HQ394" s="6"/>
      <c r="HR394" s="6"/>
      <c r="HS394" s="6"/>
      <c r="HT394" s="6"/>
      <c r="HU394" s="6"/>
    </row>
    <row r="395" spans="9:229"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BV395" s="6"/>
      <c r="BW395" s="6"/>
      <c r="BX395" s="6"/>
      <c r="BY395" s="6"/>
      <c r="BZ395" s="6"/>
      <c r="CA395" s="6"/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6"/>
      <c r="CW395" s="6"/>
      <c r="CX395" s="6"/>
      <c r="CY395" s="6"/>
      <c r="CZ395" s="6"/>
      <c r="DA395" s="6"/>
      <c r="DB395" s="6"/>
      <c r="DC395" s="6"/>
      <c r="DD395" s="6"/>
      <c r="DE395" s="6"/>
      <c r="DF395" s="6"/>
      <c r="DG395" s="6"/>
      <c r="DH395" s="6"/>
      <c r="DI395" s="6"/>
      <c r="DJ395" s="6"/>
      <c r="DK395" s="6"/>
      <c r="DL395" s="6"/>
      <c r="DM395" s="6"/>
      <c r="DN395" s="6"/>
      <c r="DO395" s="6"/>
      <c r="DP395" s="6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  <c r="ER395" s="6"/>
      <c r="ES395" s="6"/>
      <c r="ET395" s="6"/>
      <c r="EU395" s="6"/>
      <c r="EV395" s="6"/>
      <c r="EW395" s="6"/>
      <c r="EX395" s="6"/>
      <c r="EY395" s="6"/>
      <c r="EZ395" s="6"/>
      <c r="FA395" s="6"/>
      <c r="FB395" s="6"/>
      <c r="FC395" s="6"/>
      <c r="FD395" s="6"/>
      <c r="FE395" s="6"/>
      <c r="FF395" s="6"/>
      <c r="FG395" s="6"/>
      <c r="FH395" s="6"/>
      <c r="FI395" s="6"/>
      <c r="FJ395" s="6"/>
      <c r="FK395" s="6"/>
      <c r="FL395" s="6"/>
      <c r="FM395" s="6"/>
      <c r="FN395" s="6"/>
      <c r="FO395" s="6"/>
      <c r="FP395" s="6"/>
      <c r="FQ395" s="6"/>
      <c r="FR395" s="6"/>
      <c r="FS395" s="6"/>
      <c r="FT395" s="6"/>
      <c r="FU395" s="6"/>
      <c r="FV395" s="6"/>
      <c r="FW395" s="6"/>
      <c r="FX395" s="6"/>
      <c r="FY395" s="6"/>
      <c r="FZ395" s="6"/>
      <c r="GA395" s="6"/>
      <c r="GB395" s="6"/>
      <c r="GC395" s="6"/>
      <c r="GD395" s="6"/>
      <c r="GE395" s="6"/>
      <c r="GF395" s="6"/>
      <c r="GG395" s="6"/>
      <c r="GH395" s="6"/>
      <c r="GI395" s="6"/>
      <c r="GJ395" s="6"/>
      <c r="GK395" s="6"/>
      <c r="GL395" s="6"/>
      <c r="GM395" s="6"/>
      <c r="GN395" s="6"/>
      <c r="GO395" s="6"/>
      <c r="GP395" s="6"/>
      <c r="GQ395" s="6"/>
      <c r="GR395" s="6"/>
      <c r="GS395" s="6"/>
      <c r="GT395" s="6"/>
      <c r="GU395" s="6"/>
      <c r="GV395" s="6"/>
      <c r="GW395" s="6"/>
      <c r="GX395" s="6"/>
      <c r="GY395" s="6"/>
      <c r="GZ395" s="6"/>
      <c r="HA395" s="6"/>
      <c r="HB395" s="6"/>
      <c r="HC395" s="6"/>
      <c r="HD395" s="6"/>
      <c r="HE395" s="6"/>
      <c r="HF395" s="6"/>
      <c r="HG395" s="6"/>
      <c r="HH395" s="6"/>
      <c r="HI395" s="6"/>
      <c r="HJ395" s="6"/>
      <c r="HK395" s="6"/>
      <c r="HL395" s="6"/>
      <c r="HM395" s="6"/>
      <c r="HN395" s="6"/>
      <c r="HO395" s="6"/>
      <c r="HP395" s="6"/>
      <c r="HQ395" s="6"/>
      <c r="HR395" s="6"/>
      <c r="HS395" s="6"/>
      <c r="HT395" s="6"/>
      <c r="HU395" s="6"/>
    </row>
    <row r="396" spans="9:229"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BV396" s="6"/>
      <c r="BW396" s="6"/>
      <c r="BX396" s="6"/>
      <c r="BY396" s="6"/>
      <c r="BZ396" s="6"/>
      <c r="CA396" s="6"/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6"/>
      <c r="CW396" s="6"/>
      <c r="CX396" s="6"/>
      <c r="CY396" s="6"/>
      <c r="CZ396" s="6"/>
      <c r="DA396" s="6"/>
      <c r="DB396" s="6"/>
      <c r="DC396" s="6"/>
      <c r="DD396" s="6"/>
      <c r="DE396" s="6"/>
      <c r="DF396" s="6"/>
      <c r="DG396" s="6"/>
      <c r="DH396" s="6"/>
      <c r="DI396" s="6"/>
      <c r="DJ396" s="6"/>
      <c r="DK396" s="6"/>
      <c r="DL396" s="6"/>
      <c r="DM396" s="6"/>
      <c r="DN396" s="6"/>
      <c r="DO396" s="6"/>
      <c r="DP396" s="6"/>
      <c r="DQ396" s="6"/>
      <c r="DR396" s="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  <c r="ER396" s="6"/>
      <c r="ES396" s="6"/>
      <c r="ET396" s="6"/>
      <c r="EU396" s="6"/>
      <c r="EV396" s="6"/>
      <c r="EW396" s="6"/>
      <c r="EX396" s="6"/>
      <c r="EY396" s="6"/>
      <c r="EZ396" s="6"/>
      <c r="FA396" s="6"/>
      <c r="FB396" s="6"/>
      <c r="FC396" s="6"/>
      <c r="FD396" s="6"/>
      <c r="FE396" s="6"/>
      <c r="FF396" s="6"/>
      <c r="FG396" s="6"/>
      <c r="FH396" s="6"/>
      <c r="FI396" s="6"/>
      <c r="FJ396" s="6"/>
      <c r="FK396" s="6"/>
      <c r="FL396" s="6"/>
      <c r="FM396" s="6"/>
      <c r="FN396" s="6"/>
      <c r="FO396" s="6"/>
      <c r="FP396" s="6"/>
      <c r="FQ396" s="6"/>
      <c r="FR396" s="6"/>
      <c r="FS396" s="6"/>
      <c r="FT396" s="6"/>
      <c r="FU396" s="6"/>
      <c r="FV396" s="6"/>
      <c r="FW396" s="6"/>
      <c r="FX396" s="6"/>
      <c r="FY396" s="6"/>
      <c r="FZ396" s="6"/>
      <c r="GA396" s="6"/>
      <c r="GB396" s="6"/>
      <c r="GC396" s="6"/>
      <c r="GD396" s="6"/>
      <c r="GE396" s="6"/>
      <c r="GF396" s="6"/>
      <c r="GG396" s="6"/>
      <c r="GH396" s="6"/>
      <c r="GI396" s="6"/>
      <c r="GJ396" s="6"/>
      <c r="GK396" s="6"/>
      <c r="GL396" s="6"/>
      <c r="GM396" s="6"/>
      <c r="GN396" s="6"/>
      <c r="GO396" s="6"/>
      <c r="GP396" s="6"/>
      <c r="GQ396" s="6"/>
      <c r="GR396" s="6"/>
      <c r="GS396" s="6"/>
      <c r="GT396" s="6"/>
      <c r="GU396" s="6"/>
      <c r="GV396" s="6"/>
      <c r="GW396" s="6"/>
      <c r="GX396" s="6"/>
      <c r="GY396" s="6"/>
      <c r="GZ396" s="6"/>
      <c r="HA396" s="6"/>
      <c r="HB396" s="6"/>
      <c r="HC396" s="6"/>
      <c r="HD396" s="6"/>
      <c r="HE396" s="6"/>
      <c r="HF396" s="6"/>
      <c r="HG396" s="6"/>
      <c r="HH396" s="6"/>
      <c r="HI396" s="6"/>
      <c r="HJ396" s="6"/>
      <c r="HK396" s="6"/>
      <c r="HL396" s="6"/>
      <c r="HM396" s="6"/>
      <c r="HN396" s="6"/>
      <c r="HO396" s="6"/>
      <c r="HP396" s="6"/>
      <c r="HQ396" s="6"/>
      <c r="HR396" s="6"/>
      <c r="HS396" s="6"/>
      <c r="HT396" s="6"/>
      <c r="HU396" s="6"/>
    </row>
    <row r="397" spans="9:229"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BV397" s="6"/>
      <c r="BW397" s="6"/>
      <c r="BX397" s="6"/>
      <c r="BY397" s="6"/>
      <c r="BZ397" s="6"/>
      <c r="CA397" s="6"/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6"/>
      <c r="CW397" s="6"/>
      <c r="CX397" s="6"/>
      <c r="CY397" s="6"/>
      <c r="CZ397" s="6"/>
      <c r="DA397" s="6"/>
      <c r="DB397" s="6"/>
      <c r="DC397" s="6"/>
      <c r="DD397" s="6"/>
      <c r="DE397" s="6"/>
      <c r="DF397" s="6"/>
      <c r="DG397" s="6"/>
      <c r="DH397" s="6"/>
      <c r="DI397" s="6"/>
      <c r="DJ397" s="6"/>
      <c r="DK397" s="6"/>
      <c r="DL397" s="6"/>
      <c r="DM397" s="6"/>
      <c r="DN397" s="6"/>
      <c r="DO397" s="6"/>
      <c r="DP397" s="6"/>
      <c r="DQ397" s="6"/>
      <c r="DR397" s="6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  <c r="ER397" s="6"/>
      <c r="ES397" s="6"/>
      <c r="ET397" s="6"/>
      <c r="EU397" s="6"/>
      <c r="EV397" s="6"/>
      <c r="EW397" s="6"/>
      <c r="EX397" s="6"/>
      <c r="EY397" s="6"/>
      <c r="EZ397" s="6"/>
      <c r="FA397" s="6"/>
      <c r="FB397" s="6"/>
      <c r="FC397" s="6"/>
      <c r="FD397" s="6"/>
      <c r="FE397" s="6"/>
      <c r="FF397" s="6"/>
      <c r="FG397" s="6"/>
      <c r="FH397" s="6"/>
      <c r="FI397" s="6"/>
      <c r="FJ397" s="6"/>
      <c r="FK397" s="6"/>
      <c r="FL397" s="6"/>
      <c r="FM397" s="6"/>
      <c r="FN397" s="6"/>
      <c r="FO397" s="6"/>
      <c r="FP397" s="6"/>
      <c r="FQ397" s="6"/>
      <c r="FR397" s="6"/>
      <c r="FS397" s="6"/>
      <c r="FT397" s="6"/>
      <c r="FU397" s="6"/>
      <c r="FV397" s="6"/>
      <c r="FW397" s="6"/>
      <c r="FX397" s="6"/>
      <c r="FY397" s="6"/>
      <c r="FZ397" s="6"/>
      <c r="GA397" s="6"/>
      <c r="GB397" s="6"/>
      <c r="GC397" s="6"/>
      <c r="GD397" s="6"/>
      <c r="GE397" s="6"/>
      <c r="GF397" s="6"/>
      <c r="GG397" s="6"/>
      <c r="GH397" s="6"/>
      <c r="GI397" s="6"/>
      <c r="GJ397" s="6"/>
      <c r="GK397" s="6"/>
      <c r="GL397" s="6"/>
      <c r="GM397" s="6"/>
      <c r="GN397" s="6"/>
      <c r="GO397" s="6"/>
      <c r="GP397" s="6"/>
      <c r="GQ397" s="6"/>
      <c r="GR397" s="6"/>
      <c r="GS397" s="6"/>
      <c r="GT397" s="6"/>
      <c r="GU397" s="6"/>
      <c r="GV397" s="6"/>
      <c r="GW397" s="6"/>
      <c r="GX397" s="6"/>
      <c r="GY397" s="6"/>
      <c r="GZ397" s="6"/>
      <c r="HA397" s="6"/>
      <c r="HB397" s="6"/>
      <c r="HC397" s="6"/>
      <c r="HD397" s="6"/>
      <c r="HE397" s="6"/>
      <c r="HF397" s="6"/>
      <c r="HG397" s="6"/>
      <c r="HH397" s="6"/>
      <c r="HI397" s="6"/>
      <c r="HJ397" s="6"/>
      <c r="HK397" s="6"/>
      <c r="HL397" s="6"/>
      <c r="HM397" s="6"/>
      <c r="HN397" s="6"/>
      <c r="HO397" s="6"/>
      <c r="HP397" s="6"/>
      <c r="HQ397" s="6"/>
      <c r="HR397" s="6"/>
      <c r="HS397" s="6"/>
      <c r="HT397" s="6"/>
      <c r="HU397" s="6"/>
    </row>
    <row r="398" spans="9:229"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BV398" s="6"/>
      <c r="BW398" s="6"/>
      <c r="BX398" s="6"/>
      <c r="BY398" s="6"/>
      <c r="BZ398" s="6"/>
      <c r="CA398" s="6"/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6"/>
      <c r="CV398" s="6"/>
      <c r="CW398" s="6"/>
      <c r="CX398" s="6"/>
      <c r="CY398" s="6"/>
      <c r="CZ398" s="6"/>
      <c r="DA398" s="6"/>
      <c r="DB398" s="6"/>
      <c r="DC398" s="6"/>
      <c r="DD398" s="6"/>
      <c r="DE398" s="6"/>
      <c r="DF398" s="6"/>
      <c r="DG398" s="6"/>
      <c r="DH398" s="6"/>
      <c r="DI398" s="6"/>
      <c r="DJ398" s="6"/>
      <c r="DK398" s="6"/>
      <c r="DL398" s="6"/>
      <c r="DM398" s="6"/>
      <c r="DN398" s="6"/>
      <c r="DO398" s="6"/>
      <c r="DP398" s="6"/>
      <c r="DQ398" s="6"/>
      <c r="DR398" s="6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  <c r="ER398" s="6"/>
      <c r="ES398" s="6"/>
      <c r="ET398" s="6"/>
      <c r="EU398" s="6"/>
      <c r="EV398" s="6"/>
      <c r="EW398" s="6"/>
      <c r="EX398" s="6"/>
      <c r="EY398" s="6"/>
      <c r="EZ398" s="6"/>
      <c r="FA398" s="6"/>
      <c r="FB398" s="6"/>
      <c r="FC398" s="6"/>
      <c r="FD398" s="6"/>
      <c r="FE398" s="6"/>
      <c r="FF398" s="6"/>
      <c r="FG398" s="6"/>
      <c r="FH398" s="6"/>
      <c r="FI398" s="6"/>
      <c r="FJ398" s="6"/>
      <c r="FK398" s="6"/>
      <c r="FL398" s="6"/>
      <c r="FM398" s="6"/>
      <c r="FN398" s="6"/>
      <c r="FO398" s="6"/>
      <c r="FP398" s="6"/>
      <c r="FQ398" s="6"/>
      <c r="FR398" s="6"/>
      <c r="FS398" s="6"/>
      <c r="FT398" s="6"/>
      <c r="FU398" s="6"/>
      <c r="FV398" s="6"/>
      <c r="FW398" s="6"/>
      <c r="FX398" s="6"/>
      <c r="FY398" s="6"/>
      <c r="FZ398" s="6"/>
      <c r="GA398" s="6"/>
      <c r="GB398" s="6"/>
      <c r="GC398" s="6"/>
      <c r="GD398" s="6"/>
      <c r="GE398" s="6"/>
      <c r="GF398" s="6"/>
      <c r="GG398" s="6"/>
      <c r="GH398" s="6"/>
      <c r="GI398" s="6"/>
      <c r="GJ398" s="6"/>
      <c r="GK398" s="6"/>
      <c r="GL398" s="6"/>
      <c r="GM398" s="6"/>
      <c r="GN398" s="6"/>
      <c r="GO398" s="6"/>
      <c r="GP398" s="6"/>
      <c r="GQ398" s="6"/>
      <c r="GR398" s="6"/>
      <c r="GS398" s="6"/>
      <c r="GT398" s="6"/>
      <c r="GU398" s="6"/>
      <c r="GV398" s="6"/>
      <c r="GW398" s="6"/>
      <c r="GX398" s="6"/>
      <c r="GY398" s="6"/>
      <c r="GZ398" s="6"/>
      <c r="HA398" s="6"/>
      <c r="HB398" s="6"/>
      <c r="HC398" s="6"/>
      <c r="HD398" s="6"/>
      <c r="HE398" s="6"/>
      <c r="HF398" s="6"/>
      <c r="HG398" s="6"/>
      <c r="HH398" s="6"/>
      <c r="HI398" s="6"/>
      <c r="HJ398" s="6"/>
      <c r="HK398" s="6"/>
      <c r="HL398" s="6"/>
      <c r="HM398" s="6"/>
      <c r="HN398" s="6"/>
      <c r="HO398" s="6"/>
      <c r="HP398" s="6"/>
      <c r="HQ398" s="6"/>
      <c r="HR398" s="6"/>
      <c r="HS398" s="6"/>
      <c r="HT398" s="6"/>
      <c r="HU398" s="6"/>
    </row>
    <row r="399" spans="9:229"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6"/>
      <c r="CV399" s="6"/>
      <c r="CW399" s="6"/>
      <c r="CX399" s="6"/>
      <c r="CY399" s="6"/>
      <c r="CZ399" s="6"/>
      <c r="DA399" s="6"/>
      <c r="DB399" s="6"/>
      <c r="DC399" s="6"/>
      <c r="DD399" s="6"/>
      <c r="DE399" s="6"/>
      <c r="DF399" s="6"/>
      <c r="DG399" s="6"/>
      <c r="DH399" s="6"/>
      <c r="DI399" s="6"/>
      <c r="DJ399" s="6"/>
      <c r="DK399" s="6"/>
      <c r="DL399" s="6"/>
      <c r="DM399" s="6"/>
      <c r="DN399" s="6"/>
      <c r="DO399" s="6"/>
      <c r="DP399" s="6"/>
      <c r="DQ399" s="6"/>
      <c r="DR399" s="6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  <c r="ER399" s="6"/>
      <c r="ES399" s="6"/>
      <c r="ET399" s="6"/>
      <c r="EU399" s="6"/>
      <c r="EV399" s="6"/>
      <c r="EW399" s="6"/>
      <c r="EX399" s="6"/>
      <c r="EY399" s="6"/>
      <c r="EZ399" s="6"/>
      <c r="FA399" s="6"/>
      <c r="FB399" s="6"/>
      <c r="FC399" s="6"/>
      <c r="FD399" s="6"/>
      <c r="FE399" s="6"/>
      <c r="FF399" s="6"/>
      <c r="FG399" s="6"/>
      <c r="FH399" s="6"/>
      <c r="FI399" s="6"/>
      <c r="FJ399" s="6"/>
      <c r="FK399" s="6"/>
      <c r="FL399" s="6"/>
      <c r="FM399" s="6"/>
      <c r="FN399" s="6"/>
      <c r="FO399" s="6"/>
      <c r="FP399" s="6"/>
      <c r="FQ399" s="6"/>
      <c r="FR399" s="6"/>
      <c r="FS399" s="6"/>
      <c r="FT399" s="6"/>
      <c r="FU399" s="6"/>
      <c r="FV399" s="6"/>
      <c r="FW399" s="6"/>
      <c r="FX399" s="6"/>
      <c r="FY399" s="6"/>
      <c r="FZ399" s="6"/>
      <c r="GA399" s="6"/>
      <c r="GB399" s="6"/>
      <c r="GC399" s="6"/>
      <c r="GD399" s="6"/>
      <c r="GE399" s="6"/>
      <c r="GF399" s="6"/>
      <c r="GG399" s="6"/>
      <c r="GH399" s="6"/>
      <c r="GI399" s="6"/>
      <c r="GJ399" s="6"/>
      <c r="GK399" s="6"/>
      <c r="GL399" s="6"/>
      <c r="GM399" s="6"/>
      <c r="GN399" s="6"/>
      <c r="GO399" s="6"/>
      <c r="GP399" s="6"/>
      <c r="GQ399" s="6"/>
      <c r="GR399" s="6"/>
      <c r="GS399" s="6"/>
      <c r="GT399" s="6"/>
      <c r="GU399" s="6"/>
      <c r="GV399" s="6"/>
      <c r="GW399" s="6"/>
      <c r="GX399" s="6"/>
      <c r="GY399" s="6"/>
      <c r="GZ399" s="6"/>
      <c r="HA399" s="6"/>
      <c r="HB399" s="6"/>
      <c r="HC399" s="6"/>
      <c r="HD399" s="6"/>
      <c r="HE399" s="6"/>
      <c r="HF399" s="6"/>
      <c r="HG399" s="6"/>
      <c r="HH399" s="6"/>
      <c r="HI399" s="6"/>
      <c r="HJ399" s="6"/>
      <c r="HK399" s="6"/>
      <c r="HL399" s="6"/>
      <c r="HM399" s="6"/>
      <c r="HN399" s="6"/>
      <c r="HO399" s="6"/>
      <c r="HP399" s="6"/>
      <c r="HQ399" s="6"/>
      <c r="HR399" s="6"/>
      <c r="HS399" s="6"/>
      <c r="HT399" s="6"/>
      <c r="HU399" s="6"/>
    </row>
    <row r="400" spans="9:229"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6"/>
      <c r="CW400" s="6"/>
      <c r="CX400" s="6"/>
      <c r="CY400" s="6"/>
      <c r="CZ400" s="6"/>
      <c r="DA400" s="6"/>
      <c r="DB400" s="6"/>
      <c r="DC400" s="6"/>
      <c r="DD400" s="6"/>
      <c r="DE400" s="6"/>
      <c r="DF400" s="6"/>
      <c r="DG400" s="6"/>
      <c r="DH400" s="6"/>
      <c r="DI400" s="6"/>
      <c r="DJ400" s="6"/>
      <c r="DK400" s="6"/>
      <c r="DL400" s="6"/>
      <c r="DM400" s="6"/>
      <c r="DN400" s="6"/>
      <c r="DO400" s="6"/>
      <c r="DP400" s="6"/>
      <c r="DQ400" s="6"/>
      <c r="DR400" s="6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  <c r="ER400" s="6"/>
      <c r="ES400" s="6"/>
      <c r="ET400" s="6"/>
      <c r="EU400" s="6"/>
      <c r="EV400" s="6"/>
      <c r="EW400" s="6"/>
      <c r="EX400" s="6"/>
      <c r="EY400" s="6"/>
      <c r="EZ400" s="6"/>
      <c r="FA400" s="6"/>
      <c r="FB400" s="6"/>
      <c r="FC400" s="6"/>
      <c r="FD400" s="6"/>
      <c r="FE400" s="6"/>
      <c r="FF400" s="6"/>
      <c r="FG400" s="6"/>
      <c r="FH400" s="6"/>
      <c r="FI400" s="6"/>
      <c r="FJ400" s="6"/>
      <c r="FK400" s="6"/>
      <c r="FL400" s="6"/>
      <c r="FM400" s="6"/>
      <c r="FN400" s="6"/>
      <c r="FO400" s="6"/>
      <c r="FP400" s="6"/>
      <c r="FQ400" s="6"/>
      <c r="FR400" s="6"/>
      <c r="FS400" s="6"/>
      <c r="FT400" s="6"/>
      <c r="FU400" s="6"/>
      <c r="FV400" s="6"/>
      <c r="FW400" s="6"/>
      <c r="FX400" s="6"/>
      <c r="FY400" s="6"/>
      <c r="FZ400" s="6"/>
      <c r="GA400" s="6"/>
      <c r="GB400" s="6"/>
      <c r="GC400" s="6"/>
      <c r="GD400" s="6"/>
      <c r="GE400" s="6"/>
      <c r="GF400" s="6"/>
      <c r="GG400" s="6"/>
      <c r="GH400" s="6"/>
      <c r="GI400" s="6"/>
      <c r="GJ400" s="6"/>
      <c r="GK400" s="6"/>
      <c r="GL400" s="6"/>
      <c r="GM400" s="6"/>
      <c r="GN400" s="6"/>
      <c r="GO400" s="6"/>
      <c r="GP400" s="6"/>
      <c r="GQ400" s="6"/>
      <c r="GR400" s="6"/>
      <c r="GS400" s="6"/>
      <c r="GT400" s="6"/>
      <c r="GU400" s="6"/>
      <c r="GV400" s="6"/>
      <c r="GW400" s="6"/>
      <c r="GX400" s="6"/>
      <c r="GY400" s="6"/>
      <c r="GZ400" s="6"/>
      <c r="HA400" s="6"/>
      <c r="HB400" s="6"/>
      <c r="HC400" s="6"/>
      <c r="HD400" s="6"/>
      <c r="HE400" s="6"/>
      <c r="HF400" s="6"/>
      <c r="HG400" s="6"/>
      <c r="HH400" s="6"/>
      <c r="HI400" s="6"/>
      <c r="HJ400" s="6"/>
      <c r="HK400" s="6"/>
      <c r="HL400" s="6"/>
      <c r="HM400" s="6"/>
      <c r="HN400" s="6"/>
      <c r="HO400" s="6"/>
      <c r="HP400" s="6"/>
      <c r="HQ400" s="6"/>
      <c r="HR400" s="6"/>
      <c r="HS400" s="6"/>
      <c r="HT400" s="6"/>
      <c r="HU400" s="6"/>
    </row>
    <row r="401" spans="9:229"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6"/>
      <c r="CW401" s="6"/>
      <c r="CX401" s="6"/>
      <c r="CY401" s="6"/>
      <c r="CZ401" s="6"/>
      <c r="DA401" s="6"/>
      <c r="DB401" s="6"/>
      <c r="DC401" s="6"/>
      <c r="DD401" s="6"/>
      <c r="DE401" s="6"/>
      <c r="DF401" s="6"/>
      <c r="DG401" s="6"/>
      <c r="DH401" s="6"/>
      <c r="DI401" s="6"/>
      <c r="DJ401" s="6"/>
      <c r="DK401" s="6"/>
      <c r="DL401" s="6"/>
      <c r="DM401" s="6"/>
      <c r="DN401" s="6"/>
      <c r="DO401" s="6"/>
      <c r="DP401" s="6"/>
      <c r="DQ401" s="6"/>
      <c r="DR401" s="6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  <c r="ER401" s="6"/>
      <c r="ES401" s="6"/>
      <c r="ET401" s="6"/>
      <c r="EU401" s="6"/>
      <c r="EV401" s="6"/>
      <c r="EW401" s="6"/>
      <c r="EX401" s="6"/>
      <c r="EY401" s="6"/>
      <c r="EZ401" s="6"/>
      <c r="FA401" s="6"/>
      <c r="FB401" s="6"/>
      <c r="FC401" s="6"/>
      <c r="FD401" s="6"/>
      <c r="FE401" s="6"/>
      <c r="FF401" s="6"/>
      <c r="FG401" s="6"/>
      <c r="FH401" s="6"/>
      <c r="FI401" s="6"/>
      <c r="FJ401" s="6"/>
      <c r="FK401" s="6"/>
      <c r="FL401" s="6"/>
      <c r="FM401" s="6"/>
      <c r="FN401" s="6"/>
      <c r="FO401" s="6"/>
      <c r="FP401" s="6"/>
      <c r="FQ401" s="6"/>
      <c r="FR401" s="6"/>
      <c r="FS401" s="6"/>
      <c r="FT401" s="6"/>
      <c r="FU401" s="6"/>
      <c r="FV401" s="6"/>
      <c r="FW401" s="6"/>
      <c r="FX401" s="6"/>
      <c r="FY401" s="6"/>
      <c r="FZ401" s="6"/>
      <c r="GA401" s="6"/>
      <c r="GB401" s="6"/>
      <c r="GC401" s="6"/>
      <c r="GD401" s="6"/>
      <c r="GE401" s="6"/>
      <c r="GF401" s="6"/>
      <c r="GG401" s="6"/>
      <c r="GH401" s="6"/>
      <c r="GI401" s="6"/>
      <c r="GJ401" s="6"/>
      <c r="GK401" s="6"/>
      <c r="GL401" s="6"/>
      <c r="GM401" s="6"/>
      <c r="GN401" s="6"/>
      <c r="GO401" s="6"/>
      <c r="GP401" s="6"/>
      <c r="GQ401" s="6"/>
      <c r="GR401" s="6"/>
      <c r="GS401" s="6"/>
      <c r="GT401" s="6"/>
      <c r="GU401" s="6"/>
      <c r="GV401" s="6"/>
      <c r="GW401" s="6"/>
      <c r="GX401" s="6"/>
      <c r="GY401" s="6"/>
      <c r="GZ401" s="6"/>
      <c r="HA401" s="6"/>
      <c r="HB401" s="6"/>
      <c r="HC401" s="6"/>
      <c r="HD401" s="6"/>
      <c r="HE401" s="6"/>
      <c r="HF401" s="6"/>
      <c r="HG401" s="6"/>
      <c r="HH401" s="6"/>
      <c r="HI401" s="6"/>
      <c r="HJ401" s="6"/>
      <c r="HK401" s="6"/>
      <c r="HL401" s="6"/>
      <c r="HM401" s="6"/>
      <c r="HN401" s="6"/>
      <c r="HO401" s="6"/>
      <c r="HP401" s="6"/>
      <c r="HQ401" s="6"/>
      <c r="HR401" s="6"/>
      <c r="HS401" s="6"/>
      <c r="HT401" s="6"/>
      <c r="HU401" s="6"/>
    </row>
    <row r="402" spans="9:229"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6"/>
      <c r="CW402" s="6"/>
      <c r="CX402" s="6"/>
      <c r="CY402" s="6"/>
      <c r="CZ402" s="6"/>
      <c r="DA402" s="6"/>
      <c r="DB402" s="6"/>
      <c r="DC402" s="6"/>
      <c r="DD402" s="6"/>
      <c r="DE402" s="6"/>
      <c r="DF402" s="6"/>
      <c r="DG402" s="6"/>
      <c r="DH402" s="6"/>
      <c r="DI402" s="6"/>
      <c r="DJ402" s="6"/>
      <c r="DK402" s="6"/>
      <c r="DL402" s="6"/>
      <c r="DM402" s="6"/>
      <c r="DN402" s="6"/>
      <c r="DO402" s="6"/>
      <c r="DP402" s="6"/>
      <c r="DQ402" s="6"/>
      <c r="DR402" s="6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  <c r="ER402" s="6"/>
      <c r="ES402" s="6"/>
      <c r="ET402" s="6"/>
      <c r="EU402" s="6"/>
      <c r="EV402" s="6"/>
      <c r="EW402" s="6"/>
      <c r="EX402" s="6"/>
      <c r="EY402" s="6"/>
      <c r="EZ402" s="6"/>
      <c r="FA402" s="6"/>
      <c r="FB402" s="6"/>
      <c r="FC402" s="6"/>
      <c r="FD402" s="6"/>
      <c r="FE402" s="6"/>
      <c r="FF402" s="6"/>
      <c r="FG402" s="6"/>
      <c r="FH402" s="6"/>
      <c r="FI402" s="6"/>
      <c r="FJ402" s="6"/>
      <c r="FK402" s="6"/>
      <c r="FL402" s="6"/>
      <c r="FM402" s="6"/>
      <c r="FN402" s="6"/>
      <c r="FO402" s="6"/>
      <c r="FP402" s="6"/>
      <c r="FQ402" s="6"/>
      <c r="FR402" s="6"/>
      <c r="FS402" s="6"/>
      <c r="FT402" s="6"/>
      <c r="FU402" s="6"/>
      <c r="FV402" s="6"/>
      <c r="FW402" s="6"/>
      <c r="FX402" s="6"/>
      <c r="FY402" s="6"/>
      <c r="FZ402" s="6"/>
      <c r="GA402" s="6"/>
      <c r="GB402" s="6"/>
      <c r="GC402" s="6"/>
      <c r="GD402" s="6"/>
      <c r="GE402" s="6"/>
      <c r="GF402" s="6"/>
      <c r="GG402" s="6"/>
      <c r="GH402" s="6"/>
      <c r="GI402" s="6"/>
      <c r="GJ402" s="6"/>
      <c r="GK402" s="6"/>
      <c r="GL402" s="6"/>
      <c r="GM402" s="6"/>
      <c r="GN402" s="6"/>
      <c r="GO402" s="6"/>
      <c r="GP402" s="6"/>
      <c r="GQ402" s="6"/>
      <c r="GR402" s="6"/>
      <c r="GS402" s="6"/>
      <c r="GT402" s="6"/>
      <c r="GU402" s="6"/>
      <c r="GV402" s="6"/>
      <c r="GW402" s="6"/>
      <c r="GX402" s="6"/>
      <c r="GY402" s="6"/>
      <c r="GZ402" s="6"/>
      <c r="HA402" s="6"/>
      <c r="HB402" s="6"/>
      <c r="HC402" s="6"/>
      <c r="HD402" s="6"/>
      <c r="HE402" s="6"/>
      <c r="HF402" s="6"/>
      <c r="HG402" s="6"/>
      <c r="HH402" s="6"/>
      <c r="HI402" s="6"/>
      <c r="HJ402" s="6"/>
      <c r="HK402" s="6"/>
      <c r="HL402" s="6"/>
      <c r="HM402" s="6"/>
      <c r="HN402" s="6"/>
      <c r="HO402" s="6"/>
      <c r="HP402" s="6"/>
      <c r="HQ402" s="6"/>
      <c r="HR402" s="6"/>
      <c r="HS402" s="6"/>
      <c r="HT402" s="6"/>
      <c r="HU402" s="6"/>
    </row>
    <row r="403" spans="9:229"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6"/>
      <c r="CW403" s="6"/>
      <c r="CX403" s="6"/>
      <c r="CY403" s="6"/>
      <c r="CZ403" s="6"/>
      <c r="DA403" s="6"/>
      <c r="DB403" s="6"/>
      <c r="DC403" s="6"/>
      <c r="DD403" s="6"/>
      <c r="DE403" s="6"/>
      <c r="DF403" s="6"/>
      <c r="DG403" s="6"/>
      <c r="DH403" s="6"/>
      <c r="DI403" s="6"/>
      <c r="DJ403" s="6"/>
      <c r="DK403" s="6"/>
      <c r="DL403" s="6"/>
      <c r="DM403" s="6"/>
      <c r="DN403" s="6"/>
      <c r="DO403" s="6"/>
      <c r="DP403" s="6"/>
      <c r="DQ403" s="6"/>
      <c r="DR403" s="6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  <c r="ER403" s="6"/>
      <c r="ES403" s="6"/>
      <c r="ET403" s="6"/>
      <c r="EU403" s="6"/>
      <c r="EV403" s="6"/>
      <c r="EW403" s="6"/>
      <c r="EX403" s="6"/>
      <c r="EY403" s="6"/>
      <c r="EZ403" s="6"/>
      <c r="FA403" s="6"/>
      <c r="FB403" s="6"/>
      <c r="FC403" s="6"/>
      <c r="FD403" s="6"/>
      <c r="FE403" s="6"/>
      <c r="FF403" s="6"/>
      <c r="FG403" s="6"/>
      <c r="FH403" s="6"/>
      <c r="FI403" s="6"/>
      <c r="FJ403" s="6"/>
      <c r="FK403" s="6"/>
      <c r="FL403" s="6"/>
      <c r="FM403" s="6"/>
      <c r="FN403" s="6"/>
      <c r="FO403" s="6"/>
      <c r="FP403" s="6"/>
      <c r="FQ403" s="6"/>
      <c r="FR403" s="6"/>
      <c r="FS403" s="6"/>
      <c r="FT403" s="6"/>
      <c r="FU403" s="6"/>
      <c r="FV403" s="6"/>
      <c r="FW403" s="6"/>
      <c r="FX403" s="6"/>
      <c r="FY403" s="6"/>
      <c r="FZ403" s="6"/>
      <c r="GA403" s="6"/>
      <c r="GB403" s="6"/>
      <c r="GC403" s="6"/>
      <c r="GD403" s="6"/>
      <c r="GE403" s="6"/>
      <c r="GF403" s="6"/>
      <c r="GG403" s="6"/>
      <c r="GH403" s="6"/>
      <c r="GI403" s="6"/>
      <c r="GJ403" s="6"/>
      <c r="GK403" s="6"/>
      <c r="GL403" s="6"/>
      <c r="GM403" s="6"/>
      <c r="GN403" s="6"/>
      <c r="GO403" s="6"/>
      <c r="GP403" s="6"/>
      <c r="GQ403" s="6"/>
      <c r="GR403" s="6"/>
      <c r="GS403" s="6"/>
      <c r="GT403" s="6"/>
      <c r="GU403" s="6"/>
      <c r="GV403" s="6"/>
      <c r="GW403" s="6"/>
      <c r="GX403" s="6"/>
      <c r="GY403" s="6"/>
      <c r="GZ403" s="6"/>
      <c r="HA403" s="6"/>
      <c r="HB403" s="6"/>
      <c r="HC403" s="6"/>
      <c r="HD403" s="6"/>
      <c r="HE403" s="6"/>
      <c r="HF403" s="6"/>
      <c r="HG403" s="6"/>
      <c r="HH403" s="6"/>
      <c r="HI403" s="6"/>
      <c r="HJ403" s="6"/>
      <c r="HK403" s="6"/>
      <c r="HL403" s="6"/>
      <c r="HM403" s="6"/>
      <c r="HN403" s="6"/>
      <c r="HO403" s="6"/>
      <c r="HP403" s="6"/>
      <c r="HQ403" s="6"/>
      <c r="HR403" s="6"/>
      <c r="HS403" s="6"/>
      <c r="HT403" s="6"/>
      <c r="HU403" s="6"/>
    </row>
    <row r="404" spans="9:229"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6"/>
      <c r="CW404" s="6"/>
      <c r="CX404" s="6"/>
      <c r="CY404" s="6"/>
      <c r="CZ404" s="6"/>
      <c r="DA404" s="6"/>
      <c r="DB404" s="6"/>
      <c r="DC404" s="6"/>
      <c r="DD404" s="6"/>
      <c r="DE404" s="6"/>
      <c r="DF404" s="6"/>
      <c r="DG404" s="6"/>
      <c r="DH404" s="6"/>
      <c r="DI404" s="6"/>
      <c r="DJ404" s="6"/>
      <c r="DK404" s="6"/>
      <c r="DL404" s="6"/>
      <c r="DM404" s="6"/>
      <c r="DN404" s="6"/>
      <c r="DO404" s="6"/>
      <c r="DP404" s="6"/>
      <c r="DQ404" s="6"/>
      <c r="DR404" s="6"/>
      <c r="DS404" s="6"/>
      <c r="DT404" s="6"/>
      <c r="DU404" s="6"/>
      <c r="DV404" s="6"/>
      <c r="DW404" s="6"/>
      <c r="DX404" s="6"/>
      <c r="DY404" s="6"/>
      <c r="DZ404" s="6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  <c r="ER404" s="6"/>
      <c r="ES404" s="6"/>
      <c r="ET404" s="6"/>
      <c r="EU404" s="6"/>
      <c r="EV404" s="6"/>
      <c r="EW404" s="6"/>
      <c r="EX404" s="6"/>
      <c r="EY404" s="6"/>
      <c r="EZ404" s="6"/>
      <c r="FA404" s="6"/>
      <c r="FB404" s="6"/>
      <c r="FC404" s="6"/>
      <c r="FD404" s="6"/>
      <c r="FE404" s="6"/>
      <c r="FF404" s="6"/>
      <c r="FG404" s="6"/>
      <c r="FH404" s="6"/>
      <c r="FI404" s="6"/>
      <c r="FJ404" s="6"/>
      <c r="FK404" s="6"/>
      <c r="FL404" s="6"/>
      <c r="FM404" s="6"/>
      <c r="FN404" s="6"/>
      <c r="FO404" s="6"/>
      <c r="FP404" s="6"/>
      <c r="FQ404" s="6"/>
      <c r="FR404" s="6"/>
      <c r="FS404" s="6"/>
      <c r="FT404" s="6"/>
      <c r="FU404" s="6"/>
      <c r="FV404" s="6"/>
      <c r="FW404" s="6"/>
      <c r="FX404" s="6"/>
      <c r="FY404" s="6"/>
      <c r="FZ404" s="6"/>
      <c r="GA404" s="6"/>
      <c r="GB404" s="6"/>
      <c r="GC404" s="6"/>
      <c r="GD404" s="6"/>
      <c r="GE404" s="6"/>
      <c r="GF404" s="6"/>
      <c r="GG404" s="6"/>
      <c r="GH404" s="6"/>
      <c r="GI404" s="6"/>
      <c r="GJ404" s="6"/>
      <c r="GK404" s="6"/>
      <c r="GL404" s="6"/>
      <c r="GM404" s="6"/>
      <c r="GN404" s="6"/>
      <c r="GO404" s="6"/>
      <c r="GP404" s="6"/>
      <c r="GQ404" s="6"/>
      <c r="GR404" s="6"/>
      <c r="GS404" s="6"/>
      <c r="GT404" s="6"/>
      <c r="GU404" s="6"/>
      <c r="GV404" s="6"/>
      <c r="GW404" s="6"/>
      <c r="GX404" s="6"/>
      <c r="GY404" s="6"/>
      <c r="GZ404" s="6"/>
      <c r="HA404" s="6"/>
      <c r="HB404" s="6"/>
      <c r="HC404" s="6"/>
      <c r="HD404" s="6"/>
      <c r="HE404" s="6"/>
      <c r="HF404" s="6"/>
      <c r="HG404" s="6"/>
      <c r="HH404" s="6"/>
      <c r="HI404" s="6"/>
      <c r="HJ404" s="6"/>
      <c r="HK404" s="6"/>
      <c r="HL404" s="6"/>
      <c r="HM404" s="6"/>
      <c r="HN404" s="6"/>
      <c r="HO404" s="6"/>
      <c r="HP404" s="6"/>
      <c r="HQ404" s="6"/>
      <c r="HR404" s="6"/>
      <c r="HS404" s="6"/>
      <c r="HT404" s="6"/>
      <c r="HU404" s="6"/>
    </row>
    <row r="405" spans="9:229"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6"/>
      <c r="CW405" s="6"/>
      <c r="CX405" s="6"/>
      <c r="CY405" s="6"/>
      <c r="CZ405" s="6"/>
      <c r="DA405" s="6"/>
      <c r="DB405" s="6"/>
      <c r="DC405" s="6"/>
      <c r="DD405" s="6"/>
      <c r="DE405" s="6"/>
      <c r="DF405" s="6"/>
      <c r="DG405" s="6"/>
      <c r="DH405" s="6"/>
      <c r="DI405" s="6"/>
      <c r="DJ405" s="6"/>
      <c r="DK405" s="6"/>
      <c r="DL405" s="6"/>
      <c r="DM405" s="6"/>
      <c r="DN405" s="6"/>
      <c r="DO405" s="6"/>
      <c r="DP405" s="6"/>
      <c r="DQ405" s="6"/>
      <c r="DR405" s="6"/>
      <c r="DS405" s="6"/>
      <c r="DT405" s="6"/>
      <c r="DU405" s="6"/>
      <c r="DV405" s="6"/>
      <c r="DW405" s="6"/>
      <c r="DX405" s="6"/>
      <c r="DY405" s="6"/>
      <c r="DZ405" s="6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  <c r="ER405" s="6"/>
      <c r="ES405" s="6"/>
      <c r="ET405" s="6"/>
      <c r="EU405" s="6"/>
      <c r="EV405" s="6"/>
      <c r="EW405" s="6"/>
      <c r="EX405" s="6"/>
      <c r="EY405" s="6"/>
      <c r="EZ405" s="6"/>
      <c r="FA405" s="6"/>
      <c r="FB405" s="6"/>
      <c r="FC405" s="6"/>
      <c r="FD405" s="6"/>
      <c r="FE405" s="6"/>
      <c r="FF405" s="6"/>
      <c r="FG405" s="6"/>
      <c r="FH405" s="6"/>
      <c r="FI405" s="6"/>
      <c r="FJ405" s="6"/>
      <c r="FK405" s="6"/>
      <c r="FL405" s="6"/>
      <c r="FM405" s="6"/>
      <c r="FN405" s="6"/>
      <c r="FO405" s="6"/>
      <c r="FP405" s="6"/>
      <c r="FQ405" s="6"/>
      <c r="FR405" s="6"/>
      <c r="FS405" s="6"/>
      <c r="FT405" s="6"/>
      <c r="FU405" s="6"/>
      <c r="FV405" s="6"/>
      <c r="FW405" s="6"/>
      <c r="FX405" s="6"/>
      <c r="FY405" s="6"/>
      <c r="FZ405" s="6"/>
      <c r="GA405" s="6"/>
      <c r="GB405" s="6"/>
      <c r="GC405" s="6"/>
      <c r="GD405" s="6"/>
      <c r="GE405" s="6"/>
      <c r="GF405" s="6"/>
      <c r="GG405" s="6"/>
      <c r="GH405" s="6"/>
      <c r="GI405" s="6"/>
      <c r="GJ405" s="6"/>
      <c r="GK405" s="6"/>
      <c r="GL405" s="6"/>
      <c r="GM405" s="6"/>
      <c r="GN405" s="6"/>
      <c r="GO405" s="6"/>
      <c r="GP405" s="6"/>
      <c r="GQ405" s="6"/>
      <c r="GR405" s="6"/>
      <c r="GS405" s="6"/>
      <c r="GT405" s="6"/>
      <c r="GU405" s="6"/>
      <c r="GV405" s="6"/>
      <c r="GW405" s="6"/>
      <c r="GX405" s="6"/>
      <c r="GY405" s="6"/>
      <c r="GZ405" s="6"/>
      <c r="HA405" s="6"/>
      <c r="HB405" s="6"/>
      <c r="HC405" s="6"/>
      <c r="HD405" s="6"/>
      <c r="HE405" s="6"/>
      <c r="HF405" s="6"/>
      <c r="HG405" s="6"/>
      <c r="HH405" s="6"/>
      <c r="HI405" s="6"/>
      <c r="HJ405" s="6"/>
      <c r="HK405" s="6"/>
      <c r="HL405" s="6"/>
      <c r="HM405" s="6"/>
      <c r="HN405" s="6"/>
      <c r="HO405" s="6"/>
      <c r="HP405" s="6"/>
      <c r="HQ405" s="6"/>
      <c r="HR405" s="6"/>
      <c r="HS405" s="6"/>
      <c r="HT405" s="6"/>
      <c r="HU405" s="6"/>
    </row>
    <row r="406" spans="9:229"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6"/>
      <c r="CW406" s="6"/>
      <c r="CX406" s="6"/>
      <c r="CY406" s="6"/>
      <c r="CZ406" s="6"/>
      <c r="DA406" s="6"/>
      <c r="DB406" s="6"/>
      <c r="DC406" s="6"/>
      <c r="DD406" s="6"/>
      <c r="DE406" s="6"/>
      <c r="DF406" s="6"/>
      <c r="DG406" s="6"/>
      <c r="DH406" s="6"/>
      <c r="DI406" s="6"/>
      <c r="DJ406" s="6"/>
      <c r="DK406" s="6"/>
      <c r="DL406" s="6"/>
      <c r="DM406" s="6"/>
      <c r="DN406" s="6"/>
      <c r="DO406" s="6"/>
      <c r="DP406" s="6"/>
      <c r="DQ406" s="6"/>
      <c r="DR406" s="6"/>
      <c r="DS406" s="6"/>
      <c r="DT406" s="6"/>
      <c r="DU406" s="6"/>
      <c r="DV406" s="6"/>
      <c r="DW406" s="6"/>
      <c r="DX406" s="6"/>
      <c r="DY406" s="6"/>
      <c r="DZ406" s="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  <c r="ER406" s="6"/>
      <c r="ES406" s="6"/>
      <c r="ET406" s="6"/>
      <c r="EU406" s="6"/>
      <c r="EV406" s="6"/>
      <c r="EW406" s="6"/>
      <c r="EX406" s="6"/>
      <c r="EY406" s="6"/>
      <c r="EZ406" s="6"/>
      <c r="FA406" s="6"/>
      <c r="FB406" s="6"/>
      <c r="FC406" s="6"/>
      <c r="FD406" s="6"/>
      <c r="FE406" s="6"/>
      <c r="FF406" s="6"/>
      <c r="FG406" s="6"/>
      <c r="FH406" s="6"/>
      <c r="FI406" s="6"/>
      <c r="FJ406" s="6"/>
      <c r="FK406" s="6"/>
      <c r="FL406" s="6"/>
      <c r="FM406" s="6"/>
      <c r="FN406" s="6"/>
      <c r="FO406" s="6"/>
      <c r="FP406" s="6"/>
      <c r="FQ406" s="6"/>
      <c r="FR406" s="6"/>
      <c r="FS406" s="6"/>
      <c r="FT406" s="6"/>
      <c r="FU406" s="6"/>
      <c r="FV406" s="6"/>
      <c r="FW406" s="6"/>
      <c r="FX406" s="6"/>
      <c r="FY406" s="6"/>
      <c r="FZ406" s="6"/>
      <c r="GA406" s="6"/>
      <c r="GB406" s="6"/>
      <c r="GC406" s="6"/>
      <c r="GD406" s="6"/>
      <c r="GE406" s="6"/>
      <c r="GF406" s="6"/>
      <c r="GG406" s="6"/>
      <c r="GH406" s="6"/>
      <c r="GI406" s="6"/>
      <c r="GJ406" s="6"/>
      <c r="GK406" s="6"/>
      <c r="GL406" s="6"/>
      <c r="GM406" s="6"/>
      <c r="GN406" s="6"/>
      <c r="GO406" s="6"/>
      <c r="GP406" s="6"/>
      <c r="GQ406" s="6"/>
      <c r="GR406" s="6"/>
      <c r="GS406" s="6"/>
      <c r="GT406" s="6"/>
      <c r="GU406" s="6"/>
      <c r="GV406" s="6"/>
      <c r="GW406" s="6"/>
      <c r="GX406" s="6"/>
      <c r="GY406" s="6"/>
      <c r="GZ406" s="6"/>
      <c r="HA406" s="6"/>
      <c r="HB406" s="6"/>
      <c r="HC406" s="6"/>
      <c r="HD406" s="6"/>
      <c r="HE406" s="6"/>
      <c r="HF406" s="6"/>
      <c r="HG406" s="6"/>
      <c r="HH406" s="6"/>
      <c r="HI406" s="6"/>
      <c r="HJ406" s="6"/>
      <c r="HK406" s="6"/>
      <c r="HL406" s="6"/>
      <c r="HM406" s="6"/>
      <c r="HN406" s="6"/>
      <c r="HO406" s="6"/>
      <c r="HP406" s="6"/>
      <c r="HQ406" s="6"/>
      <c r="HR406" s="6"/>
      <c r="HS406" s="6"/>
      <c r="HT406" s="6"/>
      <c r="HU406" s="6"/>
    </row>
    <row r="407" spans="9:229"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6"/>
      <c r="CW407" s="6"/>
      <c r="CX407" s="6"/>
      <c r="CY407" s="6"/>
      <c r="CZ407" s="6"/>
      <c r="DA407" s="6"/>
      <c r="DB407" s="6"/>
      <c r="DC407" s="6"/>
      <c r="DD407" s="6"/>
      <c r="DE407" s="6"/>
      <c r="DF407" s="6"/>
      <c r="DG407" s="6"/>
      <c r="DH407" s="6"/>
      <c r="DI407" s="6"/>
      <c r="DJ407" s="6"/>
      <c r="DK407" s="6"/>
      <c r="DL407" s="6"/>
      <c r="DM407" s="6"/>
      <c r="DN407" s="6"/>
      <c r="DO407" s="6"/>
      <c r="DP407" s="6"/>
      <c r="DQ407" s="6"/>
      <c r="DR407" s="6"/>
      <c r="DS407" s="6"/>
      <c r="DT407" s="6"/>
      <c r="DU407" s="6"/>
      <c r="DV407" s="6"/>
      <c r="DW407" s="6"/>
      <c r="DX407" s="6"/>
      <c r="DY407" s="6"/>
      <c r="DZ407" s="6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  <c r="ER407" s="6"/>
      <c r="ES407" s="6"/>
      <c r="ET407" s="6"/>
      <c r="EU407" s="6"/>
      <c r="EV407" s="6"/>
      <c r="EW407" s="6"/>
      <c r="EX407" s="6"/>
      <c r="EY407" s="6"/>
      <c r="EZ407" s="6"/>
      <c r="FA407" s="6"/>
      <c r="FB407" s="6"/>
      <c r="FC407" s="6"/>
      <c r="FD407" s="6"/>
      <c r="FE407" s="6"/>
      <c r="FF407" s="6"/>
      <c r="FG407" s="6"/>
      <c r="FH407" s="6"/>
      <c r="FI407" s="6"/>
      <c r="FJ407" s="6"/>
      <c r="FK407" s="6"/>
      <c r="FL407" s="6"/>
      <c r="FM407" s="6"/>
      <c r="FN407" s="6"/>
      <c r="FO407" s="6"/>
      <c r="FP407" s="6"/>
      <c r="FQ407" s="6"/>
      <c r="FR407" s="6"/>
      <c r="FS407" s="6"/>
      <c r="FT407" s="6"/>
      <c r="FU407" s="6"/>
      <c r="FV407" s="6"/>
      <c r="FW407" s="6"/>
      <c r="FX407" s="6"/>
      <c r="FY407" s="6"/>
      <c r="FZ407" s="6"/>
      <c r="GA407" s="6"/>
      <c r="GB407" s="6"/>
      <c r="GC407" s="6"/>
      <c r="GD407" s="6"/>
      <c r="GE407" s="6"/>
      <c r="GF407" s="6"/>
      <c r="GG407" s="6"/>
      <c r="GH407" s="6"/>
      <c r="GI407" s="6"/>
      <c r="GJ407" s="6"/>
      <c r="GK407" s="6"/>
      <c r="GL407" s="6"/>
      <c r="GM407" s="6"/>
      <c r="GN407" s="6"/>
      <c r="GO407" s="6"/>
      <c r="GP407" s="6"/>
      <c r="GQ407" s="6"/>
      <c r="GR407" s="6"/>
      <c r="GS407" s="6"/>
      <c r="GT407" s="6"/>
      <c r="GU407" s="6"/>
      <c r="GV407" s="6"/>
      <c r="GW407" s="6"/>
      <c r="GX407" s="6"/>
      <c r="GY407" s="6"/>
      <c r="GZ407" s="6"/>
      <c r="HA407" s="6"/>
      <c r="HB407" s="6"/>
      <c r="HC407" s="6"/>
      <c r="HD407" s="6"/>
      <c r="HE407" s="6"/>
      <c r="HF407" s="6"/>
      <c r="HG407" s="6"/>
      <c r="HH407" s="6"/>
      <c r="HI407" s="6"/>
      <c r="HJ407" s="6"/>
      <c r="HK407" s="6"/>
      <c r="HL407" s="6"/>
      <c r="HM407" s="6"/>
      <c r="HN407" s="6"/>
      <c r="HO407" s="6"/>
      <c r="HP407" s="6"/>
      <c r="HQ407" s="6"/>
      <c r="HR407" s="6"/>
      <c r="HS407" s="6"/>
      <c r="HT407" s="6"/>
      <c r="HU407" s="6"/>
    </row>
    <row r="408" spans="9:229"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6"/>
      <c r="CW408" s="6"/>
      <c r="CX408" s="6"/>
      <c r="CY408" s="6"/>
      <c r="CZ408" s="6"/>
      <c r="DA408" s="6"/>
      <c r="DB408" s="6"/>
      <c r="DC408" s="6"/>
      <c r="DD408" s="6"/>
      <c r="DE408" s="6"/>
      <c r="DF408" s="6"/>
      <c r="DG408" s="6"/>
      <c r="DH408" s="6"/>
      <c r="DI408" s="6"/>
      <c r="DJ408" s="6"/>
      <c r="DK408" s="6"/>
      <c r="DL408" s="6"/>
      <c r="DM408" s="6"/>
      <c r="DN408" s="6"/>
      <c r="DO408" s="6"/>
      <c r="DP408" s="6"/>
      <c r="DQ408" s="6"/>
      <c r="DR408" s="6"/>
      <c r="DS408" s="6"/>
      <c r="DT408" s="6"/>
      <c r="DU408" s="6"/>
      <c r="DV408" s="6"/>
      <c r="DW408" s="6"/>
      <c r="DX408" s="6"/>
      <c r="DY408" s="6"/>
      <c r="DZ408" s="6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  <c r="ER408" s="6"/>
      <c r="ES408" s="6"/>
      <c r="ET408" s="6"/>
      <c r="EU408" s="6"/>
      <c r="EV408" s="6"/>
      <c r="EW408" s="6"/>
      <c r="EX408" s="6"/>
      <c r="EY408" s="6"/>
      <c r="EZ408" s="6"/>
      <c r="FA408" s="6"/>
      <c r="FB408" s="6"/>
      <c r="FC408" s="6"/>
      <c r="FD408" s="6"/>
      <c r="FE408" s="6"/>
      <c r="FF408" s="6"/>
      <c r="FG408" s="6"/>
      <c r="FH408" s="6"/>
      <c r="FI408" s="6"/>
      <c r="FJ408" s="6"/>
      <c r="FK408" s="6"/>
      <c r="FL408" s="6"/>
      <c r="FM408" s="6"/>
      <c r="FN408" s="6"/>
      <c r="FO408" s="6"/>
      <c r="FP408" s="6"/>
      <c r="FQ408" s="6"/>
      <c r="FR408" s="6"/>
      <c r="FS408" s="6"/>
      <c r="FT408" s="6"/>
      <c r="FU408" s="6"/>
      <c r="FV408" s="6"/>
      <c r="FW408" s="6"/>
      <c r="FX408" s="6"/>
      <c r="FY408" s="6"/>
      <c r="FZ408" s="6"/>
      <c r="GA408" s="6"/>
      <c r="GB408" s="6"/>
      <c r="GC408" s="6"/>
      <c r="GD408" s="6"/>
      <c r="GE408" s="6"/>
      <c r="GF408" s="6"/>
      <c r="GG408" s="6"/>
      <c r="GH408" s="6"/>
      <c r="GI408" s="6"/>
      <c r="GJ408" s="6"/>
      <c r="GK408" s="6"/>
      <c r="GL408" s="6"/>
      <c r="GM408" s="6"/>
      <c r="GN408" s="6"/>
      <c r="GO408" s="6"/>
      <c r="GP408" s="6"/>
      <c r="GQ408" s="6"/>
      <c r="GR408" s="6"/>
      <c r="GS408" s="6"/>
      <c r="GT408" s="6"/>
      <c r="GU408" s="6"/>
      <c r="GV408" s="6"/>
      <c r="GW408" s="6"/>
      <c r="GX408" s="6"/>
      <c r="GY408" s="6"/>
      <c r="GZ408" s="6"/>
      <c r="HA408" s="6"/>
      <c r="HB408" s="6"/>
      <c r="HC408" s="6"/>
      <c r="HD408" s="6"/>
      <c r="HE408" s="6"/>
      <c r="HF408" s="6"/>
      <c r="HG408" s="6"/>
      <c r="HH408" s="6"/>
      <c r="HI408" s="6"/>
      <c r="HJ408" s="6"/>
      <c r="HK408" s="6"/>
      <c r="HL408" s="6"/>
      <c r="HM408" s="6"/>
      <c r="HN408" s="6"/>
      <c r="HO408" s="6"/>
      <c r="HP408" s="6"/>
      <c r="HQ408" s="6"/>
      <c r="HR408" s="6"/>
      <c r="HS408" s="6"/>
      <c r="HT408" s="6"/>
      <c r="HU408" s="6"/>
    </row>
    <row r="409" spans="9:229"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6"/>
      <c r="CW409" s="6"/>
      <c r="CX409" s="6"/>
      <c r="CY409" s="6"/>
      <c r="CZ409" s="6"/>
      <c r="DA409" s="6"/>
      <c r="DB409" s="6"/>
      <c r="DC409" s="6"/>
      <c r="DD409" s="6"/>
      <c r="DE409" s="6"/>
      <c r="DF409" s="6"/>
      <c r="DG409" s="6"/>
      <c r="DH409" s="6"/>
      <c r="DI409" s="6"/>
      <c r="DJ409" s="6"/>
      <c r="DK409" s="6"/>
      <c r="DL409" s="6"/>
      <c r="DM409" s="6"/>
      <c r="DN409" s="6"/>
      <c r="DO409" s="6"/>
      <c r="DP409" s="6"/>
      <c r="DQ409" s="6"/>
      <c r="DR409" s="6"/>
      <c r="DS409" s="6"/>
      <c r="DT409" s="6"/>
      <c r="DU409" s="6"/>
      <c r="DV409" s="6"/>
      <c r="DW409" s="6"/>
      <c r="DX409" s="6"/>
      <c r="DY409" s="6"/>
      <c r="DZ409" s="6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  <c r="ER409" s="6"/>
      <c r="ES409" s="6"/>
      <c r="ET409" s="6"/>
      <c r="EU409" s="6"/>
      <c r="EV409" s="6"/>
      <c r="EW409" s="6"/>
      <c r="EX409" s="6"/>
      <c r="EY409" s="6"/>
      <c r="EZ409" s="6"/>
      <c r="FA409" s="6"/>
      <c r="FB409" s="6"/>
      <c r="FC409" s="6"/>
      <c r="FD409" s="6"/>
      <c r="FE409" s="6"/>
      <c r="FF409" s="6"/>
      <c r="FG409" s="6"/>
      <c r="FH409" s="6"/>
      <c r="FI409" s="6"/>
      <c r="FJ409" s="6"/>
      <c r="FK409" s="6"/>
      <c r="FL409" s="6"/>
      <c r="FM409" s="6"/>
      <c r="FN409" s="6"/>
      <c r="FO409" s="6"/>
      <c r="FP409" s="6"/>
      <c r="FQ409" s="6"/>
      <c r="FR409" s="6"/>
      <c r="FS409" s="6"/>
      <c r="FT409" s="6"/>
      <c r="FU409" s="6"/>
      <c r="FV409" s="6"/>
      <c r="FW409" s="6"/>
      <c r="FX409" s="6"/>
      <c r="FY409" s="6"/>
      <c r="FZ409" s="6"/>
      <c r="GA409" s="6"/>
      <c r="GB409" s="6"/>
      <c r="GC409" s="6"/>
      <c r="GD409" s="6"/>
      <c r="GE409" s="6"/>
      <c r="GF409" s="6"/>
      <c r="GG409" s="6"/>
      <c r="GH409" s="6"/>
      <c r="GI409" s="6"/>
      <c r="GJ409" s="6"/>
      <c r="GK409" s="6"/>
      <c r="GL409" s="6"/>
      <c r="GM409" s="6"/>
      <c r="GN409" s="6"/>
      <c r="GO409" s="6"/>
      <c r="GP409" s="6"/>
      <c r="GQ409" s="6"/>
      <c r="GR409" s="6"/>
      <c r="GS409" s="6"/>
      <c r="GT409" s="6"/>
      <c r="GU409" s="6"/>
      <c r="GV409" s="6"/>
      <c r="GW409" s="6"/>
      <c r="GX409" s="6"/>
      <c r="GY409" s="6"/>
      <c r="GZ409" s="6"/>
      <c r="HA409" s="6"/>
      <c r="HB409" s="6"/>
      <c r="HC409" s="6"/>
      <c r="HD409" s="6"/>
      <c r="HE409" s="6"/>
      <c r="HF409" s="6"/>
      <c r="HG409" s="6"/>
      <c r="HH409" s="6"/>
      <c r="HI409" s="6"/>
      <c r="HJ409" s="6"/>
      <c r="HK409" s="6"/>
      <c r="HL409" s="6"/>
      <c r="HM409" s="6"/>
      <c r="HN409" s="6"/>
      <c r="HO409" s="6"/>
      <c r="HP409" s="6"/>
      <c r="HQ409" s="6"/>
      <c r="HR409" s="6"/>
      <c r="HS409" s="6"/>
      <c r="HT409" s="6"/>
      <c r="HU409" s="6"/>
    </row>
    <row r="410" spans="9:229"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6"/>
      <c r="CW410" s="6"/>
      <c r="CX410" s="6"/>
      <c r="CY410" s="6"/>
      <c r="CZ410" s="6"/>
      <c r="DA410" s="6"/>
      <c r="DB410" s="6"/>
      <c r="DC410" s="6"/>
      <c r="DD410" s="6"/>
      <c r="DE410" s="6"/>
      <c r="DF410" s="6"/>
      <c r="DG410" s="6"/>
      <c r="DH410" s="6"/>
      <c r="DI410" s="6"/>
      <c r="DJ410" s="6"/>
      <c r="DK410" s="6"/>
      <c r="DL410" s="6"/>
      <c r="DM410" s="6"/>
      <c r="DN410" s="6"/>
      <c r="DO410" s="6"/>
      <c r="DP410" s="6"/>
      <c r="DQ410" s="6"/>
      <c r="DR410" s="6"/>
      <c r="DS410" s="6"/>
      <c r="DT410" s="6"/>
      <c r="DU410" s="6"/>
      <c r="DV410" s="6"/>
      <c r="DW410" s="6"/>
      <c r="DX410" s="6"/>
      <c r="DY410" s="6"/>
      <c r="DZ410" s="6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  <c r="ER410" s="6"/>
      <c r="ES410" s="6"/>
      <c r="ET410" s="6"/>
      <c r="EU410" s="6"/>
      <c r="EV410" s="6"/>
      <c r="EW410" s="6"/>
      <c r="EX410" s="6"/>
      <c r="EY410" s="6"/>
      <c r="EZ410" s="6"/>
      <c r="FA410" s="6"/>
      <c r="FB410" s="6"/>
      <c r="FC410" s="6"/>
      <c r="FD410" s="6"/>
      <c r="FE410" s="6"/>
      <c r="FF410" s="6"/>
      <c r="FG410" s="6"/>
      <c r="FH410" s="6"/>
      <c r="FI410" s="6"/>
      <c r="FJ410" s="6"/>
      <c r="FK410" s="6"/>
      <c r="FL410" s="6"/>
      <c r="FM410" s="6"/>
      <c r="FN410" s="6"/>
      <c r="FO410" s="6"/>
      <c r="FP410" s="6"/>
      <c r="FQ410" s="6"/>
      <c r="FR410" s="6"/>
      <c r="FS410" s="6"/>
      <c r="FT410" s="6"/>
      <c r="FU410" s="6"/>
      <c r="FV410" s="6"/>
      <c r="FW410" s="6"/>
      <c r="FX410" s="6"/>
      <c r="FY410" s="6"/>
      <c r="FZ410" s="6"/>
      <c r="GA410" s="6"/>
      <c r="GB410" s="6"/>
      <c r="GC410" s="6"/>
      <c r="GD410" s="6"/>
      <c r="GE410" s="6"/>
      <c r="GF410" s="6"/>
      <c r="GG410" s="6"/>
      <c r="GH410" s="6"/>
      <c r="GI410" s="6"/>
      <c r="GJ410" s="6"/>
      <c r="GK410" s="6"/>
      <c r="GL410" s="6"/>
      <c r="GM410" s="6"/>
      <c r="GN410" s="6"/>
      <c r="GO410" s="6"/>
      <c r="GP410" s="6"/>
      <c r="GQ410" s="6"/>
      <c r="GR410" s="6"/>
      <c r="GS410" s="6"/>
      <c r="GT410" s="6"/>
      <c r="GU410" s="6"/>
      <c r="GV410" s="6"/>
      <c r="GW410" s="6"/>
      <c r="GX410" s="6"/>
      <c r="GY410" s="6"/>
      <c r="GZ410" s="6"/>
      <c r="HA410" s="6"/>
      <c r="HB410" s="6"/>
      <c r="HC410" s="6"/>
      <c r="HD410" s="6"/>
      <c r="HE410" s="6"/>
      <c r="HF410" s="6"/>
      <c r="HG410" s="6"/>
      <c r="HH410" s="6"/>
      <c r="HI410" s="6"/>
      <c r="HJ410" s="6"/>
      <c r="HK410" s="6"/>
      <c r="HL410" s="6"/>
      <c r="HM410" s="6"/>
      <c r="HN410" s="6"/>
      <c r="HO410" s="6"/>
      <c r="HP410" s="6"/>
      <c r="HQ410" s="6"/>
      <c r="HR410" s="6"/>
      <c r="HS410" s="6"/>
      <c r="HT410" s="6"/>
      <c r="HU410" s="6"/>
    </row>
    <row r="411" spans="9:229"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6"/>
      <c r="CW411" s="6"/>
      <c r="CX411" s="6"/>
      <c r="CY411" s="6"/>
      <c r="CZ411" s="6"/>
      <c r="DA411" s="6"/>
      <c r="DB411" s="6"/>
      <c r="DC411" s="6"/>
      <c r="DD411" s="6"/>
      <c r="DE411" s="6"/>
      <c r="DF411" s="6"/>
      <c r="DG411" s="6"/>
      <c r="DH411" s="6"/>
      <c r="DI411" s="6"/>
      <c r="DJ411" s="6"/>
      <c r="DK411" s="6"/>
      <c r="DL411" s="6"/>
      <c r="DM411" s="6"/>
      <c r="DN411" s="6"/>
      <c r="DO411" s="6"/>
      <c r="DP411" s="6"/>
      <c r="DQ411" s="6"/>
      <c r="DR411" s="6"/>
      <c r="DS411" s="6"/>
      <c r="DT411" s="6"/>
      <c r="DU411" s="6"/>
      <c r="DV411" s="6"/>
      <c r="DW411" s="6"/>
      <c r="DX411" s="6"/>
      <c r="DY411" s="6"/>
      <c r="DZ411" s="6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  <c r="ER411" s="6"/>
      <c r="ES411" s="6"/>
      <c r="ET411" s="6"/>
      <c r="EU411" s="6"/>
      <c r="EV411" s="6"/>
      <c r="EW411" s="6"/>
      <c r="EX411" s="6"/>
      <c r="EY411" s="6"/>
      <c r="EZ411" s="6"/>
      <c r="FA411" s="6"/>
      <c r="FB411" s="6"/>
      <c r="FC411" s="6"/>
      <c r="FD411" s="6"/>
      <c r="FE411" s="6"/>
      <c r="FF411" s="6"/>
      <c r="FG411" s="6"/>
      <c r="FH411" s="6"/>
      <c r="FI411" s="6"/>
      <c r="FJ411" s="6"/>
      <c r="FK411" s="6"/>
      <c r="FL411" s="6"/>
      <c r="FM411" s="6"/>
      <c r="FN411" s="6"/>
      <c r="FO411" s="6"/>
      <c r="FP411" s="6"/>
      <c r="FQ411" s="6"/>
      <c r="FR411" s="6"/>
      <c r="FS411" s="6"/>
      <c r="FT411" s="6"/>
      <c r="FU411" s="6"/>
      <c r="FV411" s="6"/>
      <c r="FW411" s="6"/>
      <c r="FX411" s="6"/>
      <c r="FY411" s="6"/>
      <c r="FZ411" s="6"/>
      <c r="GA411" s="6"/>
      <c r="GB411" s="6"/>
      <c r="GC411" s="6"/>
      <c r="GD411" s="6"/>
      <c r="GE411" s="6"/>
      <c r="GF411" s="6"/>
      <c r="GG411" s="6"/>
      <c r="GH411" s="6"/>
      <c r="GI411" s="6"/>
      <c r="GJ411" s="6"/>
      <c r="GK411" s="6"/>
      <c r="GL411" s="6"/>
      <c r="GM411" s="6"/>
      <c r="GN411" s="6"/>
      <c r="GO411" s="6"/>
      <c r="GP411" s="6"/>
      <c r="GQ411" s="6"/>
      <c r="GR411" s="6"/>
      <c r="GS411" s="6"/>
      <c r="GT411" s="6"/>
      <c r="GU411" s="6"/>
      <c r="GV411" s="6"/>
      <c r="GW411" s="6"/>
      <c r="GX411" s="6"/>
      <c r="GY411" s="6"/>
      <c r="GZ411" s="6"/>
      <c r="HA411" s="6"/>
      <c r="HB411" s="6"/>
      <c r="HC411" s="6"/>
      <c r="HD411" s="6"/>
      <c r="HE411" s="6"/>
      <c r="HF411" s="6"/>
      <c r="HG411" s="6"/>
      <c r="HH411" s="6"/>
      <c r="HI411" s="6"/>
      <c r="HJ411" s="6"/>
      <c r="HK411" s="6"/>
      <c r="HL411" s="6"/>
      <c r="HM411" s="6"/>
      <c r="HN411" s="6"/>
      <c r="HO411" s="6"/>
      <c r="HP411" s="6"/>
      <c r="HQ411" s="6"/>
      <c r="HR411" s="6"/>
      <c r="HS411" s="6"/>
      <c r="HT411" s="6"/>
      <c r="HU411" s="6"/>
    </row>
    <row r="412" spans="9:229"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6"/>
      <c r="CW412" s="6"/>
      <c r="CX412" s="6"/>
      <c r="CY412" s="6"/>
      <c r="CZ412" s="6"/>
      <c r="DA412" s="6"/>
      <c r="DB412" s="6"/>
      <c r="DC412" s="6"/>
      <c r="DD412" s="6"/>
      <c r="DE412" s="6"/>
      <c r="DF412" s="6"/>
      <c r="DG412" s="6"/>
      <c r="DH412" s="6"/>
      <c r="DI412" s="6"/>
      <c r="DJ412" s="6"/>
      <c r="DK412" s="6"/>
      <c r="DL412" s="6"/>
      <c r="DM412" s="6"/>
      <c r="DN412" s="6"/>
      <c r="DO412" s="6"/>
      <c r="DP412" s="6"/>
      <c r="DQ412" s="6"/>
      <c r="DR412" s="6"/>
      <c r="DS412" s="6"/>
      <c r="DT412" s="6"/>
      <c r="DU412" s="6"/>
      <c r="DV412" s="6"/>
      <c r="DW412" s="6"/>
      <c r="DX412" s="6"/>
      <c r="DY412" s="6"/>
      <c r="DZ412" s="6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  <c r="ER412" s="6"/>
      <c r="ES412" s="6"/>
      <c r="ET412" s="6"/>
      <c r="EU412" s="6"/>
      <c r="EV412" s="6"/>
      <c r="EW412" s="6"/>
      <c r="EX412" s="6"/>
      <c r="EY412" s="6"/>
      <c r="EZ412" s="6"/>
      <c r="FA412" s="6"/>
      <c r="FB412" s="6"/>
      <c r="FC412" s="6"/>
      <c r="FD412" s="6"/>
      <c r="FE412" s="6"/>
      <c r="FF412" s="6"/>
      <c r="FG412" s="6"/>
      <c r="FH412" s="6"/>
      <c r="FI412" s="6"/>
      <c r="FJ412" s="6"/>
      <c r="FK412" s="6"/>
      <c r="FL412" s="6"/>
      <c r="FM412" s="6"/>
      <c r="FN412" s="6"/>
      <c r="FO412" s="6"/>
      <c r="FP412" s="6"/>
      <c r="FQ412" s="6"/>
      <c r="FR412" s="6"/>
      <c r="FS412" s="6"/>
      <c r="FT412" s="6"/>
      <c r="FU412" s="6"/>
      <c r="FV412" s="6"/>
      <c r="FW412" s="6"/>
      <c r="FX412" s="6"/>
      <c r="FY412" s="6"/>
      <c r="FZ412" s="6"/>
      <c r="GA412" s="6"/>
      <c r="GB412" s="6"/>
      <c r="GC412" s="6"/>
      <c r="GD412" s="6"/>
      <c r="GE412" s="6"/>
      <c r="GF412" s="6"/>
      <c r="GG412" s="6"/>
      <c r="GH412" s="6"/>
      <c r="GI412" s="6"/>
      <c r="GJ412" s="6"/>
      <c r="GK412" s="6"/>
      <c r="GL412" s="6"/>
      <c r="GM412" s="6"/>
      <c r="GN412" s="6"/>
      <c r="GO412" s="6"/>
      <c r="GP412" s="6"/>
      <c r="GQ412" s="6"/>
      <c r="GR412" s="6"/>
      <c r="GS412" s="6"/>
      <c r="GT412" s="6"/>
      <c r="GU412" s="6"/>
      <c r="GV412" s="6"/>
      <c r="GW412" s="6"/>
      <c r="GX412" s="6"/>
      <c r="GY412" s="6"/>
      <c r="GZ412" s="6"/>
      <c r="HA412" s="6"/>
      <c r="HB412" s="6"/>
      <c r="HC412" s="6"/>
      <c r="HD412" s="6"/>
      <c r="HE412" s="6"/>
      <c r="HF412" s="6"/>
      <c r="HG412" s="6"/>
      <c r="HH412" s="6"/>
      <c r="HI412" s="6"/>
      <c r="HJ412" s="6"/>
      <c r="HK412" s="6"/>
      <c r="HL412" s="6"/>
      <c r="HM412" s="6"/>
      <c r="HN412" s="6"/>
      <c r="HO412" s="6"/>
      <c r="HP412" s="6"/>
      <c r="HQ412" s="6"/>
      <c r="HR412" s="6"/>
      <c r="HS412" s="6"/>
      <c r="HT412" s="6"/>
      <c r="HU412" s="6"/>
    </row>
    <row r="413" spans="9:229"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6"/>
      <c r="CW413" s="6"/>
      <c r="CX413" s="6"/>
      <c r="CY413" s="6"/>
      <c r="CZ413" s="6"/>
      <c r="DA413" s="6"/>
      <c r="DB413" s="6"/>
      <c r="DC413" s="6"/>
      <c r="DD413" s="6"/>
      <c r="DE413" s="6"/>
      <c r="DF413" s="6"/>
      <c r="DG413" s="6"/>
      <c r="DH413" s="6"/>
      <c r="DI413" s="6"/>
      <c r="DJ413" s="6"/>
      <c r="DK413" s="6"/>
      <c r="DL413" s="6"/>
      <c r="DM413" s="6"/>
      <c r="DN413" s="6"/>
      <c r="DO413" s="6"/>
      <c r="DP413" s="6"/>
      <c r="DQ413" s="6"/>
      <c r="DR413" s="6"/>
      <c r="DS413" s="6"/>
      <c r="DT413" s="6"/>
      <c r="DU413" s="6"/>
      <c r="DV413" s="6"/>
      <c r="DW413" s="6"/>
      <c r="DX413" s="6"/>
      <c r="DY413" s="6"/>
      <c r="DZ413" s="6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  <c r="ER413" s="6"/>
      <c r="ES413" s="6"/>
      <c r="ET413" s="6"/>
      <c r="EU413" s="6"/>
      <c r="EV413" s="6"/>
      <c r="EW413" s="6"/>
      <c r="EX413" s="6"/>
      <c r="EY413" s="6"/>
      <c r="EZ413" s="6"/>
      <c r="FA413" s="6"/>
      <c r="FB413" s="6"/>
      <c r="FC413" s="6"/>
      <c r="FD413" s="6"/>
      <c r="FE413" s="6"/>
      <c r="FF413" s="6"/>
      <c r="FG413" s="6"/>
      <c r="FH413" s="6"/>
      <c r="FI413" s="6"/>
      <c r="FJ413" s="6"/>
      <c r="FK413" s="6"/>
      <c r="FL413" s="6"/>
      <c r="FM413" s="6"/>
      <c r="FN413" s="6"/>
      <c r="FO413" s="6"/>
      <c r="FP413" s="6"/>
      <c r="FQ413" s="6"/>
      <c r="FR413" s="6"/>
      <c r="FS413" s="6"/>
      <c r="FT413" s="6"/>
      <c r="FU413" s="6"/>
      <c r="FV413" s="6"/>
      <c r="FW413" s="6"/>
      <c r="FX413" s="6"/>
      <c r="FY413" s="6"/>
      <c r="FZ413" s="6"/>
      <c r="GA413" s="6"/>
      <c r="GB413" s="6"/>
      <c r="GC413" s="6"/>
      <c r="GD413" s="6"/>
      <c r="GE413" s="6"/>
      <c r="GF413" s="6"/>
      <c r="GG413" s="6"/>
      <c r="GH413" s="6"/>
      <c r="GI413" s="6"/>
      <c r="GJ413" s="6"/>
      <c r="GK413" s="6"/>
      <c r="GL413" s="6"/>
      <c r="GM413" s="6"/>
      <c r="GN413" s="6"/>
      <c r="GO413" s="6"/>
      <c r="GP413" s="6"/>
      <c r="GQ413" s="6"/>
      <c r="GR413" s="6"/>
      <c r="GS413" s="6"/>
      <c r="GT413" s="6"/>
      <c r="GU413" s="6"/>
      <c r="GV413" s="6"/>
      <c r="GW413" s="6"/>
      <c r="GX413" s="6"/>
      <c r="GY413" s="6"/>
      <c r="GZ413" s="6"/>
      <c r="HA413" s="6"/>
      <c r="HB413" s="6"/>
      <c r="HC413" s="6"/>
      <c r="HD413" s="6"/>
      <c r="HE413" s="6"/>
      <c r="HF413" s="6"/>
      <c r="HG413" s="6"/>
      <c r="HH413" s="6"/>
      <c r="HI413" s="6"/>
      <c r="HJ413" s="6"/>
      <c r="HK413" s="6"/>
      <c r="HL413" s="6"/>
      <c r="HM413" s="6"/>
      <c r="HN413" s="6"/>
      <c r="HO413" s="6"/>
      <c r="HP413" s="6"/>
      <c r="HQ413" s="6"/>
      <c r="HR413" s="6"/>
      <c r="HS413" s="6"/>
      <c r="HT413" s="6"/>
      <c r="HU413" s="6"/>
    </row>
    <row r="414" spans="9:229"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6"/>
      <c r="CW414" s="6"/>
      <c r="CX414" s="6"/>
      <c r="CY414" s="6"/>
      <c r="CZ414" s="6"/>
      <c r="DA414" s="6"/>
      <c r="DB414" s="6"/>
      <c r="DC414" s="6"/>
      <c r="DD414" s="6"/>
      <c r="DE414" s="6"/>
      <c r="DF414" s="6"/>
      <c r="DG414" s="6"/>
      <c r="DH414" s="6"/>
      <c r="DI414" s="6"/>
      <c r="DJ414" s="6"/>
      <c r="DK414" s="6"/>
      <c r="DL414" s="6"/>
      <c r="DM414" s="6"/>
      <c r="DN414" s="6"/>
      <c r="DO414" s="6"/>
      <c r="DP414" s="6"/>
      <c r="DQ414" s="6"/>
      <c r="DR414" s="6"/>
      <c r="DS414" s="6"/>
      <c r="DT414" s="6"/>
      <c r="DU414" s="6"/>
      <c r="DV414" s="6"/>
      <c r="DW414" s="6"/>
      <c r="DX414" s="6"/>
      <c r="DY414" s="6"/>
      <c r="DZ414" s="6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  <c r="ER414" s="6"/>
      <c r="ES414" s="6"/>
      <c r="ET414" s="6"/>
      <c r="EU414" s="6"/>
      <c r="EV414" s="6"/>
      <c r="EW414" s="6"/>
      <c r="EX414" s="6"/>
      <c r="EY414" s="6"/>
      <c r="EZ414" s="6"/>
      <c r="FA414" s="6"/>
      <c r="FB414" s="6"/>
      <c r="FC414" s="6"/>
      <c r="FD414" s="6"/>
      <c r="FE414" s="6"/>
      <c r="FF414" s="6"/>
      <c r="FG414" s="6"/>
      <c r="FH414" s="6"/>
      <c r="FI414" s="6"/>
      <c r="FJ414" s="6"/>
      <c r="FK414" s="6"/>
      <c r="FL414" s="6"/>
      <c r="FM414" s="6"/>
      <c r="FN414" s="6"/>
      <c r="FO414" s="6"/>
      <c r="FP414" s="6"/>
      <c r="FQ414" s="6"/>
      <c r="FR414" s="6"/>
      <c r="FS414" s="6"/>
      <c r="FT414" s="6"/>
      <c r="FU414" s="6"/>
      <c r="FV414" s="6"/>
      <c r="FW414" s="6"/>
      <c r="FX414" s="6"/>
      <c r="FY414" s="6"/>
      <c r="FZ414" s="6"/>
      <c r="GA414" s="6"/>
      <c r="GB414" s="6"/>
      <c r="GC414" s="6"/>
      <c r="GD414" s="6"/>
      <c r="GE414" s="6"/>
      <c r="GF414" s="6"/>
      <c r="GG414" s="6"/>
      <c r="GH414" s="6"/>
      <c r="GI414" s="6"/>
      <c r="GJ414" s="6"/>
      <c r="GK414" s="6"/>
      <c r="GL414" s="6"/>
      <c r="GM414" s="6"/>
      <c r="GN414" s="6"/>
      <c r="GO414" s="6"/>
      <c r="GP414" s="6"/>
      <c r="GQ414" s="6"/>
      <c r="GR414" s="6"/>
      <c r="GS414" s="6"/>
      <c r="GT414" s="6"/>
      <c r="GU414" s="6"/>
      <c r="GV414" s="6"/>
      <c r="GW414" s="6"/>
      <c r="GX414" s="6"/>
      <c r="GY414" s="6"/>
      <c r="GZ414" s="6"/>
      <c r="HA414" s="6"/>
      <c r="HB414" s="6"/>
      <c r="HC414" s="6"/>
      <c r="HD414" s="6"/>
      <c r="HE414" s="6"/>
      <c r="HF414" s="6"/>
      <c r="HG414" s="6"/>
      <c r="HH414" s="6"/>
      <c r="HI414" s="6"/>
      <c r="HJ414" s="6"/>
      <c r="HK414" s="6"/>
      <c r="HL414" s="6"/>
      <c r="HM414" s="6"/>
      <c r="HN414" s="6"/>
      <c r="HO414" s="6"/>
      <c r="HP414" s="6"/>
      <c r="HQ414" s="6"/>
      <c r="HR414" s="6"/>
      <c r="HS414" s="6"/>
      <c r="HT414" s="6"/>
      <c r="HU414" s="6"/>
    </row>
    <row r="415" spans="9:229"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6"/>
      <c r="CW415" s="6"/>
      <c r="CX415" s="6"/>
      <c r="CY415" s="6"/>
      <c r="CZ415" s="6"/>
      <c r="DA415" s="6"/>
      <c r="DB415" s="6"/>
      <c r="DC415" s="6"/>
      <c r="DD415" s="6"/>
      <c r="DE415" s="6"/>
      <c r="DF415" s="6"/>
      <c r="DG415" s="6"/>
      <c r="DH415" s="6"/>
      <c r="DI415" s="6"/>
      <c r="DJ415" s="6"/>
      <c r="DK415" s="6"/>
      <c r="DL415" s="6"/>
      <c r="DM415" s="6"/>
      <c r="DN415" s="6"/>
      <c r="DO415" s="6"/>
      <c r="DP415" s="6"/>
      <c r="DQ415" s="6"/>
      <c r="DR415" s="6"/>
      <c r="DS415" s="6"/>
      <c r="DT415" s="6"/>
      <c r="DU415" s="6"/>
      <c r="DV415" s="6"/>
      <c r="DW415" s="6"/>
      <c r="DX415" s="6"/>
      <c r="DY415" s="6"/>
      <c r="DZ415" s="6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  <c r="ER415" s="6"/>
      <c r="ES415" s="6"/>
      <c r="ET415" s="6"/>
      <c r="EU415" s="6"/>
      <c r="EV415" s="6"/>
      <c r="EW415" s="6"/>
      <c r="EX415" s="6"/>
      <c r="EY415" s="6"/>
      <c r="EZ415" s="6"/>
      <c r="FA415" s="6"/>
      <c r="FB415" s="6"/>
      <c r="FC415" s="6"/>
      <c r="FD415" s="6"/>
      <c r="FE415" s="6"/>
      <c r="FF415" s="6"/>
      <c r="FG415" s="6"/>
      <c r="FH415" s="6"/>
      <c r="FI415" s="6"/>
      <c r="FJ415" s="6"/>
      <c r="FK415" s="6"/>
      <c r="FL415" s="6"/>
      <c r="FM415" s="6"/>
      <c r="FN415" s="6"/>
      <c r="FO415" s="6"/>
      <c r="FP415" s="6"/>
      <c r="FQ415" s="6"/>
      <c r="FR415" s="6"/>
      <c r="FS415" s="6"/>
      <c r="FT415" s="6"/>
      <c r="FU415" s="6"/>
      <c r="FV415" s="6"/>
      <c r="FW415" s="6"/>
      <c r="FX415" s="6"/>
      <c r="FY415" s="6"/>
      <c r="FZ415" s="6"/>
      <c r="GA415" s="6"/>
      <c r="GB415" s="6"/>
      <c r="GC415" s="6"/>
      <c r="GD415" s="6"/>
      <c r="GE415" s="6"/>
      <c r="GF415" s="6"/>
      <c r="GG415" s="6"/>
      <c r="GH415" s="6"/>
      <c r="GI415" s="6"/>
      <c r="GJ415" s="6"/>
      <c r="GK415" s="6"/>
      <c r="GL415" s="6"/>
      <c r="GM415" s="6"/>
      <c r="GN415" s="6"/>
      <c r="GO415" s="6"/>
      <c r="GP415" s="6"/>
      <c r="GQ415" s="6"/>
      <c r="GR415" s="6"/>
      <c r="GS415" s="6"/>
      <c r="GT415" s="6"/>
      <c r="GU415" s="6"/>
      <c r="GV415" s="6"/>
      <c r="GW415" s="6"/>
      <c r="GX415" s="6"/>
      <c r="GY415" s="6"/>
      <c r="GZ415" s="6"/>
      <c r="HA415" s="6"/>
      <c r="HB415" s="6"/>
      <c r="HC415" s="6"/>
      <c r="HD415" s="6"/>
      <c r="HE415" s="6"/>
      <c r="HF415" s="6"/>
      <c r="HG415" s="6"/>
      <c r="HH415" s="6"/>
      <c r="HI415" s="6"/>
      <c r="HJ415" s="6"/>
      <c r="HK415" s="6"/>
      <c r="HL415" s="6"/>
      <c r="HM415" s="6"/>
      <c r="HN415" s="6"/>
      <c r="HO415" s="6"/>
      <c r="HP415" s="6"/>
      <c r="HQ415" s="6"/>
      <c r="HR415" s="6"/>
      <c r="HS415" s="6"/>
      <c r="HT415" s="6"/>
      <c r="HU415" s="6"/>
    </row>
    <row r="416" spans="9:229"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6"/>
      <c r="CW416" s="6"/>
      <c r="CX416" s="6"/>
      <c r="CY416" s="6"/>
      <c r="CZ416" s="6"/>
      <c r="DA416" s="6"/>
      <c r="DB416" s="6"/>
      <c r="DC416" s="6"/>
      <c r="DD416" s="6"/>
      <c r="DE416" s="6"/>
      <c r="DF416" s="6"/>
      <c r="DG416" s="6"/>
      <c r="DH416" s="6"/>
      <c r="DI416" s="6"/>
      <c r="DJ416" s="6"/>
      <c r="DK416" s="6"/>
      <c r="DL416" s="6"/>
      <c r="DM416" s="6"/>
      <c r="DN416" s="6"/>
      <c r="DO416" s="6"/>
      <c r="DP416" s="6"/>
      <c r="DQ416" s="6"/>
      <c r="DR416" s="6"/>
      <c r="DS416" s="6"/>
      <c r="DT416" s="6"/>
      <c r="DU416" s="6"/>
      <c r="DV416" s="6"/>
      <c r="DW416" s="6"/>
      <c r="DX416" s="6"/>
      <c r="DY416" s="6"/>
      <c r="DZ416" s="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  <c r="ER416" s="6"/>
      <c r="ES416" s="6"/>
      <c r="ET416" s="6"/>
      <c r="EU416" s="6"/>
      <c r="EV416" s="6"/>
      <c r="EW416" s="6"/>
      <c r="EX416" s="6"/>
      <c r="EY416" s="6"/>
      <c r="EZ416" s="6"/>
      <c r="FA416" s="6"/>
      <c r="FB416" s="6"/>
      <c r="FC416" s="6"/>
      <c r="FD416" s="6"/>
      <c r="FE416" s="6"/>
      <c r="FF416" s="6"/>
      <c r="FG416" s="6"/>
      <c r="FH416" s="6"/>
      <c r="FI416" s="6"/>
      <c r="FJ416" s="6"/>
      <c r="FK416" s="6"/>
      <c r="FL416" s="6"/>
      <c r="FM416" s="6"/>
      <c r="FN416" s="6"/>
      <c r="FO416" s="6"/>
      <c r="FP416" s="6"/>
      <c r="FQ416" s="6"/>
      <c r="FR416" s="6"/>
      <c r="FS416" s="6"/>
      <c r="FT416" s="6"/>
      <c r="FU416" s="6"/>
      <c r="FV416" s="6"/>
      <c r="FW416" s="6"/>
      <c r="FX416" s="6"/>
      <c r="FY416" s="6"/>
      <c r="FZ416" s="6"/>
      <c r="GA416" s="6"/>
      <c r="GB416" s="6"/>
      <c r="GC416" s="6"/>
      <c r="GD416" s="6"/>
      <c r="GE416" s="6"/>
      <c r="GF416" s="6"/>
      <c r="GG416" s="6"/>
      <c r="GH416" s="6"/>
      <c r="GI416" s="6"/>
      <c r="GJ416" s="6"/>
      <c r="GK416" s="6"/>
      <c r="GL416" s="6"/>
      <c r="GM416" s="6"/>
      <c r="GN416" s="6"/>
      <c r="GO416" s="6"/>
      <c r="GP416" s="6"/>
      <c r="GQ416" s="6"/>
      <c r="GR416" s="6"/>
      <c r="GS416" s="6"/>
      <c r="GT416" s="6"/>
      <c r="GU416" s="6"/>
      <c r="GV416" s="6"/>
      <c r="GW416" s="6"/>
      <c r="GX416" s="6"/>
      <c r="GY416" s="6"/>
      <c r="GZ416" s="6"/>
      <c r="HA416" s="6"/>
      <c r="HB416" s="6"/>
      <c r="HC416" s="6"/>
      <c r="HD416" s="6"/>
      <c r="HE416" s="6"/>
      <c r="HF416" s="6"/>
      <c r="HG416" s="6"/>
      <c r="HH416" s="6"/>
      <c r="HI416" s="6"/>
      <c r="HJ416" s="6"/>
      <c r="HK416" s="6"/>
      <c r="HL416" s="6"/>
      <c r="HM416" s="6"/>
      <c r="HN416" s="6"/>
      <c r="HO416" s="6"/>
      <c r="HP416" s="6"/>
      <c r="HQ416" s="6"/>
      <c r="HR416" s="6"/>
      <c r="HS416" s="6"/>
      <c r="HT416" s="6"/>
      <c r="HU416" s="6"/>
    </row>
    <row r="417" spans="9:229"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6"/>
      <c r="CW417" s="6"/>
      <c r="CX417" s="6"/>
      <c r="CY417" s="6"/>
      <c r="CZ417" s="6"/>
      <c r="DA417" s="6"/>
      <c r="DB417" s="6"/>
      <c r="DC417" s="6"/>
      <c r="DD417" s="6"/>
      <c r="DE417" s="6"/>
      <c r="DF417" s="6"/>
      <c r="DG417" s="6"/>
      <c r="DH417" s="6"/>
      <c r="DI417" s="6"/>
      <c r="DJ417" s="6"/>
      <c r="DK417" s="6"/>
      <c r="DL417" s="6"/>
      <c r="DM417" s="6"/>
      <c r="DN417" s="6"/>
      <c r="DO417" s="6"/>
      <c r="DP417" s="6"/>
      <c r="DQ417" s="6"/>
      <c r="DR417" s="6"/>
      <c r="DS417" s="6"/>
      <c r="DT417" s="6"/>
      <c r="DU417" s="6"/>
      <c r="DV417" s="6"/>
      <c r="DW417" s="6"/>
      <c r="DX417" s="6"/>
      <c r="DY417" s="6"/>
      <c r="DZ417" s="6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  <c r="ER417" s="6"/>
      <c r="ES417" s="6"/>
      <c r="ET417" s="6"/>
      <c r="EU417" s="6"/>
      <c r="EV417" s="6"/>
      <c r="EW417" s="6"/>
      <c r="EX417" s="6"/>
      <c r="EY417" s="6"/>
      <c r="EZ417" s="6"/>
      <c r="FA417" s="6"/>
      <c r="FB417" s="6"/>
      <c r="FC417" s="6"/>
      <c r="FD417" s="6"/>
      <c r="FE417" s="6"/>
      <c r="FF417" s="6"/>
      <c r="FG417" s="6"/>
      <c r="FH417" s="6"/>
      <c r="FI417" s="6"/>
      <c r="FJ417" s="6"/>
      <c r="FK417" s="6"/>
      <c r="FL417" s="6"/>
      <c r="FM417" s="6"/>
      <c r="FN417" s="6"/>
      <c r="FO417" s="6"/>
      <c r="FP417" s="6"/>
      <c r="FQ417" s="6"/>
      <c r="FR417" s="6"/>
      <c r="FS417" s="6"/>
      <c r="FT417" s="6"/>
      <c r="FU417" s="6"/>
      <c r="FV417" s="6"/>
      <c r="FW417" s="6"/>
      <c r="FX417" s="6"/>
      <c r="FY417" s="6"/>
      <c r="FZ417" s="6"/>
      <c r="GA417" s="6"/>
      <c r="GB417" s="6"/>
      <c r="GC417" s="6"/>
      <c r="GD417" s="6"/>
      <c r="GE417" s="6"/>
      <c r="GF417" s="6"/>
      <c r="GG417" s="6"/>
      <c r="GH417" s="6"/>
      <c r="GI417" s="6"/>
      <c r="GJ417" s="6"/>
      <c r="GK417" s="6"/>
      <c r="GL417" s="6"/>
      <c r="GM417" s="6"/>
      <c r="GN417" s="6"/>
      <c r="GO417" s="6"/>
      <c r="GP417" s="6"/>
      <c r="GQ417" s="6"/>
      <c r="GR417" s="6"/>
      <c r="GS417" s="6"/>
      <c r="GT417" s="6"/>
      <c r="GU417" s="6"/>
      <c r="GV417" s="6"/>
      <c r="GW417" s="6"/>
      <c r="GX417" s="6"/>
      <c r="GY417" s="6"/>
      <c r="GZ417" s="6"/>
      <c r="HA417" s="6"/>
      <c r="HB417" s="6"/>
      <c r="HC417" s="6"/>
      <c r="HD417" s="6"/>
      <c r="HE417" s="6"/>
      <c r="HF417" s="6"/>
      <c r="HG417" s="6"/>
      <c r="HH417" s="6"/>
      <c r="HI417" s="6"/>
      <c r="HJ417" s="6"/>
      <c r="HK417" s="6"/>
      <c r="HL417" s="6"/>
      <c r="HM417" s="6"/>
      <c r="HN417" s="6"/>
      <c r="HO417" s="6"/>
      <c r="HP417" s="6"/>
      <c r="HQ417" s="6"/>
      <c r="HR417" s="6"/>
      <c r="HS417" s="6"/>
      <c r="HT417" s="6"/>
      <c r="HU417" s="6"/>
    </row>
    <row r="418" spans="9:229"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6"/>
      <c r="CW418" s="6"/>
      <c r="CX418" s="6"/>
      <c r="CY418" s="6"/>
      <c r="CZ418" s="6"/>
      <c r="DA418" s="6"/>
      <c r="DB418" s="6"/>
      <c r="DC418" s="6"/>
      <c r="DD418" s="6"/>
      <c r="DE418" s="6"/>
      <c r="DF418" s="6"/>
      <c r="DG418" s="6"/>
      <c r="DH418" s="6"/>
      <c r="DI418" s="6"/>
      <c r="DJ418" s="6"/>
      <c r="DK418" s="6"/>
      <c r="DL418" s="6"/>
      <c r="DM418" s="6"/>
      <c r="DN418" s="6"/>
      <c r="DO418" s="6"/>
      <c r="DP418" s="6"/>
      <c r="DQ418" s="6"/>
      <c r="DR418" s="6"/>
      <c r="DS418" s="6"/>
      <c r="DT418" s="6"/>
      <c r="DU418" s="6"/>
      <c r="DV418" s="6"/>
      <c r="DW418" s="6"/>
      <c r="DX418" s="6"/>
      <c r="DY418" s="6"/>
      <c r="DZ418" s="6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  <c r="ER418" s="6"/>
      <c r="ES418" s="6"/>
      <c r="ET418" s="6"/>
      <c r="EU418" s="6"/>
      <c r="EV418" s="6"/>
      <c r="EW418" s="6"/>
      <c r="EX418" s="6"/>
      <c r="EY418" s="6"/>
      <c r="EZ418" s="6"/>
      <c r="FA418" s="6"/>
      <c r="FB418" s="6"/>
      <c r="FC418" s="6"/>
      <c r="FD418" s="6"/>
      <c r="FE418" s="6"/>
      <c r="FF418" s="6"/>
      <c r="FG418" s="6"/>
      <c r="FH418" s="6"/>
      <c r="FI418" s="6"/>
      <c r="FJ418" s="6"/>
      <c r="FK418" s="6"/>
      <c r="FL418" s="6"/>
      <c r="FM418" s="6"/>
      <c r="FN418" s="6"/>
      <c r="FO418" s="6"/>
      <c r="FP418" s="6"/>
      <c r="FQ418" s="6"/>
      <c r="FR418" s="6"/>
      <c r="FS418" s="6"/>
      <c r="FT418" s="6"/>
      <c r="FU418" s="6"/>
      <c r="FV418" s="6"/>
      <c r="FW418" s="6"/>
      <c r="FX418" s="6"/>
      <c r="FY418" s="6"/>
      <c r="FZ418" s="6"/>
      <c r="GA418" s="6"/>
      <c r="GB418" s="6"/>
      <c r="GC418" s="6"/>
      <c r="GD418" s="6"/>
      <c r="GE418" s="6"/>
      <c r="GF418" s="6"/>
      <c r="GG418" s="6"/>
      <c r="GH418" s="6"/>
      <c r="GI418" s="6"/>
      <c r="GJ418" s="6"/>
      <c r="GK418" s="6"/>
      <c r="GL418" s="6"/>
      <c r="GM418" s="6"/>
      <c r="GN418" s="6"/>
      <c r="GO418" s="6"/>
      <c r="GP418" s="6"/>
      <c r="GQ418" s="6"/>
      <c r="GR418" s="6"/>
      <c r="GS418" s="6"/>
      <c r="GT418" s="6"/>
      <c r="GU418" s="6"/>
      <c r="GV418" s="6"/>
      <c r="GW418" s="6"/>
      <c r="GX418" s="6"/>
      <c r="GY418" s="6"/>
      <c r="GZ418" s="6"/>
      <c r="HA418" s="6"/>
      <c r="HB418" s="6"/>
      <c r="HC418" s="6"/>
      <c r="HD418" s="6"/>
      <c r="HE418" s="6"/>
      <c r="HF418" s="6"/>
      <c r="HG418" s="6"/>
      <c r="HH418" s="6"/>
      <c r="HI418" s="6"/>
      <c r="HJ418" s="6"/>
      <c r="HK418" s="6"/>
      <c r="HL418" s="6"/>
      <c r="HM418" s="6"/>
      <c r="HN418" s="6"/>
      <c r="HO418" s="6"/>
      <c r="HP418" s="6"/>
      <c r="HQ418" s="6"/>
      <c r="HR418" s="6"/>
      <c r="HS418" s="6"/>
      <c r="HT418" s="6"/>
      <c r="HU418" s="6"/>
    </row>
    <row r="419" spans="9:229"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6"/>
      <c r="CW419" s="6"/>
      <c r="CX419" s="6"/>
      <c r="CY419" s="6"/>
      <c r="CZ419" s="6"/>
      <c r="DA419" s="6"/>
      <c r="DB419" s="6"/>
      <c r="DC419" s="6"/>
      <c r="DD419" s="6"/>
      <c r="DE419" s="6"/>
      <c r="DF419" s="6"/>
      <c r="DG419" s="6"/>
      <c r="DH419" s="6"/>
      <c r="DI419" s="6"/>
      <c r="DJ419" s="6"/>
      <c r="DK419" s="6"/>
      <c r="DL419" s="6"/>
      <c r="DM419" s="6"/>
      <c r="DN419" s="6"/>
      <c r="DO419" s="6"/>
      <c r="DP419" s="6"/>
      <c r="DQ419" s="6"/>
      <c r="DR419" s="6"/>
      <c r="DS419" s="6"/>
      <c r="DT419" s="6"/>
      <c r="DU419" s="6"/>
      <c r="DV419" s="6"/>
      <c r="DW419" s="6"/>
      <c r="DX419" s="6"/>
      <c r="DY419" s="6"/>
      <c r="DZ419" s="6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  <c r="ER419" s="6"/>
      <c r="ES419" s="6"/>
      <c r="ET419" s="6"/>
      <c r="EU419" s="6"/>
      <c r="EV419" s="6"/>
      <c r="EW419" s="6"/>
      <c r="EX419" s="6"/>
      <c r="EY419" s="6"/>
      <c r="EZ419" s="6"/>
      <c r="FA419" s="6"/>
      <c r="FB419" s="6"/>
      <c r="FC419" s="6"/>
      <c r="FD419" s="6"/>
      <c r="FE419" s="6"/>
      <c r="FF419" s="6"/>
      <c r="FG419" s="6"/>
      <c r="FH419" s="6"/>
      <c r="FI419" s="6"/>
      <c r="FJ419" s="6"/>
      <c r="FK419" s="6"/>
      <c r="FL419" s="6"/>
      <c r="FM419" s="6"/>
      <c r="FN419" s="6"/>
      <c r="FO419" s="6"/>
      <c r="FP419" s="6"/>
      <c r="FQ419" s="6"/>
      <c r="FR419" s="6"/>
      <c r="FS419" s="6"/>
      <c r="FT419" s="6"/>
      <c r="FU419" s="6"/>
      <c r="FV419" s="6"/>
      <c r="FW419" s="6"/>
      <c r="FX419" s="6"/>
      <c r="FY419" s="6"/>
      <c r="FZ419" s="6"/>
      <c r="GA419" s="6"/>
      <c r="GB419" s="6"/>
      <c r="GC419" s="6"/>
      <c r="GD419" s="6"/>
      <c r="GE419" s="6"/>
      <c r="GF419" s="6"/>
      <c r="GG419" s="6"/>
      <c r="GH419" s="6"/>
      <c r="GI419" s="6"/>
      <c r="GJ419" s="6"/>
      <c r="GK419" s="6"/>
      <c r="GL419" s="6"/>
      <c r="GM419" s="6"/>
      <c r="GN419" s="6"/>
      <c r="GO419" s="6"/>
      <c r="GP419" s="6"/>
      <c r="GQ419" s="6"/>
      <c r="GR419" s="6"/>
      <c r="GS419" s="6"/>
      <c r="GT419" s="6"/>
      <c r="GU419" s="6"/>
      <c r="GV419" s="6"/>
      <c r="GW419" s="6"/>
      <c r="GX419" s="6"/>
      <c r="GY419" s="6"/>
      <c r="GZ419" s="6"/>
      <c r="HA419" s="6"/>
      <c r="HB419" s="6"/>
      <c r="HC419" s="6"/>
      <c r="HD419" s="6"/>
      <c r="HE419" s="6"/>
      <c r="HF419" s="6"/>
      <c r="HG419" s="6"/>
      <c r="HH419" s="6"/>
      <c r="HI419" s="6"/>
      <c r="HJ419" s="6"/>
      <c r="HK419" s="6"/>
      <c r="HL419" s="6"/>
      <c r="HM419" s="6"/>
      <c r="HN419" s="6"/>
      <c r="HO419" s="6"/>
      <c r="HP419" s="6"/>
      <c r="HQ419" s="6"/>
      <c r="HR419" s="6"/>
      <c r="HS419" s="6"/>
      <c r="HT419" s="6"/>
      <c r="HU419" s="6"/>
    </row>
    <row r="420" spans="9:229"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6"/>
      <c r="CV420" s="6"/>
      <c r="CW420" s="6"/>
      <c r="CX420" s="6"/>
      <c r="CY420" s="6"/>
      <c r="CZ420" s="6"/>
      <c r="DA420" s="6"/>
      <c r="DB420" s="6"/>
      <c r="DC420" s="6"/>
      <c r="DD420" s="6"/>
      <c r="DE420" s="6"/>
      <c r="DF420" s="6"/>
      <c r="DG420" s="6"/>
      <c r="DH420" s="6"/>
      <c r="DI420" s="6"/>
      <c r="DJ420" s="6"/>
      <c r="DK420" s="6"/>
      <c r="DL420" s="6"/>
      <c r="DM420" s="6"/>
      <c r="DN420" s="6"/>
      <c r="DO420" s="6"/>
      <c r="DP420" s="6"/>
      <c r="DQ420" s="6"/>
      <c r="DR420" s="6"/>
      <c r="DS420" s="6"/>
      <c r="DT420" s="6"/>
      <c r="DU420" s="6"/>
      <c r="DV420" s="6"/>
      <c r="DW420" s="6"/>
      <c r="DX420" s="6"/>
      <c r="DY420" s="6"/>
      <c r="DZ420" s="6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  <c r="ER420" s="6"/>
      <c r="ES420" s="6"/>
      <c r="ET420" s="6"/>
      <c r="EU420" s="6"/>
      <c r="EV420" s="6"/>
      <c r="EW420" s="6"/>
      <c r="EX420" s="6"/>
      <c r="EY420" s="6"/>
      <c r="EZ420" s="6"/>
      <c r="FA420" s="6"/>
      <c r="FB420" s="6"/>
      <c r="FC420" s="6"/>
      <c r="FD420" s="6"/>
      <c r="FE420" s="6"/>
      <c r="FF420" s="6"/>
      <c r="FG420" s="6"/>
      <c r="FH420" s="6"/>
      <c r="FI420" s="6"/>
      <c r="FJ420" s="6"/>
      <c r="FK420" s="6"/>
      <c r="FL420" s="6"/>
      <c r="FM420" s="6"/>
      <c r="FN420" s="6"/>
      <c r="FO420" s="6"/>
      <c r="FP420" s="6"/>
      <c r="FQ420" s="6"/>
      <c r="FR420" s="6"/>
      <c r="FS420" s="6"/>
      <c r="FT420" s="6"/>
      <c r="FU420" s="6"/>
      <c r="FV420" s="6"/>
      <c r="FW420" s="6"/>
      <c r="FX420" s="6"/>
      <c r="FY420" s="6"/>
      <c r="FZ420" s="6"/>
      <c r="GA420" s="6"/>
      <c r="GB420" s="6"/>
      <c r="GC420" s="6"/>
      <c r="GD420" s="6"/>
      <c r="GE420" s="6"/>
      <c r="GF420" s="6"/>
      <c r="GG420" s="6"/>
      <c r="GH420" s="6"/>
      <c r="GI420" s="6"/>
      <c r="GJ420" s="6"/>
      <c r="GK420" s="6"/>
      <c r="GL420" s="6"/>
      <c r="GM420" s="6"/>
      <c r="GN420" s="6"/>
      <c r="GO420" s="6"/>
      <c r="GP420" s="6"/>
      <c r="GQ420" s="6"/>
      <c r="GR420" s="6"/>
      <c r="GS420" s="6"/>
      <c r="GT420" s="6"/>
      <c r="GU420" s="6"/>
      <c r="GV420" s="6"/>
      <c r="GW420" s="6"/>
      <c r="GX420" s="6"/>
      <c r="GY420" s="6"/>
      <c r="GZ420" s="6"/>
      <c r="HA420" s="6"/>
      <c r="HB420" s="6"/>
      <c r="HC420" s="6"/>
      <c r="HD420" s="6"/>
      <c r="HE420" s="6"/>
      <c r="HF420" s="6"/>
      <c r="HG420" s="6"/>
      <c r="HH420" s="6"/>
      <c r="HI420" s="6"/>
      <c r="HJ420" s="6"/>
      <c r="HK420" s="6"/>
      <c r="HL420" s="6"/>
      <c r="HM420" s="6"/>
      <c r="HN420" s="6"/>
      <c r="HO420" s="6"/>
      <c r="HP420" s="6"/>
      <c r="HQ420" s="6"/>
      <c r="HR420" s="6"/>
      <c r="HS420" s="6"/>
      <c r="HT420" s="6"/>
      <c r="HU420" s="6"/>
    </row>
    <row r="421" spans="9:229"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6"/>
      <c r="CV421" s="6"/>
      <c r="CW421" s="6"/>
      <c r="CX421" s="6"/>
      <c r="CY421" s="6"/>
      <c r="CZ421" s="6"/>
      <c r="DA421" s="6"/>
      <c r="DB421" s="6"/>
      <c r="DC421" s="6"/>
      <c r="DD421" s="6"/>
      <c r="DE421" s="6"/>
      <c r="DF421" s="6"/>
      <c r="DG421" s="6"/>
      <c r="DH421" s="6"/>
      <c r="DI421" s="6"/>
      <c r="DJ421" s="6"/>
      <c r="DK421" s="6"/>
      <c r="DL421" s="6"/>
      <c r="DM421" s="6"/>
      <c r="DN421" s="6"/>
      <c r="DO421" s="6"/>
      <c r="DP421" s="6"/>
      <c r="DQ421" s="6"/>
      <c r="DR421" s="6"/>
      <c r="DS421" s="6"/>
      <c r="DT421" s="6"/>
      <c r="DU421" s="6"/>
      <c r="DV421" s="6"/>
      <c r="DW421" s="6"/>
      <c r="DX421" s="6"/>
      <c r="DY421" s="6"/>
      <c r="DZ421" s="6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  <c r="ER421" s="6"/>
      <c r="ES421" s="6"/>
      <c r="ET421" s="6"/>
      <c r="EU421" s="6"/>
      <c r="EV421" s="6"/>
      <c r="EW421" s="6"/>
      <c r="EX421" s="6"/>
      <c r="EY421" s="6"/>
      <c r="EZ421" s="6"/>
      <c r="FA421" s="6"/>
      <c r="FB421" s="6"/>
      <c r="FC421" s="6"/>
      <c r="FD421" s="6"/>
      <c r="FE421" s="6"/>
      <c r="FF421" s="6"/>
      <c r="FG421" s="6"/>
      <c r="FH421" s="6"/>
      <c r="FI421" s="6"/>
      <c r="FJ421" s="6"/>
      <c r="FK421" s="6"/>
      <c r="FL421" s="6"/>
      <c r="FM421" s="6"/>
      <c r="FN421" s="6"/>
      <c r="FO421" s="6"/>
      <c r="FP421" s="6"/>
      <c r="FQ421" s="6"/>
      <c r="FR421" s="6"/>
      <c r="FS421" s="6"/>
      <c r="FT421" s="6"/>
      <c r="FU421" s="6"/>
      <c r="FV421" s="6"/>
      <c r="FW421" s="6"/>
      <c r="FX421" s="6"/>
      <c r="FY421" s="6"/>
      <c r="FZ421" s="6"/>
      <c r="GA421" s="6"/>
      <c r="GB421" s="6"/>
      <c r="GC421" s="6"/>
      <c r="GD421" s="6"/>
      <c r="GE421" s="6"/>
      <c r="GF421" s="6"/>
      <c r="GG421" s="6"/>
      <c r="GH421" s="6"/>
      <c r="GI421" s="6"/>
      <c r="GJ421" s="6"/>
      <c r="GK421" s="6"/>
      <c r="GL421" s="6"/>
      <c r="GM421" s="6"/>
      <c r="GN421" s="6"/>
      <c r="GO421" s="6"/>
      <c r="GP421" s="6"/>
      <c r="GQ421" s="6"/>
      <c r="GR421" s="6"/>
      <c r="GS421" s="6"/>
      <c r="GT421" s="6"/>
      <c r="GU421" s="6"/>
      <c r="GV421" s="6"/>
      <c r="GW421" s="6"/>
      <c r="GX421" s="6"/>
      <c r="GY421" s="6"/>
      <c r="GZ421" s="6"/>
      <c r="HA421" s="6"/>
      <c r="HB421" s="6"/>
      <c r="HC421" s="6"/>
      <c r="HD421" s="6"/>
      <c r="HE421" s="6"/>
      <c r="HF421" s="6"/>
      <c r="HG421" s="6"/>
      <c r="HH421" s="6"/>
      <c r="HI421" s="6"/>
      <c r="HJ421" s="6"/>
      <c r="HK421" s="6"/>
      <c r="HL421" s="6"/>
      <c r="HM421" s="6"/>
      <c r="HN421" s="6"/>
      <c r="HO421" s="6"/>
      <c r="HP421" s="6"/>
      <c r="HQ421" s="6"/>
      <c r="HR421" s="6"/>
      <c r="HS421" s="6"/>
      <c r="HT421" s="6"/>
      <c r="HU421" s="6"/>
    </row>
    <row r="422" spans="9:229"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6"/>
      <c r="CV422" s="6"/>
      <c r="CW422" s="6"/>
      <c r="CX422" s="6"/>
      <c r="CY422" s="6"/>
      <c r="CZ422" s="6"/>
      <c r="DA422" s="6"/>
      <c r="DB422" s="6"/>
      <c r="DC422" s="6"/>
      <c r="DD422" s="6"/>
      <c r="DE422" s="6"/>
      <c r="DF422" s="6"/>
      <c r="DG422" s="6"/>
      <c r="DH422" s="6"/>
      <c r="DI422" s="6"/>
      <c r="DJ422" s="6"/>
      <c r="DK422" s="6"/>
      <c r="DL422" s="6"/>
      <c r="DM422" s="6"/>
      <c r="DN422" s="6"/>
      <c r="DO422" s="6"/>
      <c r="DP422" s="6"/>
      <c r="DQ422" s="6"/>
      <c r="DR422" s="6"/>
      <c r="DS422" s="6"/>
      <c r="DT422" s="6"/>
      <c r="DU422" s="6"/>
      <c r="DV422" s="6"/>
      <c r="DW422" s="6"/>
      <c r="DX422" s="6"/>
      <c r="DY422" s="6"/>
      <c r="DZ422" s="6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  <c r="ER422" s="6"/>
      <c r="ES422" s="6"/>
      <c r="ET422" s="6"/>
      <c r="EU422" s="6"/>
      <c r="EV422" s="6"/>
      <c r="EW422" s="6"/>
      <c r="EX422" s="6"/>
      <c r="EY422" s="6"/>
      <c r="EZ422" s="6"/>
      <c r="FA422" s="6"/>
      <c r="FB422" s="6"/>
      <c r="FC422" s="6"/>
      <c r="FD422" s="6"/>
      <c r="FE422" s="6"/>
      <c r="FF422" s="6"/>
      <c r="FG422" s="6"/>
      <c r="FH422" s="6"/>
      <c r="FI422" s="6"/>
      <c r="FJ422" s="6"/>
      <c r="FK422" s="6"/>
      <c r="FL422" s="6"/>
      <c r="FM422" s="6"/>
      <c r="FN422" s="6"/>
      <c r="FO422" s="6"/>
      <c r="FP422" s="6"/>
      <c r="FQ422" s="6"/>
      <c r="FR422" s="6"/>
      <c r="FS422" s="6"/>
      <c r="FT422" s="6"/>
      <c r="FU422" s="6"/>
      <c r="FV422" s="6"/>
      <c r="FW422" s="6"/>
      <c r="FX422" s="6"/>
      <c r="FY422" s="6"/>
      <c r="FZ422" s="6"/>
      <c r="GA422" s="6"/>
      <c r="GB422" s="6"/>
      <c r="GC422" s="6"/>
      <c r="GD422" s="6"/>
      <c r="GE422" s="6"/>
      <c r="GF422" s="6"/>
      <c r="GG422" s="6"/>
      <c r="GH422" s="6"/>
      <c r="GI422" s="6"/>
      <c r="GJ422" s="6"/>
      <c r="GK422" s="6"/>
      <c r="GL422" s="6"/>
      <c r="GM422" s="6"/>
      <c r="GN422" s="6"/>
      <c r="GO422" s="6"/>
      <c r="GP422" s="6"/>
      <c r="GQ422" s="6"/>
      <c r="GR422" s="6"/>
      <c r="GS422" s="6"/>
      <c r="GT422" s="6"/>
      <c r="GU422" s="6"/>
      <c r="GV422" s="6"/>
      <c r="GW422" s="6"/>
      <c r="GX422" s="6"/>
      <c r="GY422" s="6"/>
      <c r="GZ422" s="6"/>
      <c r="HA422" s="6"/>
      <c r="HB422" s="6"/>
      <c r="HC422" s="6"/>
      <c r="HD422" s="6"/>
      <c r="HE422" s="6"/>
      <c r="HF422" s="6"/>
      <c r="HG422" s="6"/>
      <c r="HH422" s="6"/>
      <c r="HI422" s="6"/>
      <c r="HJ422" s="6"/>
      <c r="HK422" s="6"/>
      <c r="HL422" s="6"/>
      <c r="HM422" s="6"/>
      <c r="HN422" s="6"/>
      <c r="HO422" s="6"/>
      <c r="HP422" s="6"/>
      <c r="HQ422" s="6"/>
      <c r="HR422" s="6"/>
      <c r="HS422" s="6"/>
      <c r="HT422" s="6"/>
      <c r="HU422" s="6"/>
    </row>
    <row r="423" spans="9:229"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6"/>
      <c r="CV423" s="6"/>
      <c r="CW423" s="6"/>
      <c r="CX423" s="6"/>
      <c r="CY423" s="6"/>
      <c r="CZ423" s="6"/>
      <c r="DA423" s="6"/>
      <c r="DB423" s="6"/>
      <c r="DC423" s="6"/>
      <c r="DD423" s="6"/>
      <c r="DE423" s="6"/>
      <c r="DF423" s="6"/>
      <c r="DG423" s="6"/>
      <c r="DH423" s="6"/>
      <c r="DI423" s="6"/>
      <c r="DJ423" s="6"/>
      <c r="DK423" s="6"/>
      <c r="DL423" s="6"/>
      <c r="DM423" s="6"/>
      <c r="DN423" s="6"/>
      <c r="DO423" s="6"/>
      <c r="DP423" s="6"/>
      <c r="DQ423" s="6"/>
      <c r="DR423" s="6"/>
      <c r="DS423" s="6"/>
      <c r="DT423" s="6"/>
      <c r="DU423" s="6"/>
      <c r="DV423" s="6"/>
      <c r="DW423" s="6"/>
      <c r="DX423" s="6"/>
      <c r="DY423" s="6"/>
      <c r="DZ423" s="6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  <c r="ER423" s="6"/>
      <c r="ES423" s="6"/>
      <c r="ET423" s="6"/>
      <c r="EU423" s="6"/>
      <c r="EV423" s="6"/>
      <c r="EW423" s="6"/>
      <c r="EX423" s="6"/>
      <c r="EY423" s="6"/>
      <c r="EZ423" s="6"/>
      <c r="FA423" s="6"/>
      <c r="FB423" s="6"/>
      <c r="FC423" s="6"/>
      <c r="FD423" s="6"/>
      <c r="FE423" s="6"/>
      <c r="FF423" s="6"/>
      <c r="FG423" s="6"/>
      <c r="FH423" s="6"/>
      <c r="FI423" s="6"/>
      <c r="FJ423" s="6"/>
      <c r="FK423" s="6"/>
      <c r="FL423" s="6"/>
      <c r="FM423" s="6"/>
      <c r="FN423" s="6"/>
      <c r="FO423" s="6"/>
      <c r="FP423" s="6"/>
      <c r="FQ423" s="6"/>
      <c r="FR423" s="6"/>
      <c r="FS423" s="6"/>
      <c r="FT423" s="6"/>
      <c r="FU423" s="6"/>
      <c r="FV423" s="6"/>
      <c r="FW423" s="6"/>
      <c r="FX423" s="6"/>
      <c r="FY423" s="6"/>
      <c r="FZ423" s="6"/>
      <c r="GA423" s="6"/>
      <c r="GB423" s="6"/>
      <c r="GC423" s="6"/>
      <c r="GD423" s="6"/>
      <c r="GE423" s="6"/>
      <c r="GF423" s="6"/>
      <c r="GG423" s="6"/>
      <c r="GH423" s="6"/>
      <c r="GI423" s="6"/>
      <c r="GJ423" s="6"/>
      <c r="GK423" s="6"/>
      <c r="GL423" s="6"/>
      <c r="GM423" s="6"/>
      <c r="GN423" s="6"/>
      <c r="GO423" s="6"/>
      <c r="GP423" s="6"/>
      <c r="GQ423" s="6"/>
      <c r="GR423" s="6"/>
      <c r="GS423" s="6"/>
      <c r="GT423" s="6"/>
      <c r="GU423" s="6"/>
      <c r="GV423" s="6"/>
      <c r="GW423" s="6"/>
      <c r="GX423" s="6"/>
      <c r="GY423" s="6"/>
      <c r="GZ423" s="6"/>
      <c r="HA423" s="6"/>
      <c r="HB423" s="6"/>
      <c r="HC423" s="6"/>
      <c r="HD423" s="6"/>
      <c r="HE423" s="6"/>
      <c r="HF423" s="6"/>
      <c r="HG423" s="6"/>
      <c r="HH423" s="6"/>
      <c r="HI423" s="6"/>
      <c r="HJ423" s="6"/>
      <c r="HK423" s="6"/>
      <c r="HL423" s="6"/>
      <c r="HM423" s="6"/>
      <c r="HN423" s="6"/>
      <c r="HO423" s="6"/>
      <c r="HP423" s="6"/>
      <c r="HQ423" s="6"/>
      <c r="HR423" s="6"/>
      <c r="HS423" s="6"/>
      <c r="HT423" s="6"/>
      <c r="HU423" s="6"/>
    </row>
    <row r="424" spans="9:229"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6"/>
      <c r="CV424" s="6"/>
      <c r="CW424" s="6"/>
      <c r="CX424" s="6"/>
      <c r="CY424" s="6"/>
      <c r="CZ424" s="6"/>
      <c r="DA424" s="6"/>
      <c r="DB424" s="6"/>
      <c r="DC424" s="6"/>
      <c r="DD424" s="6"/>
      <c r="DE424" s="6"/>
      <c r="DF424" s="6"/>
      <c r="DG424" s="6"/>
      <c r="DH424" s="6"/>
      <c r="DI424" s="6"/>
      <c r="DJ424" s="6"/>
      <c r="DK424" s="6"/>
      <c r="DL424" s="6"/>
      <c r="DM424" s="6"/>
      <c r="DN424" s="6"/>
      <c r="DO424" s="6"/>
      <c r="DP424" s="6"/>
      <c r="DQ424" s="6"/>
      <c r="DR424" s="6"/>
      <c r="DS424" s="6"/>
      <c r="DT424" s="6"/>
      <c r="DU424" s="6"/>
      <c r="DV424" s="6"/>
      <c r="DW424" s="6"/>
      <c r="DX424" s="6"/>
      <c r="DY424" s="6"/>
      <c r="DZ424" s="6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  <c r="ER424" s="6"/>
      <c r="ES424" s="6"/>
      <c r="ET424" s="6"/>
      <c r="EU424" s="6"/>
      <c r="EV424" s="6"/>
      <c r="EW424" s="6"/>
      <c r="EX424" s="6"/>
      <c r="EY424" s="6"/>
      <c r="EZ424" s="6"/>
      <c r="FA424" s="6"/>
      <c r="FB424" s="6"/>
      <c r="FC424" s="6"/>
      <c r="FD424" s="6"/>
      <c r="FE424" s="6"/>
      <c r="FF424" s="6"/>
      <c r="FG424" s="6"/>
      <c r="FH424" s="6"/>
      <c r="FI424" s="6"/>
      <c r="FJ424" s="6"/>
      <c r="FK424" s="6"/>
      <c r="FL424" s="6"/>
      <c r="FM424" s="6"/>
      <c r="FN424" s="6"/>
      <c r="FO424" s="6"/>
      <c r="FP424" s="6"/>
      <c r="FQ424" s="6"/>
      <c r="FR424" s="6"/>
      <c r="FS424" s="6"/>
      <c r="FT424" s="6"/>
      <c r="FU424" s="6"/>
      <c r="FV424" s="6"/>
      <c r="FW424" s="6"/>
      <c r="FX424" s="6"/>
      <c r="FY424" s="6"/>
      <c r="FZ424" s="6"/>
      <c r="GA424" s="6"/>
      <c r="GB424" s="6"/>
      <c r="GC424" s="6"/>
      <c r="GD424" s="6"/>
      <c r="GE424" s="6"/>
      <c r="GF424" s="6"/>
      <c r="GG424" s="6"/>
      <c r="GH424" s="6"/>
      <c r="GI424" s="6"/>
      <c r="GJ424" s="6"/>
      <c r="GK424" s="6"/>
      <c r="GL424" s="6"/>
      <c r="GM424" s="6"/>
      <c r="GN424" s="6"/>
      <c r="GO424" s="6"/>
      <c r="GP424" s="6"/>
      <c r="GQ424" s="6"/>
      <c r="GR424" s="6"/>
      <c r="GS424" s="6"/>
      <c r="GT424" s="6"/>
      <c r="GU424" s="6"/>
      <c r="GV424" s="6"/>
      <c r="GW424" s="6"/>
      <c r="GX424" s="6"/>
      <c r="GY424" s="6"/>
      <c r="GZ424" s="6"/>
      <c r="HA424" s="6"/>
      <c r="HB424" s="6"/>
      <c r="HC424" s="6"/>
      <c r="HD424" s="6"/>
      <c r="HE424" s="6"/>
      <c r="HF424" s="6"/>
      <c r="HG424" s="6"/>
      <c r="HH424" s="6"/>
      <c r="HI424" s="6"/>
      <c r="HJ424" s="6"/>
      <c r="HK424" s="6"/>
      <c r="HL424" s="6"/>
      <c r="HM424" s="6"/>
      <c r="HN424" s="6"/>
      <c r="HO424" s="6"/>
      <c r="HP424" s="6"/>
      <c r="HQ424" s="6"/>
      <c r="HR424" s="6"/>
      <c r="HS424" s="6"/>
      <c r="HT424" s="6"/>
      <c r="HU424" s="6"/>
    </row>
    <row r="425" spans="9:229"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6"/>
      <c r="CW425" s="6"/>
      <c r="CX425" s="6"/>
      <c r="CY425" s="6"/>
      <c r="CZ425" s="6"/>
      <c r="DA425" s="6"/>
      <c r="DB425" s="6"/>
      <c r="DC425" s="6"/>
      <c r="DD425" s="6"/>
      <c r="DE425" s="6"/>
      <c r="DF425" s="6"/>
      <c r="DG425" s="6"/>
      <c r="DH425" s="6"/>
      <c r="DI425" s="6"/>
      <c r="DJ425" s="6"/>
      <c r="DK425" s="6"/>
      <c r="DL425" s="6"/>
      <c r="DM425" s="6"/>
      <c r="DN425" s="6"/>
      <c r="DO425" s="6"/>
      <c r="DP425" s="6"/>
      <c r="DQ425" s="6"/>
      <c r="DR425" s="6"/>
      <c r="DS425" s="6"/>
      <c r="DT425" s="6"/>
      <c r="DU425" s="6"/>
      <c r="DV425" s="6"/>
      <c r="DW425" s="6"/>
      <c r="DX425" s="6"/>
      <c r="DY425" s="6"/>
      <c r="DZ425" s="6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  <c r="ER425" s="6"/>
      <c r="ES425" s="6"/>
      <c r="ET425" s="6"/>
      <c r="EU425" s="6"/>
      <c r="EV425" s="6"/>
      <c r="EW425" s="6"/>
      <c r="EX425" s="6"/>
      <c r="EY425" s="6"/>
      <c r="EZ425" s="6"/>
      <c r="FA425" s="6"/>
      <c r="FB425" s="6"/>
      <c r="FC425" s="6"/>
      <c r="FD425" s="6"/>
      <c r="FE425" s="6"/>
      <c r="FF425" s="6"/>
      <c r="FG425" s="6"/>
      <c r="FH425" s="6"/>
      <c r="FI425" s="6"/>
      <c r="FJ425" s="6"/>
      <c r="FK425" s="6"/>
      <c r="FL425" s="6"/>
      <c r="FM425" s="6"/>
      <c r="FN425" s="6"/>
      <c r="FO425" s="6"/>
      <c r="FP425" s="6"/>
      <c r="FQ425" s="6"/>
      <c r="FR425" s="6"/>
      <c r="FS425" s="6"/>
      <c r="FT425" s="6"/>
      <c r="FU425" s="6"/>
      <c r="FV425" s="6"/>
      <c r="FW425" s="6"/>
      <c r="FX425" s="6"/>
      <c r="FY425" s="6"/>
      <c r="FZ425" s="6"/>
      <c r="GA425" s="6"/>
      <c r="GB425" s="6"/>
      <c r="GC425" s="6"/>
      <c r="GD425" s="6"/>
      <c r="GE425" s="6"/>
      <c r="GF425" s="6"/>
      <c r="GG425" s="6"/>
      <c r="GH425" s="6"/>
      <c r="GI425" s="6"/>
      <c r="GJ425" s="6"/>
      <c r="GK425" s="6"/>
      <c r="GL425" s="6"/>
      <c r="GM425" s="6"/>
      <c r="GN425" s="6"/>
      <c r="GO425" s="6"/>
      <c r="GP425" s="6"/>
      <c r="GQ425" s="6"/>
      <c r="GR425" s="6"/>
      <c r="GS425" s="6"/>
      <c r="GT425" s="6"/>
      <c r="GU425" s="6"/>
      <c r="GV425" s="6"/>
      <c r="GW425" s="6"/>
      <c r="GX425" s="6"/>
      <c r="GY425" s="6"/>
      <c r="GZ425" s="6"/>
      <c r="HA425" s="6"/>
      <c r="HB425" s="6"/>
      <c r="HC425" s="6"/>
      <c r="HD425" s="6"/>
      <c r="HE425" s="6"/>
      <c r="HF425" s="6"/>
      <c r="HG425" s="6"/>
      <c r="HH425" s="6"/>
      <c r="HI425" s="6"/>
      <c r="HJ425" s="6"/>
      <c r="HK425" s="6"/>
      <c r="HL425" s="6"/>
      <c r="HM425" s="6"/>
      <c r="HN425" s="6"/>
      <c r="HO425" s="6"/>
      <c r="HP425" s="6"/>
      <c r="HQ425" s="6"/>
      <c r="HR425" s="6"/>
      <c r="HS425" s="6"/>
      <c r="HT425" s="6"/>
      <c r="HU425" s="6"/>
    </row>
    <row r="426" spans="9:229"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  <c r="CU426" s="6"/>
      <c r="CV426" s="6"/>
      <c r="CW426" s="6"/>
      <c r="CX426" s="6"/>
      <c r="CY426" s="6"/>
      <c r="CZ426" s="6"/>
      <c r="DA426" s="6"/>
      <c r="DB426" s="6"/>
      <c r="DC426" s="6"/>
      <c r="DD426" s="6"/>
      <c r="DE426" s="6"/>
      <c r="DF426" s="6"/>
      <c r="DG426" s="6"/>
      <c r="DH426" s="6"/>
      <c r="DI426" s="6"/>
      <c r="DJ426" s="6"/>
      <c r="DK426" s="6"/>
      <c r="DL426" s="6"/>
      <c r="DM426" s="6"/>
      <c r="DN426" s="6"/>
      <c r="DO426" s="6"/>
      <c r="DP426" s="6"/>
      <c r="DQ426" s="6"/>
      <c r="DR426" s="6"/>
      <c r="DS426" s="6"/>
      <c r="DT426" s="6"/>
      <c r="DU426" s="6"/>
      <c r="DV426" s="6"/>
      <c r="DW426" s="6"/>
      <c r="DX426" s="6"/>
      <c r="DY426" s="6"/>
      <c r="DZ426" s="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  <c r="ER426" s="6"/>
      <c r="ES426" s="6"/>
      <c r="ET426" s="6"/>
      <c r="EU426" s="6"/>
      <c r="EV426" s="6"/>
      <c r="EW426" s="6"/>
      <c r="EX426" s="6"/>
      <c r="EY426" s="6"/>
      <c r="EZ426" s="6"/>
      <c r="FA426" s="6"/>
      <c r="FB426" s="6"/>
      <c r="FC426" s="6"/>
      <c r="FD426" s="6"/>
      <c r="FE426" s="6"/>
      <c r="FF426" s="6"/>
      <c r="FG426" s="6"/>
      <c r="FH426" s="6"/>
      <c r="FI426" s="6"/>
      <c r="FJ426" s="6"/>
      <c r="FK426" s="6"/>
      <c r="FL426" s="6"/>
      <c r="FM426" s="6"/>
      <c r="FN426" s="6"/>
      <c r="FO426" s="6"/>
      <c r="FP426" s="6"/>
      <c r="FQ426" s="6"/>
      <c r="FR426" s="6"/>
      <c r="FS426" s="6"/>
      <c r="FT426" s="6"/>
      <c r="FU426" s="6"/>
      <c r="FV426" s="6"/>
      <c r="FW426" s="6"/>
      <c r="FX426" s="6"/>
      <c r="FY426" s="6"/>
      <c r="FZ426" s="6"/>
      <c r="GA426" s="6"/>
      <c r="GB426" s="6"/>
      <c r="GC426" s="6"/>
      <c r="GD426" s="6"/>
      <c r="GE426" s="6"/>
      <c r="GF426" s="6"/>
      <c r="GG426" s="6"/>
      <c r="GH426" s="6"/>
      <c r="GI426" s="6"/>
      <c r="GJ426" s="6"/>
      <c r="GK426" s="6"/>
      <c r="GL426" s="6"/>
      <c r="GM426" s="6"/>
      <c r="GN426" s="6"/>
      <c r="GO426" s="6"/>
      <c r="GP426" s="6"/>
      <c r="GQ426" s="6"/>
      <c r="GR426" s="6"/>
      <c r="GS426" s="6"/>
      <c r="GT426" s="6"/>
      <c r="GU426" s="6"/>
      <c r="GV426" s="6"/>
      <c r="GW426" s="6"/>
      <c r="GX426" s="6"/>
      <c r="GY426" s="6"/>
      <c r="GZ426" s="6"/>
      <c r="HA426" s="6"/>
      <c r="HB426" s="6"/>
      <c r="HC426" s="6"/>
      <c r="HD426" s="6"/>
      <c r="HE426" s="6"/>
      <c r="HF426" s="6"/>
      <c r="HG426" s="6"/>
      <c r="HH426" s="6"/>
      <c r="HI426" s="6"/>
      <c r="HJ426" s="6"/>
      <c r="HK426" s="6"/>
      <c r="HL426" s="6"/>
      <c r="HM426" s="6"/>
      <c r="HN426" s="6"/>
      <c r="HO426" s="6"/>
      <c r="HP426" s="6"/>
      <c r="HQ426" s="6"/>
      <c r="HR426" s="6"/>
      <c r="HS426" s="6"/>
      <c r="HT426" s="6"/>
      <c r="HU426" s="6"/>
    </row>
    <row r="427" spans="9:229"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  <c r="CU427" s="6"/>
      <c r="CV427" s="6"/>
      <c r="CW427" s="6"/>
      <c r="CX427" s="6"/>
      <c r="CY427" s="6"/>
      <c r="CZ427" s="6"/>
      <c r="DA427" s="6"/>
      <c r="DB427" s="6"/>
      <c r="DC427" s="6"/>
      <c r="DD427" s="6"/>
      <c r="DE427" s="6"/>
      <c r="DF427" s="6"/>
      <c r="DG427" s="6"/>
      <c r="DH427" s="6"/>
      <c r="DI427" s="6"/>
      <c r="DJ427" s="6"/>
      <c r="DK427" s="6"/>
      <c r="DL427" s="6"/>
      <c r="DM427" s="6"/>
      <c r="DN427" s="6"/>
      <c r="DO427" s="6"/>
      <c r="DP427" s="6"/>
      <c r="DQ427" s="6"/>
      <c r="DR427" s="6"/>
      <c r="DS427" s="6"/>
      <c r="DT427" s="6"/>
      <c r="DU427" s="6"/>
      <c r="DV427" s="6"/>
      <c r="DW427" s="6"/>
      <c r="DX427" s="6"/>
      <c r="DY427" s="6"/>
      <c r="DZ427" s="6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  <c r="ER427" s="6"/>
      <c r="ES427" s="6"/>
      <c r="ET427" s="6"/>
      <c r="EU427" s="6"/>
      <c r="EV427" s="6"/>
      <c r="EW427" s="6"/>
      <c r="EX427" s="6"/>
      <c r="EY427" s="6"/>
      <c r="EZ427" s="6"/>
      <c r="FA427" s="6"/>
      <c r="FB427" s="6"/>
      <c r="FC427" s="6"/>
      <c r="FD427" s="6"/>
      <c r="FE427" s="6"/>
      <c r="FF427" s="6"/>
      <c r="FG427" s="6"/>
      <c r="FH427" s="6"/>
      <c r="FI427" s="6"/>
      <c r="FJ427" s="6"/>
      <c r="FK427" s="6"/>
      <c r="FL427" s="6"/>
      <c r="FM427" s="6"/>
      <c r="FN427" s="6"/>
      <c r="FO427" s="6"/>
      <c r="FP427" s="6"/>
      <c r="FQ427" s="6"/>
      <c r="FR427" s="6"/>
      <c r="FS427" s="6"/>
      <c r="FT427" s="6"/>
      <c r="FU427" s="6"/>
      <c r="FV427" s="6"/>
      <c r="FW427" s="6"/>
      <c r="FX427" s="6"/>
      <c r="FY427" s="6"/>
      <c r="FZ427" s="6"/>
      <c r="GA427" s="6"/>
      <c r="GB427" s="6"/>
      <c r="GC427" s="6"/>
      <c r="GD427" s="6"/>
      <c r="GE427" s="6"/>
      <c r="GF427" s="6"/>
      <c r="GG427" s="6"/>
      <c r="GH427" s="6"/>
      <c r="GI427" s="6"/>
      <c r="GJ427" s="6"/>
      <c r="GK427" s="6"/>
      <c r="GL427" s="6"/>
      <c r="GM427" s="6"/>
      <c r="GN427" s="6"/>
      <c r="GO427" s="6"/>
      <c r="GP427" s="6"/>
      <c r="GQ427" s="6"/>
      <c r="GR427" s="6"/>
      <c r="GS427" s="6"/>
      <c r="GT427" s="6"/>
      <c r="GU427" s="6"/>
      <c r="GV427" s="6"/>
      <c r="GW427" s="6"/>
      <c r="GX427" s="6"/>
      <c r="GY427" s="6"/>
      <c r="GZ427" s="6"/>
      <c r="HA427" s="6"/>
      <c r="HB427" s="6"/>
      <c r="HC427" s="6"/>
      <c r="HD427" s="6"/>
      <c r="HE427" s="6"/>
      <c r="HF427" s="6"/>
      <c r="HG427" s="6"/>
      <c r="HH427" s="6"/>
      <c r="HI427" s="6"/>
      <c r="HJ427" s="6"/>
      <c r="HK427" s="6"/>
      <c r="HL427" s="6"/>
      <c r="HM427" s="6"/>
      <c r="HN427" s="6"/>
      <c r="HO427" s="6"/>
      <c r="HP427" s="6"/>
      <c r="HQ427" s="6"/>
      <c r="HR427" s="6"/>
      <c r="HS427" s="6"/>
      <c r="HT427" s="6"/>
      <c r="HU427" s="6"/>
    </row>
    <row r="428" spans="9:229"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  <c r="CU428" s="6"/>
      <c r="CV428" s="6"/>
      <c r="CW428" s="6"/>
      <c r="CX428" s="6"/>
      <c r="CY428" s="6"/>
      <c r="CZ428" s="6"/>
      <c r="DA428" s="6"/>
      <c r="DB428" s="6"/>
      <c r="DC428" s="6"/>
      <c r="DD428" s="6"/>
      <c r="DE428" s="6"/>
      <c r="DF428" s="6"/>
      <c r="DG428" s="6"/>
      <c r="DH428" s="6"/>
      <c r="DI428" s="6"/>
      <c r="DJ428" s="6"/>
      <c r="DK428" s="6"/>
      <c r="DL428" s="6"/>
      <c r="DM428" s="6"/>
      <c r="DN428" s="6"/>
      <c r="DO428" s="6"/>
      <c r="DP428" s="6"/>
      <c r="DQ428" s="6"/>
      <c r="DR428" s="6"/>
      <c r="DS428" s="6"/>
      <c r="DT428" s="6"/>
      <c r="DU428" s="6"/>
      <c r="DV428" s="6"/>
      <c r="DW428" s="6"/>
      <c r="DX428" s="6"/>
      <c r="DY428" s="6"/>
      <c r="DZ428" s="6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  <c r="ER428" s="6"/>
      <c r="ES428" s="6"/>
      <c r="ET428" s="6"/>
      <c r="EU428" s="6"/>
      <c r="EV428" s="6"/>
      <c r="EW428" s="6"/>
      <c r="EX428" s="6"/>
      <c r="EY428" s="6"/>
      <c r="EZ428" s="6"/>
      <c r="FA428" s="6"/>
      <c r="FB428" s="6"/>
      <c r="FC428" s="6"/>
      <c r="FD428" s="6"/>
      <c r="FE428" s="6"/>
      <c r="FF428" s="6"/>
      <c r="FG428" s="6"/>
      <c r="FH428" s="6"/>
      <c r="FI428" s="6"/>
      <c r="FJ428" s="6"/>
      <c r="FK428" s="6"/>
      <c r="FL428" s="6"/>
      <c r="FM428" s="6"/>
      <c r="FN428" s="6"/>
      <c r="FO428" s="6"/>
      <c r="FP428" s="6"/>
      <c r="FQ428" s="6"/>
      <c r="FR428" s="6"/>
      <c r="FS428" s="6"/>
      <c r="FT428" s="6"/>
      <c r="FU428" s="6"/>
      <c r="FV428" s="6"/>
      <c r="FW428" s="6"/>
      <c r="FX428" s="6"/>
      <c r="FY428" s="6"/>
      <c r="FZ428" s="6"/>
      <c r="GA428" s="6"/>
      <c r="GB428" s="6"/>
      <c r="GC428" s="6"/>
      <c r="GD428" s="6"/>
      <c r="GE428" s="6"/>
      <c r="GF428" s="6"/>
      <c r="GG428" s="6"/>
      <c r="GH428" s="6"/>
      <c r="GI428" s="6"/>
      <c r="GJ428" s="6"/>
      <c r="GK428" s="6"/>
      <c r="GL428" s="6"/>
      <c r="GM428" s="6"/>
      <c r="GN428" s="6"/>
      <c r="GO428" s="6"/>
      <c r="GP428" s="6"/>
      <c r="GQ428" s="6"/>
      <c r="GR428" s="6"/>
      <c r="GS428" s="6"/>
      <c r="GT428" s="6"/>
      <c r="GU428" s="6"/>
      <c r="GV428" s="6"/>
      <c r="GW428" s="6"/>
      <c r="GX428" s="6"/>
      <c r="GY428" s="6"/>
      <c r="GZ428" s="6"/>
      <c r="HA428" s="6"/>
      <c r="HB428" s="6"/>
      <c r="HC428" s="6"/>
      <c r="HD428" s="6"/>
      <c r="HE428" s="6"/>
      <c r="HF428" s="6"/>
      <c r="HG428" s="6"/>
      <c r="HH428" s="6"/>
      <c r="HI428" s="6"/>
      <c r="HJ428" s="6"/>
      <c r="HK428" s="6"/>
      <c r="HL428" s="6"/>
      <c r="HM428" s="6"/>
      <c r="HN428" s="6"/>
      <c r="HO428" s="6"/>
      <c r="HP428" s="6"/>
      <c r="HQ428" s="6"/>
      <c r="HR428" s="6"/>
      <c r="HS428" s="6"/>
      <c r="HT428" s="6"/>
      <c r="HU428" s="6"/>
    </row>
    <row r="429" spans="9:229"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  <c r="CU429" s="6"/>
      <c r="CV429" s="6"/>
      <c r="CW429" s="6"/>
      <c r="CX429" s="6"/>
      <c r="CY429" s="6"/>
      <c r="CZ429" s="6"/>
      <c r="DA429" s="6"/>
      <c r="DB429" s="6"/>
      <c r="DC429" s="6"/>
      <c r="DD429" s="6"/>
      <c r="DE429" s="6"/>
      <c r="DF429" s="6"/>
      <c r="DG429" s="6"/>
      <c r="DH429" s="6"/>
      <c r="DI429" s="6"/>
      <c r="DJ429" s="6"/>
      <c r="DK429" s="6"/>
      <c r="DL429" s="6"/>
      <c r="DM429" s="6"/>
      <c r="DN429" s="6"/>
      <c r="DO429" s="6"/>
      <c r="DP429" s="6"/>
      <c r="DQ429" s="6"/>
      <c r="DR429" s="6"/>
      <c r="DS429" s="6"/>
      <c r="DT429" s="6"/>
      <c r="DU429" s="6"/>
      <c r="DV429" s="6"/>
      <c r="DW429" s="6"/>
      <c r="DX429" s="6"/>
      <c r="DY429" s="6"/>
      <c r="DZ429" s="6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  <c r="ER429" s="6"/>
      <c r="ES429" s="6"/>
      <c r="ET429" s="6"/>
      <c r="EU429" s="6"/>
      <c r="EV429" s="6"/>
      <c r="EW429" s="6"/>
      <c r="EX429" s="6"/>
      <c r="EY429" s="6"/>
      <c r="EZ429" s="6"/>
      <c r="FA429" s="6"/>
      <c r="FB429" s="6"/>
      <c r="FC429" s="6"/>
      <c r="FD429" s="6"/>
      <c r="FE429" s="6"/>
      <c r="FF429" s="6"/>
      <c r="FG429" s="6"/>
      <c r="FH429" s="6"/>
      <c r="FI429" s="6"/>
      <c r="FJ429" s="6"/>
      <c r="FK429" s="6"/>
      <c r="FL429" s="6"/>
      <c r="FM429" s="6"/>
      <c r="FN429" s="6"/>
      <c r="FO429" s="6"/>
      <c r="FP429" s="6"/>
      <c r="FQ429" s="6"/>
      <c r="FR429" s="6"/>
      <c r="FS429" s="6"/>
      <c r="FT429" s="6"/>
      <c r="FU429" s="6"/>
      <c r="FV429" s="6"/>
      <c r="FW429" s="6"/>
      <c r="FX429" s="6"/>
      <c r="FY429" s="6"/>
      <c r="FZ429" s="6"/>
      <c r="GA429" s="6"/>
      <c r="GB429" s="6"/>
      <c r="GC429" s="6"/>
      <c r="GD429" s="6"/>
      <c r="GE429" s="6"/>
      <c r="GF429" s="6"/>
      <c r="GG429" s="6"/>
      <c r="GH429" s="6"/>
      <c r="GI429" s="6"/>
      <c r="GJ429" s="6"/>
      <c r="GK429" s="6"/>
      <c r="GL429" s="6"/>
      <c r="GM429" s="6"/>
      <c r="GN429" s="6"/>
      <c r="GO429" s="6"/>
      <c r="GP429" s="6"/>
      <c r="GQ429" s="6"/>
      <c r="GR429" s="6"/>
      <c r="GS429" s="6"/>
      <c r="GT429" s="6"/>
      <c r="GU429" s="6"/>
      <c r="GV429" s="6"/>
      <c r="GW429" s="6"/>
      <c r="GX429" s="6"/>
      <c r="GY429" s="6"/>
      <c r="GZ429" s="6"/>
      <c r="HA429" s="6"/>
      <c r="HB429" s="6"/>
      <c r="HC429" s="6"/>
      <c r="HD429" s="6"/>
      <c r="HE429" s="6"/>
      <c r="HF429" s="6"/>
      <c r="HG429" s="6"/>
      <c r="HH429" s="6"/>
      <c r="HI429" s="6"/>
      <c r="HJ429" s="6"/>
      <c r="HK429" s="6"/>
      <c r="HL429" s="6"/>
      <c r="HM429" s="6"/>
      <c r="HN429" s="6"/>
      <c r="HO429" s="6"/>
      <c r="HP429" s="6"/>
      <c r="HQ429" s="6"/>
      <c r="HR429" s="6"/>
      <c r="HS429" s="6"/>
      <c r="HT429" s="6"/>
      <c r="HU429" s="6"/>
    </row>
    <row r="430" spans="9:229"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  <c r="CU430" s="6"/>
      <c r="CV430" s="6"/>
      <c r="CW430" s="6"/>
      <c r="CX430" s="6"/>
      <c r="CY430" s="6"/>
      <c r="CZ430" s="6"/>
      <c r="DA430" s="6"/>
      <c r="DB430" s="6"/>
      <c r="DC430" s="6"/>
      <c r="DD430" s="6"/>
      <c r="DE430" s="6"/>
      <c r="DF430" s="6"/>
      <c r="DG430" s="6"/>
      <c r="DH430" s="6"/>
      <c r="DI430" s="6"/>
      <c r="DJ430" s="6"/>
      <c r="DK430" s="6"/>
      <c r="DL430" s="6"/>
      <c r="DM430" s="6"/>
      <c r="DN430" s="6"/>
      <c r="DO430" s="6"/>
      <c r="DP430" s="6"/>
      <c r="DQ430" s="6"/>
      <c r="DR430" s="6"/>
      <c r="DS430" s="6"/>
      <c r="DT430" s="6"/>
      <c r="DU430" s="6"/>
      <c r="DV430" s="6"/>
      <c r="DW430" s="6"/>
      <c r="DX430" s="6"/>
      <c r="DY430" s="6"/>
      <c r="DZ430" s="6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  <c r="ER430" s="6"/>
      <c r="ES430" s="6"/>
      <c r="ET430" s="6"/>
      <c r="EU430" s="6"/>
      <c r="EV430" s="6"/>
      <c r="EW430" s="6"/>
      <c r="EX430" s="6"/>
      <c r="EY430" s="6"/>
      <c r="EZ430" s="6"/>
      <c r="FA430" s="6"/>
      <c r="FB430" s="6"/>
      <c r="FC430" s="6"/>
      <c r="FD430" s="6"/>
      <c r="FE430" s="6"/>
      <c r="FF430" s="6"/>
      <c r="FG430" s="6"/>
      <c r="FH430" s="6"/>
      <c r="FI430" s="6"/>
      <c r="FJ430" s="6"/>
      <c r="FK430" s="6"/>
      <c r="FL430" s="6"/>
      <c r="FM430" s="6"/>
      <c r="FN430" s="6"/>
      <c r="FO430" s="6"/>
      <c r="FP430" s="6"/>
      <c r="FQ430" s="6"/>
      <c r="FR430" s="6"/>
      <c r="FS430" s="6"/>
      <c r="FT430" s="6"/>
      <c r="FU430" s="6"/>
      <c r="FV430" s="6"/>
      <c r="FW430" s="6"/>
      <c r="FX430" s="6"/>
      <c r="FY430" s="6"/>
      <c r="FZ430" s="6"/>
      <c r="GA430" s="6"/>
      <c r="GB430" s="6"/>
      <c r="GC430" s="6"/>
      <c r="GD430" s="6"/>
      <c r="GE430" s="6"/>
      <c r="GF430" s="6"/>
      <c r="GG430" s="6"/>
      <c r="GH430" s="6"/>
      <c r="GI430" s="6"/>
      <c r="GJ430" s="6"/>
      <c r="GK430" s="6"/>
      <c r="GL430" s="6"/>
      <c r="GM430" s="6"/>
      <c r="GN430" s="6"/>
      <c r="GO430" s="6"/>
      <c r="GP430" s="6"/>
      <c r="GQ430" s="6"/>
      <c r="GR430" s="6"/>
      <c r="GS430" s="6"/>
      <c r="GT430" s="6"/>
      <c r="GU430" s="6"/>
      <c r="GV430" s="6"/>
      <c r="GW430" s="6"/>
      <c r="GX430" s="6"/>
      <c r="GY430" s="6"/>
      <c r="GZ430" s="6"/>
      <c r="HA430" s="6"/>
      <c r="HB430" s="6"/>
      <c r="HC430" s="6"/>
      <c r="HD430" s="6"/>
      <c r="HE430" s="6"/>
      <c r="HF430" s="6"/>
      <c r="HG430" s="6"/>
      <c r="HH430" s="6"/>
      <c r="HI430" s="6"/>
      <c r="HJ430" s="6"/>
      <c r="HK430" s="6"/>
      <c r="HL430" s="6"/>
      <c r="HM430" s="6"/>
      <c r="HN430" s="6"/>
      <c r="HO430" s="6"/>
      <c r="HP430" s="6"/>
      <c r="HQ430" s="6"/>
      <c r="HR430" s="6"/>
      <c r="HS430" s="6"/>
      <c r="HT430" s="6"/>
      <c r="HU430" s="6"/>
    </row>
    <row r="431" spans="9:229"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  <c r="CU431" s="6"/>
      <c r="CV431" s="6"/>
      <c r="CW431" s="6"/>
      <c r="CX431" s="6"/>
      <c r="CY431" s="6"/>
      <c r="CZ431" s="6"/>
      <c r="DA431" s="6"/>
      <c r="DB431" s="6"/>
      <c r="DC431" s="6"/>
      <c r="DD431" s="6"/>
      <c r="DE431" s="6"/>
      <c r="DF431" s="6"/>
      <c r="DG431" s="6"/>
      <c r="DH431" s="6"/>
      <c r="DI431" s="6"/>
      <c r="DJ431" s="6"/>
      <c r="DK431" s="6"/>
      <c r="DL431" s="6"/>
      <c r="DM431" s="6"/>
      <c r="DN431" s="6"/>
      <c r="DO431" s="6"/>
      <c r="DP431" s="6"/>
      <c r="DQ431" s="6"/>
      <c r="DR431" s="6"/>
      <c r="DS431" s="6"/>
      <c r="DT431" s="6"/>
      <c r="DU431" s="6"/>
      <c r="DV431" s="6"/>
      <c r="DW431" s="6"/>
      <c r="DX431" s="6"/>
      <c r="DY431" s="6"/>
      <c r="DZ431" s="6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  <c r="ER431" s="6"/>
      <c r="ES431" s="6"/>
      <c r="ET431" s="6"/>
      <c r="EU431" s="6"/>
      <c r="EV431" s="6"/>
      <c r="EW431" s="6"/>
      <c r="EX431" s="6"/>
      <c r="EY431" s="6"/>
      <c r="EZ431" s="6"/>
      <c r="FA431" s="6"/>
      <c r="FB431" s="6"/>
      <c r="FC431" s="6"/>
      <c r="FD431" s="6"/>
      <c r="FE431" s="6"/>
      <c r="FF431" s="6"/>
      <c r="FG431" s="6"/>
      <c r="FH431" s="6"/>
      <c r="FI431" s="6"/>
      <c r="FJ431" s="6"/>
      <c r="FK431" s="6"/>
      <c r="FL431" s="6"/>
      <c r="FM431" s="6"/>
      <c r="FN431" s="6"/>
      <c r="FO431" s="6"/>
      <c r="FP431" s="6"/>
      <c r="FQ431" s="6"/>
      <c r="FR431" s="6"/>
      <c r="FS431" s="6"/>
      <c r="FT431" s="6"/>
      <c r="FU431" s="6"/>
      <c r="FV431" s="6"/>
      <c r="FW431" s="6"/>
      <c r="FX431" s="6"/>
      <c r="FY431" s="6"/>
      <c r="FZ431" s="6"/>
      <c r="GA431" s="6"/>
      <c r="GB431" s="6"/>
      <c r="GC431" s="6"/>
      <c r="GD431" s="6"/>
      <c r="GE431" s="6"/>
      <c r="GF431" s="6"/>
      <c r="GG431" s="6"/>
      <c r="GH431" s="6"/>
      <c r="GI431" s="6"/>
      <c r="GJ431" s="6"/>
      <c r="GK431" s="6"/>
      <c r="GL431" s="6"/>
      <c r="GM431" s="6"/>
      <c r="GN431" s="6"/>
      <c r="GO431" s="6"/>
      <c r="GP431" s="6"/>
      <c r="GQ431" s="6"/>
      <c r="GR431" s="6"/>
      <c r="GS431" s="6"/>
      <c r="GT431" s="6"/>
      <c r="GU431" s="6"/>
      <c r="GV431" s="6"/>
      <c r="GW431" s="6"/>
      <c r="GX431" s="6"/>
      <c r="GY431" s="6"/>
      <c r="GZ431" s="6"/>
      <c r="HA431" s="6"/>
      <c r="HB431" s="6"/>
      <c r="HC431" s="6"/>
      <c r="HD431" s="6"/>
      <c r="HE431" s="6"/>
      <c r="HF431" s="6"/>
      <c r="HG431" s="6"/>
      <c r="HH431" s="6"/>
      <c r="HI431" s="6"/>
      <c r="HJ431" s="6"/>
      <c r="HK431" s="6"/>
      <c r="HL431" s="6"/>
      <c r="HM431" s="6"/>
      <c r="HN431" s="6"/>
      <c r="HO431" s="6"/>
      <c r="HP431" s="6"/>
      <c r="HQ431" s="6"/>
      <c r="HR431" s="6"/>
      <c r="HS431" s="6"/>
      <c r="HT431" s="6"/>
      <c r="HU431" s="6"/>
    </row>
    <row r="432" spans="9:229"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  <c r="CU432" s="6"/>
      <c r="CV432" s="6"/>
      <c r="CW432" s="6"/>
      <c r="CX432" s="6"/>
      <c r="CY432" s="6"/>
      <c r="CZ432" s="6"/>
      <c r="DA432" s="6"/>
      <c r="DB432" s="6"/>
      <c r="DC432" s="6"/>
      <c r="DD432" s="6"/>
      <c r="DE432" s="6"/>
      <c r="DF432" s="6"/>
      <c r="DG432" s="6"/>
      <c r="DH432" s="6"/>
      <c r="DI432" s="6"/>
      <c r="DJ432" s="6"/>
      <c r="DK432" s="6"/>
      <c r="DL432" s="6"/>
      <c r="DM432" s="6"/>
      <c r="DN432" s="6"/>
      <c r="DO432" s="6"/>
      <c r="DP432" s="6"/>
      <c r="DQ432" s="6"/>
      <c r="DR432" s="6"/>
      <c r="DS432" s="6"/>
      <c r="DT432" s="6"/>
      <c r="DU432" s="6"/>
      <c r="DV432" s="6"/>
      <c r="DW432" s="6"/>
      <c r="DX432" s="6"/>
      <c r="DY432" s="6"/>
      <c r="DZ432" s="6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  <c r="ER432" s="6"/>
      <c r="ES432" s="6"/>
      <c r="ET432" s="6"/>
      <c r="EU432" s="6"/>
      <c r="EV432" s="6"/>
      <c r="EW432" s="6"/>
      <c r="EX432" s="6"/>
      <c r="EY432" s="6"/>
      <c r="EZ432" s="6"/>
      <c r="FA432" s="6"/>
      <c r="FB432" s="6"/>
      <c r="FC432" s="6"/>
      <c r="FD432" s="6"/>
      <c r="FE432" s="6"/>
      <c r="FF432" s="6"/>
      <c r="FG432" s="6"/>
      <c r="FH432" s="6"/>
      <c r="FI432" s="6"/>
      <c r="FJ432" s="6"/>
      <c r="FK432" s="6"/>
      <c r="FL432" s="6"/>
      <c r="FM432" s="6"/>
      <c r="FN432" s="6"/>
      <c r="FO432" s="6"/>
      <c r="FP432" s="6"/>
      <c r="FQ432" s="6"/>
      <c r="FR432" s="6"/>
      <c r="FS432" s="6"/>
      <c r="FT432" s="6"/>
      <c r="FU432" s="6"/>
      <c r="FV432" s="6"/>
      <c r="FW432" s="6"/>
      <c r="FX432" s="6"/>
      <c r="FY432" s="6"/>
      <c r="FZ432" s="6"/>
      <c r="GA432" s="6"/>
      <c r="GB432" s="6"/>
      <c r="GC432" s="6"/>
      <c r="GD432" s="6"/>
      <c r="GE432" s="6"/>
      <c r="GF432" s="6"/>
      <c r="GG432" s="6"/>
      <c r="GH432" s="6"/>
      <c r="GI432" s="6"/>
      <c r="GJ432" s="6"/>
      <c r="GK432" s="6"/>
      <c r="GL432" s="6"/>
      <c r="GM432" s="6"/>
      <c r="GN432" s="6"/>
      <c r="GO432" s="6"/>
      <c r="GP432" s="6"/>
      <c r="GQ432" s="6"/>
      <c r="GR432" s="6"/>
      <c r="GS432" s="6"/>
      <c r="GT432" s="6"/>
      <c r="GU432" s="6"/>
      <c r="GV432" s="6"/>
      <c r="GW432" s="6"/>
      <c r="GX432" s="6"/>
      <c r="GY432" s="6"/>
      <c r="GZ432" s="6"/>
      <c r="HA432" s="6"/>
      <c r="HB432" s="6"/>
      <c r="HC432" s="6"/>
      <c r="HD432" s="6"/>
      <c r="HE432" s="6"/>
      <c r="HF432" s="6"/>
      <c r="HG432" s="6"/>
      <c r="HH432" s="6"/>
      <c r="HI432" s="6"/>
      <c r="HJ432" s="6"/>
      <c r="HK432" s="6"/>
      <c r="HL432" s="6"/>
      <c r="HM432" s="6"/>
      <c r="HN432" s="6"/>
      <c r="HO432" s="6"/>
      <c r="HP432" s="6"/>
      <c r="HQ432" s="6"/>
      <c r="HR432" s="6"/>
      <c r="HS432" s="6"/>
      <c r="HT432" s="6"/>
      <c r="HU432" s="6"/>
    </row>
    <row r="433" spans="9:229"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  <c r="CU433" s="6"/>
      <c r="CV433" s="6"/>
      <c r="CW433" s="6"/>
      <c r="CX433" s="6"/>
      <c r="CY433" s="6"/>
      <c r="CZ433" s="6"/>
      <c r="DA433" s="6"/>
      <c r="DB433" s="6"/>
      <c r="DC433" s="6"/>
      <c r="DD433" s="6"/>
      <c r="DE433" s="6"/>
      <c r="DF433" s="6"/>
      <c r="DG433" s="6"/>
      <c r="DH433" s="6"/>
      <c r="DI433" s="6"/>
      <c r="DJ433" s="6"/>
      <c r="DK433" s="6"/>
      <c r="DL433" s="6"/>
      <c r="DM433" s="6"/>
      <c r="DN433" s="6"/>
      <c r="DO433" s="6"/>
      <c r="DP433" s="6"/>
      <c r="DQ433" s="6"/>
      <c r="DR433" s="6"/>
      <c r="DS433" s="6"/>
      <c r="DT433" s="6"/>
      <c r="DU433" s="6"/>
      <c r="DV433" s="6"/>
      <c r="DW433" s="6"/>
      <c r="DX433" s="6"/>
      <c r="DY433" s="6"/>
      <c r="DZ433" s="6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  <c r="ER433" s="6"/>
      <c r="ES433" s="6"/>
      <c r="ET433" s="6"/>
      <c r="EU433" s="6"/>
      <c r="EV433" s="6"/>
      <c r="EW433" s="6"/>
      <c r="EX433" s="6"/>
      <c r="EY433" s="6"/>
      <c r="EZ433" s="6"/>
      <c r="FA433" s="6"/>
      <c r="FB433" s="6"/>
      <c r="FC433" s="6"/>
      <c r="FD433" s="6"/>
      <c r="FE433" s="6"/>
      <c r="FF433" s="6"/>
      <c r="FG433" s="6"/>
      <c r="FH433" s="6"/>
      <c r="FI433" s="6"/>
      <c r="FJ433" s="6"/>
      <c r="FK433" s="6"/>
      <c r="FL433" s="6"/>
      <c r="FM433" s="6"/>
      <c r="FN433" s="6"/>
      <c r="FO433" s="6"/>
      <c r="FP433" s="6"/>
      <c r="FQ433" s="6"/>
      <c r="FR433" s="6"/>
      <c r="FS433" s="6"/>
      <c r="FT433" s="6"/>
      <c r="FU433" s="6"/>
      <c r="FV433" s="6"/>
      <c r="FW433" s="6"/>
      <c r="FX433" s="6"/>
      <c r="FY433" s="6"/>
      <c r="FZ433" s="6"/>
      <c r="GA433" s="6"/>
      <c r="GB433" s="6"/>
      <c r="GC433" s="6"/>
      <c r="GD433" s="6"/>
      <c r="GE433" s="6"/>
      <c r="GF433" s="6"/>
      <c r="GG433" s="6"/>
      <c r="GH433" s="6"/>
      <c r="GI433" s="6"/>
      <c r="GJ433" s="6"/>
      <c r="GK433" s="6"/>
      <c r="GL433" s="6"/>
      <c r="GM433" s="6"/>
      <c r="GN433" s="6"/>
      <c r="GO433" s="6"/>
      <c r="GP433" s="6"/>
      <c r="GQ433" s="6"/>
      <c r="GR433" s="6"/>
      <c r="GS433" s="6"/>
      <c r="GT433" s="6"/>
      <c r="GU433" s="6"/>
      <c r="GV433" s="6"/>
      <c r="GW433" s="6"/>
      <c r="GX433" s="6"/>
      <c r="GY433" s="6"/>
      <c r="GZ433" s="6"/>
      <c r="HA433" s="6"/>
      <c r="HB433" s="6"/>
      <c r="HC433" s="6"/>
      <c r="HD433" s="6"/>
      <c r="HE433" s="6"/>
      <c r="HF433" s="6"/>
      <c r="HG433" s="6"/>
      <c r="HH433" s="6"/>
      <c r="HI433" s="6"/>
      <c r="HJ433" s="6"/>
      <c r="HK433" s="6"/>
      <c r="HL433" s="6"/>
      <c r="HM433" s="6"/>
      <c r="HN433" s="6"/>
      <c r="HO433" s="6"/>
      <c r="HP433" s="6"/>
      <c r="HQ433" s="6"/>
      <c r="HR433" s="6"/>
      <c r="HS433" s="6"/>
      <c r="HT433" s="6"/>
      <c r="HU433" s="6"/>
    </row>
    <row r="434" spans="9:229"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  <c r="CU434" s="6"/>
      <c r="CV434" s="6"/>
      <c r="CW434" s="6"/>
      <c r="CX434" s="6"/>
      <c r="CY434" s="6"/>
      <c r="CZ434" s="6"/>
      <c r="DA434" s="6"/>
      <c r="DB434" s="6"/>
      <c r="DC434" s="6"/>
      <c r="DD434" s="6"/>
      <c r="DE434" s="6"/>
      <c r="DF434" s="6"/>
      <c r="DG434" s="6"/>
      <c r="DH434" s="6"/>
      <c r="DI434" s="6"/>
      <c r="DJ434" s="6"/>
      <c r="DK434" s="6"/>
      <c r="DL434" s="6"/>
      <c r="DM434" s="6"/>
      <c r="DN434" s="6"/>
      <c r="DO434" s="6"/>
      <c r="DP434" s="6"/>
      <c r="DQ434" s="6"/>
      <c r="DR434" s="6"/>
      <c r="DS434" s="6"/>
      <c r="DT434" s="6"/>
      <c r="DU434" s="6"/>
      <c r="DV434" s="6"/>
      <c r="DW434" s="6"/>
      <c r="DX434" s="6"/>
      <c r="DY434" s="6"/>
      <c r="DZ434" s="6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  <c r="ER434" s="6"/>
      <c r="ES434" s="6"/>
      <c r="ET434" s="6"/>
      <c r="EU434" s="6"/>
      <c r="EV434" s="6"/>
      <c r="EW434" s="6"/>
      <c r="EX434" s="6"/>
      <c r="EY434" s="6"/>
      <c r="EZ434" s="6"/>
      <c r="FA434" s="6"/>
      <c r="FB434" s="6"/>
      <c r="FC434" s="6"/>
      <c r="FD434" s="6"/>
      <c r="FE434" s="6"/>
      <c r="FF434" s="6"/>
      <c r="FG434" s="6"/>
      <c r="FH434" s="6"/>
      <c r="FI434" s="6"/>
      <c r="FJ434" s="6"/>
      <c r="FK434" s="6"/>
      <c r="FL434" s="6"/>
      <c r="FM434" s="6"/>
      <c r="FN434" s="6"/>
      <c r="FO434" s="6"/>
      <c r="FP434" s="6"/>
      <c r="FQ434" s="6"/>
      <c r="FR434" s="6"/>
      <c r="FS434" s="6"/>
      <c r="FT434" s="6"/>
      <c r="FU434" s="6"/>
      <c r="FV434" s="6"/>
      <c r="FW434" s="6"/>
      <c r="FX434" s="6"/>
      <c r="FY434" s="6"/>
      <c r="FZ434" s="6"/>
      <c r="GA434" s="6"/>
      <c r="GB434" s="6"/>
      <c r="GC434" s="6"/>
      <c r="GD434" s="6"/>
      <c r="GE434" s="6"/>
      <c r="GF434" s="6"/>
      <c r="GG434" s="6"/>
      <c r="GH434" s="6"/>
      <c r="GI434" s="6"/>
      <c r="GJ434" s="6"/>
      <c r="GK434" s="6"/>
      <c r="GL434" s="6"/>
      <c r="GM434" s="6"/>
      <c r="GN434" s="6"/>
      <c r="GO434" s="6"/>
      <c r="GP434" s="6"/>
      <c r="GQ434" s="6"/>
      <c r="GR434" s="6"/>
      <c r="GS434" s="6"/>
      <c r="GT434" s="6"/>
      <c r="GU434" s="6"/>
      <c r="GV434" s="6"/>
      <c r="GW434" s="6"/>
      <c r="GX434" s="6"/>
      <c r="GY434" s="6"/>
      <c r="GZ434" s="6"/>
      <c r="HA434" s="6"/>
      <c r="HB434" s="6"/>
      <c r="HC434" s="6"/>
      <c r="HD434" s="6"/>
      <c r="HE434" s="6"/>
      <c r="HF434" s="6"/>
      <c r="HG434" s="6"/>
      <c r="HH434" s="6"/>
      <c r="HI434" s="6"/>
      <c r="HJ434" s="6"/>
      <c r="HK434" s="6"/>
      <c r="HL434" s="6"/>
      <c r="HM434" s="6"/>
      <c r="HN434" s="6"/>
      <c r="HO434" s="6"/>
      <c r="HP434" s="6"/>
      <c r="HQ434" s="6"/>
      <c r="HR434" s="6"/>
      <c r="HS434" s="6"/>
      <c r="HT434" s="6"/>
      <c r="HU434" s="6"/>
    </row>
    <row r="435" spans="9:229"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6"/>
      <c r="DT435" s="6"/>
      <c r="DU435" s="6"/>
      <c r="DV435" s="6"/>
      <c r="DW435" s="6"/>
      <c r="DX435" s="6"/>
      <c r="DY435" s="6"/>
      <c r="DZ435" s="6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  <c r="ER435" s="6"/>
      <c r="ES435" s="6"/>
      <c r="ET435" s="6"/>
      <c r="EU435" s="6"/>
      <c r="EV435" s="6"/>
      <c r="EW435" s="6"/>
      <c r="EX435" s="6"/>
      <c r="EY435" s="6"/>
      <c r="EZ435" s="6"/>
      <c r="FA435" s="6"/>
      <c r="FB435" s="6"/>
      <c r="FC435" s="6"/>
      <c r="FD435" s="6"/>
      <c r="FE435" s="6"/>
      <c r="FF435" s="6"/>
      <c r="FG435" s="6"/>
      <c r="FH435" s="6"/>
      <c r="FI435" s="6"/>
      <c r="FJ435" s="6"/>
      <c r="FK435" s="6"/>
      <c r="FL435" s="6"/>
      <c r="FM435" s="6"/>
      <c r="FN435" s="6"/>
      <c r="FO435" s="6"/>
      <c r="FP435" s="6"/>
      <c r="FQ435" s="6"/>
      <c r="FR435" s="6"/>
      <c r="FS435" s="6"/>
      <c r="FT435" s="6"/>
      <c r="FU435" s="6"/>
      <c r="FV435" s="6"/>
      <c r="FW435" s="6"/>
      <c r="FX435" s="6"/>
      <c r="FY435" s="6"/>
      <c r="FZ435" s="6"/>
      <c r="GA435" s="6"/>
      <c r="GB435" s="6"/>
      <c r="GC435" s="6"/>
      <c r="GD435" s="6"/>
      <c r="GE435" s="6"/>
      <c r="GF435" s="6"/>
      <c r="GG435" s="6"/>
      <c r="GH435" s="6"/>
      <c r="GI435" s="6"/>
      <c r="GJ435" s="6"/>
      <c r="GK435" s="6"/>
      <c r="GL435" s="6"/>
      <c r="GM435" s="6"/>
      <c r="GN435" s="6"/>
      <c r="GO435" s="6"/>
      <c r="GP435" s="6"/>
      <c r="GQ435" s="6"/>
      <c r="GR435" s="6"/>
      <c r="GS435" s="6"/>
      <c r="GT435" s="6"/>
      <c r="GU435" s="6"/>
      <c r="GV435" s="6"/>
      <c r="GW435" s="6"/>
      <c r="GX435" s="6"/>
      <c r="GY435" s="6"/>
      <c r="GZ435" s="6"/>
      <c r="HA435" s="6"/>
      <c r="HB435" s="6"/>
      <c r="HC435" s="6"/>
      <c r="HD435" s="6"/>
      <c r="HE435" s="6"/>
      <c r="HF435" s="6"/>
      <c r="HG435" s="6"/>
      <c r="HH435" s="6"/>
      <c r="HI435" s="6"/>
      <c r="HJ435" s="6"/>
      <c r="HK435" s="6"/>
      <c r="HL435" s="6"/>
      <c r="HM435" s="6"/>
      <c r="HN435" s="6"/>
      <c r="HO435" s="6"/>
      <c r="HP435" s="6"/>
      <c r="HQ435" s="6"/>
      <c r="HR435" s="6"/>
      <c r="HS435" s="6"/>
      <c r="HT435" s="6"/>
      <c r="HU435" s="6"/>
    </row>
    <row r="436" spans="9:229"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  <c r="CU436" s="6"/>
      <c r="CV436" s="6"/>
      <c r="CW436" s="6"/>
      <c r="CX436" s="6"/>
      <c r="CY436" s="6"/>
      <c r="CZ436" s="6"/>
      <c r="DA436" s="6"/>
      <c r="DB436" s="6"/>
      <c r="DC436" s="6"/>
      <c r="DD436" s="6"/>
      <c r="DE436" s="6"/>
      <c r="DF436" s="6"/>
      <c r="DG436" s="6"/>
      <c r="DH436" s="6"/>
      <c r="DI436" s="6"/>
      <c r="DJ436" s="6"/>
      <c r="DK436" s="6"/>
      <c r="DL436" s="6"/>
      <c r="DM436" s="6"/>
      <c r="DN436" s="6"/>
      <c r="DO436" s="6"/>
      <c r="DP436" s="6"/>
      <c r="DQ436" s="6"/>
      <c r="DR436" s="6"/>
      <c r="DS436" s="6"/>
      <c r="DT436" s="6"/>
      <c r="DU436" s="6"/>
      <c r="DV436" s="6"/>
      <c r="DW436" s="6"/>
      <c r="DX436" s="6"/>
      <c r="DY436" s="6"/>
      <c r="DZ436" s="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  <c r="ER436" s="6"/>
      <c r="ES436" s="6"/>
      <c r="ET436" s="6"/>
      <c r="EU436" s="6"/>
      <c r="EV436" s="6"/>
      <c r="EW436" s="6"/>
      <c r="EX436" s="6"/>
      <c r="EY436" s="6"/>
      <c r="EZ436" s="6"/>
      <c r="FA436" s="6"/>
      <c r="FB436" s="6"/>
      <c r="FC436" s="6"/>
      <c r="FD436" s="6"/>
      <c r="FE436" s="6"/>
      <c r="FF436" s="6"/>
      <c r="FG436" s="6"/>
      <c r="FH436" s="6"/>
      <c r="FI436" s="6"/>
      <c r="FJ436" s="6"/>
      <c r="FK436" s="6"/>
      <c r="FL436" s="6"/>
      <c r="FM436" s="6"/>
      <c r="FN436" s="6"/>
      <c r="FO436" s="6"/>
      <c r="FP436" s="6"/>
      <c r="FQ436" s="6"/>
      <c r="FR436" s="6"/>
      <c r="FS436" s="6"/>
      <c r="FT436" s="6"/>
      <c r="FU436" s="6"/>
      <c r="FV436" s="6"/>
      <c r="FW436" s="6"/>
      <c r="FX436" s="6"/>
      <c r="FY436" s="6"/>
      <c r="FZ436" s="6"/>
      <c r="GA436" s="6"/>
      <c r="GB436" s="6"/>
      <c r="GC436" s="6"/>
      <c r="GD436" s="6"/>
      <c r="GE436" s="6"/>
      <c r="GF436" s="6"/>
      <c r="GG436" s="6"/>
      <c r="GH436" s="6"/>
      <c r="GI436" s="6"/>
      <c r="GJ436" s="6"/>
      <c r="GK436" s="6"/>
      <c r="GL436" s="6"/>
      <c r="GM436" s="6"/>
      <c r="GN436" s="6"/>
      <c r="GO436" s="6"/>
      <c r="GP436" s="6"/>
      <c r="GQ436" s="6"/>
      <c r="GR436" s="6"/>
      <c r="GS436" s="6"/>
      <c r="GT436" s="6"/>
      <c r="GU436" s="6"/>
      <c r="GV436" s="6"/>
      <c r="GW436" s="6"/>
      <c r="GX436" s="6"/>
      <c r="GY436" s="6"/>
      <c r="GZ436" s="6"/>
      <c r="HA436" s="6"/>
      <c r="HB436" s="6"/>
      <c r="HC436" s="6"/>
      <c r="HD436" s="6"/>
      <c r="HE436" s="6"/>
      <c r="HF436" s="6"/>
      <c r="HG436" s="6"/>
      <c r="HH436" s="6"/>
      <c r="HI436" s="6"/>
      <c r="HJ436" s="6"/>
      <c r="HK436" s="6"/>
      <c r="HL436" s="6"/>
      <c r="HM436" s="6"/>
      <c r="HN436" s="6"/>
      <c r="HO436" s="6"/>
      <c r="HP436" s="6"/>
      <c r="HQ436" s="6"/>
      <c r="HR436" s="6"/>
      <c r="HS436" s="6"/>
      <c r="HT436" s="6"/>
      <c r="HU436" s="6"/>
    </row>
    <row r="437" spans="9:229"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  <c r="CU437" s="6"/>
      <c r="CV437" s="6"/>
      <c r="CW437" s="6"/>
      <c r="CX437" s="6"/>
      <c r="CY437" s="6"/>
      <c r="CZ437" s="6"/>
      <c r="DA437" s="6"/>
      <c r="DB437" s="6"/>
      <c r="DC437" s="6"/>
      <c r="DD437" s="6"/>
      <c r="DE437" s="6"/>
      <c r="DF437" s="6"/>
      <c r="DG437" s="6"/>
      <c r="DH437" s="6"/>
      <c r="DI437" s="6"/>
      <c r="DJ437" s="6"/>
      <c r="DK437" s="6"/>
      <c r="DL437" s="6"/>
      <c r="DM437" s="6"/>
      <c r="DN437" s="6"/>
      <c r="DO437" s="6"/>
      <c r="DP437" s="6"/>
      <c r="DQ437" s="6"/>
      <c r="DR437" s="6"/>
      <c r="DS437" s="6"/>
      <c r="DT437" s="6"/>
      <c r="DU437" s="6"/>
      <c r="DV437" s="6"/>
      <c r="DW437" s="6"/>
      <c r="DX437" s="6"/>
      <c r="DY437" s="6"/>
      <c r="DZ437" s="6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  <c r="ER437" s="6"/>
      <c r="ES437" s="6"/>
      <c r="ET437" s="6"/>
      <c r="EU437" s="6"/>
      <c r="EV437" s="6"/>
      <c r="EW437" s="6"/>
      <c r="EX437" s="6"/>
      <c r="EY437" s="6"/>
      <c r="EZ437" s="6"/>
      <c r="FA437" s="6"/>
      <c r="FB437" s="6"/>
      <c r="FC437" s="6"/>
      <c r="FD437" s="6"/>
      <c r="FE437" s="6"/>
      <c r="FF437" s="6"/>
      <c r="FG437" s="6"/>
      <c r="FH437" s="6"/>
      <c r="FI437" s="6"/>
      <c r="FJ437" s="6"/>
      <c r="FK437" s="6"/>
      <c r="FL437" s="6"/>
      <c r="FM437" s="6"/>
      <c r="FN437" s="6"/>
      <c r="FO437" s="6"/>
      <c r="FP437" s="6"/>
      <c r="FQ437" s="6"/>
      <c r="FR437" s="6"/>
      <c r="FS437" s="6"/>
      <c r="FT437" s="6"/>
      <c r="FU437" s="6"/>
      <c r="FV437" s="6"/>
      <c r="FW437" s="6"/>
      <c r="FX437" s="6"/>
      <c r="FY437" s="6"/>
      <c r="FZ437" s="6"/>
      <c r="GA437" s="6"/>
      <c r="GB437" s="6"/>
      <c r="GC437" s="6"/>
      <c r="GD437" s="6"/>
      <c r="GE437" s="6"/>
      <c r="GF437" s="6"/>
      <c r="GG437" s="6"/>
      <c r="GH437" s="6"/>
      <c r="GI437" s="6"/>
      <c r="GJ437" s="6"/>
      <c r="GK437" s="6"/>
      <c r="GL437" s="6"/>
      <c r="GM437" s="6"/>
      <c r="GN437" s="6"/>
      <c r="GO437" s="6"/>
      <c r="GP437" s="6"/>
      <c r="GQ437" s="6"/>
      <c r="GR437" s="6"/>
      <c r="GS437" s="6"/>
      <c r="GT437" s="6"/>
      <c r="GU437" s="6"/>
      <c r="GV437" s="6"/>
      <c r="GW437" s="6"/>
      <c r="GX437" s="6"/>
      <c r="GY437" s="6"/>
      <c r="GZ437" s="6"/>
      <c r="HA437" s="6"/>
      <c r="HB437" s="6"/>
      <c r="HC437" s="6"/>
      <c r="HD437" s="6"/>
      <c r="HE437" s="6"/>
      <c r="HF437" s="6"/>
      <c r="HG437" s="6"/>
      <c r="HH437" s="6"/>
      <c r="HI437" s="6"/>
      <c r="HJ437" s="6"/>
      <c r="HK437" s="6"/>
      <c r="HL437" s="6"/>
      <c r="HM437" s="6"/>
      <c r="HN437" s="6"/>
      <c r="HO437" s="6"/>
      <c r="HP437" s="6"/>
      <c r="HQ437" s="6"/>
      <c r="HR437" s="6"/>
      <c r="HS437" s="6"/>
      <c r="HT437" s="6"/>
      <c r="HU437" s="6"/>
    </row>
    <row r="438" spans="9:229"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  <c r="CU438" s="6"/>
      <c r="CV438" s="6"/>
      <c r="CW438" s="6"/>
      <c r="CX438" s="6"/>
      <c r="CY438" s="6"/>
      <c r="CZ438" s="6"/>
      <c r="DA438" s="6"/>
      <c r="DB438" s="6"/>
      <c r="DC438" s="6"/>
      <c r="DD438" s="6"/>
      <c r="DE438" s="6"/>
      <c r="DF438" s="6"/>
      <c r="DG438" s="6"/>
      <c r="DH438" s="6"/>
      <c r="DI438" s="6"/>
      <c r="DJ438" s="6"/>
      <c r="DK438" s="6"/>
      <c r="DL438" s="6"/>
      <c r="DM438" s="6"/>
      <c r="DN438" s="6"/>
      <c r="DO438" s="6"/>
      <c r="DP438" s="6"/>
      <c r="DQ438" s="6"/>
      <c r="DR438" s="6"/>
      <c r="DS438" s="6"/>
      <c r="DT438" s="6"/>
      <c r="DU438" s="6"/>
      <c r="DV438" s="6"/>
      <c r="DW438" s="6"/>
      <c r="DX438" s="6"/>
      <c r="DY438" s="6"/>
      <c r="DZ438" s="6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  <c r="ER438" s="6"/>
      <c r="ES438" s="6"/>
      <c r="ET438" s="6"/>
      <c r="EU438" s="6"/>
      <c r="EV438" s="6"/>
      <c r="EW438" s="6"/>
      <c r="EX438" s="6"/>
      <c r="EY438" s="6"/>
      <c r="EZ438" s="6"/>
      <c r="FA438" s="6"/>
      <c r="FB438" s="6"/>
      <c r="FC438" s="6"/>
      <c r="FD438" s="6"/>
      <c r="FE438" s="6"/>
      <c r="FF438" s="6"/>
      <c r="FG438" s="6"/>
      <c r="FH438" s="6"/>
      <c r="FI438" s="6"/>
      <c r="FJ438" s="6"/>
      <c r="FK438" s="6"/>
      <c r="FL438" s="6"/>
      <c r="FM438" s="6"/>
      <c r="FN438" s="6"/>
      <c r="FO438" s="6"/>
      <c r="FP438" s="6"/>
      <c r="FQ438" s="6"/>
      <c r="FR438" s="6"/>
      <c r="FS438" s="6"/>
      <c r="FT438" s="6"/>
      <c r="FU438" s="6"/>
      <c r="FV438" s="6"/>
      <c r="FW438" s="6"/>
      <c r="FX438" s="6"/>
      <c r="FY438" s="6"/>
      <c r="FZ438" s="6"/>
      <c r="GA438" s="6"/>
      <c r="GB438" s="6"/>
      <c r="GC438" s="6"/>
      <c r="GD438" s="6"/>
      <c r="GE438" s="6"/>
      <c r="GF438" s="6"/>
      <c r="GG438" s="6"/>
      <c r="GH438" s="6"/>
      <c r="GI438" s="6"/>
      <c r="GJ438" s="6"/>
      <c r="GK438" s="6"/>
      <c r="GL438" s="6"/>
      <c r="GM438" s="6"/>
      <c r="GN438" s="6"/>
      <c r="GO438" s="6"/>
      <c r="GP438" s="6"/>
      <c r="GQ438" s="6"/>
      <c r="GR438" s="6"/>
      <c r="GS438" s="6"/>
      <c r="GT438" s="6"/>
      <c r="GU438" s="6"/>
      <c r="GV438" s="6"/>
      <c r="GW438" s="6"/>
      <c r="GX438" s="6"/>
      <c r="GY438" s="6"/>
      <c r="GZ438" s="6"/>
      <c r="HA438" s="6"/>
      <c r="HB438" s="6"/>
      <c r="HC438" s="6"/>
      <c r="HD438" s="6"/>
      <c r="HE438" s="6"/>
      <c r="HF438" s="6"/>
      <c r="HG438" s="6"/>
      <c r="HH438" s="6"/>
      <c r="HI438" s="6"/>
      <c r="HJ438" s="6"/>
      <c r="HK438" s="6"/>
      <c r="HL438" s="6"/>
      <c r="HM438" s="6"/>
      <c r="HN438" s="6"/>
      <c r="HO438" s="6"/>
      <c r="HP438" s="6"/>
      <c r="HQ438" s="6"/>
      <c r="HR438" s="6"/>
      <c r="HS438" s="6"/>
      <c r="HT438" s="6"/>
      <c r="HU438" s="6"/>
    </row>
    <row r="439" spans="9:229"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  <c r="CU439" s="6"/>
      <c r="CV439" s="6"/>
      <c r="CW439" s="6"/>
      <c r="CX439" s="6"/>
      <c r="CY439" s="6"/>
      <c r="CZ439" s="6"/>
      <c r="DA439" s="6"/>
      <c r="DB439" s="6"/>
      <c r="DC439" s="6"/>
      <c r="DD439" s="6"/>
      <c r="DE439" s="6"/>
      <c r="DF439" s="6"/>
      <c r="DG439" s="6"/>
      <c r="DH439" s="6"/>
      <c r="DI439" s="6"/>
      <c r="DJ439" s="6"/>
      <c r="DK439" s="6"/>
      <c r="DL439" s="6"/>
      <c r="DM439" s="6"/>
      <c r="DN439" s="6"/>
      <c r="DO439" s="6"/>
      <c r="DP439" s="6"/>
      <c r="DQ439" s="6"/>
      <c r="DR439" s="6"/>
      <c r="DS439" s="6"/>
      <c r="DT439" s="6"/>
      <c r="DU439" s="6"/>
      <c r="DV439" s="6"/>
      <c r="DW439" s="6"/>
      <c r="DX439" s="6"/>
      <c r="DY439" s="6"/>
      <c r="DZ439" s="6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  <c r="ER439" s="6"/>
      <c r="ES439" s="6"/>
      <c r="ET439" s="6"/>
      <c r="EU439" s="6"/>
      <c r="EV439" s="6"/>
      <c r="EW439" s="6"/>
      <c r="EX439" s="6"/>
      <c r="EY439" s="6"/>
      <c r="EZ439" s="6"/>
      <c r="FA439" s="6"/>
      <c r="FB439" s="6"/>
      <c r="FC439" s="6"/>
      <c r="FD439" s="6"/>
      <c r="FE439" s="6"/>
      <c r="FF439" s="6"/>
      <c r="FG439" s="6"/>
      <c r="FH439" s="6"/>
      <c r="FI439" s="6"/>
      <c r="FJ439" s="6"/>
      <c r="FK439" s="6"/>
      <c r="FL439" s="6"/>
      <c r="FM439" s="6"/>
      <c r="FN439" s="6"/>
      <c r="FO439" s="6"/>
      <c r="FP439" s="6"/>
      <c r="FQ439" s="6"/>
      <c r="FR439" s="6"/>
      <c r="FS439" s="6"/>
      <c r="FT439" s="6"/>
      <c r="FU439" s="6"/>
      <c r="FV439" s="6"/>
      <c r="FW439" s="6"/>
      <c r="FX439" s="6"/>
      <c r="FY439" s="6"/>
      <c r="FZ439" s="6"/>
      <c r="GA439" s="6"/>
      <c r="GB439" s="6"/>
      <c r="GC439" s="6"/>
      <c r="GD439" s="6"/>
      <c r="GE439" s="6"/>
      <c r="GF439" s="6"/>
      <c r="GG439" s="6"/>
      <c r="GH439" s="6"/>
      <c r="GI439" s="6"/>
      <c r="GJ439" s="6"/>
      <c r="GK439" s="6"/>
      <c r="GL439" s="6"/>
      <c r="GM439" s="6"/>
      <c r="GN439" s="6"/>
      <c r="GO439" s="6"/>
      <c r="GP439" s="6"/>
      <c r="GQ439" s="6"/>
      <c r="GR439" s="6"/>
      <c r="GS439" s="6"/>
      <c r="GT439" s="6"/>
      <c r="GU439" s="6"/>
      <c r="GV439" s="6"/>
      <c r="GW439" s="6"/>
      <c r="GX439" s="6"/>
      <c r="GY439" s="6"/>
      <c r="GZ439" s="6"/>
      <c r="HA439" s="6"/>
      <c r="HB439" s="6"/>
      <c r="HC439" s="6"/>
      <c r="HD439" s="6"/>
      <c r="HE439" s="6"/>
      <c r="HF439" s="6"/>
      <c r="HG439" s="6"/>
      <c r="HH439" s="6"/>
      <c r="HI439" s="6"/>
      <c r="HJ439" s="6"/>
      <c r="HK439" s="6"/>
      <c r="HL439" s="6"/>
      <c r="HM439" s="6"/>
      <c r="HN439" s="6"/>
      <c r="HO439" s="6"/>
      <c r="HP439" s="6"/>
      <c r="HQ439" s="6"/>
      <c r="HR439" s="6"/>
      <c r="HS439" s="6"/>
      <c r="HT439" s="6"/>
      <c r="HU439" s="6"/>
    </row>
    <row r="440" spans="9:229"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  <c r="CU440" s="6"/>
      <c r="CV440" s="6"/>
      <c r="CW440" s="6"/>
      <c r="CX440" s="6"/>
      <c r="CY440" s="6"/>
      <c r="CZ440" s="6"/>
      <c r="DA440" s="6"/>
      <c r="DB440" s="6"/>
      <c r="DC440" s="6"/>
      <c r="DD440" s="6"/>
      <c r="DE440" s="6"/>
      <c r="DF440" s="6"/>
      <c r="DG440" s="6"/>
      <c r="DH440" s="6"/>
      <c r="DI440" s="6"/>
      <c r="DJ440" s="6"/>
      <c r="DK440" s="6"/>
      <c r="DL440" s="6"/>
      <c r="DM440" s="6"/>
      <c r="DN440" s="6"/>
      <c r="DO440" s="6"/>
      <c r="DP440" s="6"/>
      <c r="DQ440" s="6"/>
      <c r="DR440" s="6"/>
      <c r="DS440" s="6"/>
      <c r="DT440" s="6"/>
      <c r="DU440" s="6"/>
      <c r="DV440" s="6"/>
      <c r="DW440" s="6"/>
      <c r="DX440" s="6"/>
      <c r="DY440" s="6"/>
      <c r="DZ440" s="6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  <c r="ER440" s="6"/>
      <c r="ES440" s="6"/>
      <c r="ET440" s="6"/>
      <c r="EU440" s="6"/>
      <c r="EV440" s="6"/>
      <c r="EW440" s="6"/>
      <c r="EX440" s="6"/>
      <c r="EY440" s="6"/>
      <c r="EZ440" s="6"/>
      <c r="FA440" s="6"/>
      <c r="FB440" s="6"/>
      <c r="FC440" s="6"/>
      <c r="FD440" s="6"/>
      <c r="FE440" s="6"/>
      <c r="FF440" s="6"/>
      <c r="FG440" s="6"/>
      <c r="FH440" s="6"/>
      <c r="FI440" s="6"/>
      <c r="FJ440" s="6"/>
      <c r="FK440" s="6"/>
      <c r="FL440" s="6"/>
      <c r="FM440" s="6"/>
      <c r="FN440" s="6"/>
      <c r="FO440" s="6"/>
      <c r="FP440" s="6"/>
      <c r="FQ440" s="6"/>
      <c r="FR440" s="6"/>
      <c r="FS440" s="6"/>
      <c r="FT440" s="6"/>
      <c r="FU440" s="6"/>
      <c r="FV440" s="6"/>
      <c r="FW440" s="6"/>
      <c r="FX440" s="6"/>
      <c r="FY440" s="6"/>
      <c r="FZ440" s="6"/>
      <c r="GA440" s="6"/>
      <c r="GB440" s="6"/>
      <c r="GC440" s="6"/>
      <c r="GD440" s="6"/>
      <c r="GE440" s="6"/>
      <c r="GF440" s="6"/>
      <c r="GG440" s="6"/>
      <c r="GH440" s="6"/>
      <c r="GI440" s="6"/>
      <c r="GJ440" s="6"/>
      <c r="GK440" s="6"/>
      <c r="GL440" s="6"/>
      <c r="GM440" s="6"/>
      <c r="GN440" s="6"/>
      <c r="GO440" s="6"/>
      <c r="GP440" s="6"/>
      <c r="GQ440" s="6"/>
      <c r="GR440" s="6"/>
      <c r="GS440" s="6"/>
      <c r="GT440" s="6"/>
      <c r="GU440" s="6"/>
      <c r="GV440" s="6"/>
      <c r="GW440" s="6"/>
      <c r="GX440" s="6"/>
      <c r="GY440" s="6"/>
      <c r="GZ440" s="6"/>
      <c r="HA440" s="6"/>
      <c r="HB440" s="6"/>
      <c r="HC440" s="6"/>
      <c r="HD440" s="6"/>
      <c r="HE440" s="6"/>
      <c r="HF440" s="6"/>
      <c r="HG440" s="6"/>
      <c r="HH440" s="6"/>
      <c r="HI440" s="6"/>
      <c r="HJ440" s="6"/>
      <c r="HK440" s="6"/>
      <c r="HL440" s="6"/>
      <c r="HM440" s="6"/>
      <c r="HN440" s="6"/>
      <c r="HO440" s="6"/>
      <c r="HP440" s="6"/>
      <c r="HQ440" s="6"/>
      <c r="HR440" s="6"/>
      <c r="HS440" s="6"/>
      <c r="HT440" s="6"/>
      <c r="HU440" s="6"/>
    </row>
    <row r="441" spans="9:229"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  <c r="CU441" s="6"/>
      <c r="CV441" s="6"/>
      <c r="CW441" s="6"/>
      <c r="CX441" s="6"/>
      <c r="CY441" s="6"/>
      <c r="CZ441" s="6"/>
      <c r="DA441" s="6"/>
      <c r="DB441" s="6"/>
      <c r="DC441" s="6"/>
      <c r="DD441" s="6"/>
      <c r="DE441" s="6"/>
      <c r="DF441" s="6"/>
      <c r="DG441" s="6"/>
      <c r="DH441" s="6"/>
      <c r="DI441" s="6"/>
      <c r="DJ441" s="6"/>
      <c r="DK441" s="6"/>
      <c r="DL441" s="6"/>
      <c r="DM441" s="6"/>
      <c r="DN441" s="6"/>
      <c r="DO441" s="6"/>
      <c r="DP441" s="6"/>
      <c r="DQ441" s="6"/>
      <c r="DR441" s="6"/>
      <c r="DS441" s="6"/>
      <c r="DT441" s="6"/>
      <c r="DU441" s="6"/>
      <c r="DV441" s="6"/>
      <c r="DW441" s="6"/>
      <c r="DX441" s="6"/>
      <c r="DY441" s="6"/>
      <c r="DZ441" s="6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  <c r="ER441" s="6"/>
      <c r="ES441" s="6"/>
      <c r="ET441" s="6"/>
      <c r="EU441" s="6"/>
      <c r="EV441" s="6"/>
      <c r="EW441" s="6"/>
      <c r="EX441" s="6"/>
      <c r="EY441" s="6"/>
      <c r="EZ441" s="6"/>
      <c r="FA441" s="6"/>
      <c r="FB441" s="6"/>
      <c r="FC441" s="6"/>
      <c r="FD441" s="6"/>
      <c r="FE441" s="6"/>
      <c r="FF441" s="6"/>
      <c r="FG441" s="6"/>
      <c r="FH441" s="6"/>
      <c r="FI441" s="6"/>
      <c r="FJ441" s="6"/>
      <c r="FK441" s="6"/>
      <c r="FL441" s="6"/>
      <c r="FM441" s="6"/>
      <c r="FN441" s="6"/>
      <c r="FO441" s="6"/>
      <c r="FP441" s="6"/>
      <c r="FQ441" s="6"/>
      <c r="FR441" s="6"/>
      <c r="FS441" s="6"/>
      <c r="FT441" s="6"/>
      <c r="FU441" s="6"/>
      <c r="FV441" s="6"/>
      <c r="FW441" s="6"/>
      <c r="FX441" s="6"/>
      <c r="FY441" s="6"/>
      <c r="FZ441" s="6"/>
      <c r="GA441" s="6"/>
      <c r="GB441" s="6"/>
      <c r="GC441" s="6"/>
      <c r="GD441" s="6"/>
      <c r="GE441" s="6"/>
      <c r="GF441" s="6"/>
      <c r="GG441" s="6"/>
      <c r="GH441" s="6"/>
      <c r="GI441" s="6"/>
      <c r="GJ441" s="6"/>
      <c r="GK441" s="6"/>
      <c r="GL441" s="6"/>
      <c r="GM441" s="6"/>
      <c r="GN441" s="6"/>
      <c r="GO441" s="6"/>
      <c r="GP441" s="6"/>
      <c r="GQ441" s="6"/>
      <c r="GR441" s="6"/>
      <c r="GS441" s="6"/>
      <c r="GT441" s="6"/>
      <c r="GU441" s="6"/>
      <c r="GV441" s="6"/>
      <c r="GW441" s="6"/>
      <c r="GX441" s="6"/>
      <c r="GY441" s="6"/>
      <c r="GZ441" s="6"/>
      <c r="HA441" s="6"/>
      <c r="HB441" s="6"/>
      <c r="HC441" s="6"/>
      <c r="HD441" s="6"/>
      <c r="HE441" s="6"/>
      <c r="HF441" s="6"/>
      <c r="HG441" s="6"/>
      <c r="HH441" s="6"/>
      <c r="HI441" s="6"/>
      <c r="HJ441" s="6"/>
      <c r="HK441" s="6"/>
      <c r="HL441" s="6"/>
      <c r="HM441" s="6"/>
      <c r="HN441" s="6"/>
      <c r="HO441" s="6"/>
      <c r="HP441" s="6"/>
      <c r="HQ441" s="6"/>
      <c r="HR441" s="6"/>
      <c r="HS441" s="6"/>
      <c r="HT441" s="6"/>
      <c r="HU441" s="6"/>
    </row>
    <row r="442" spans="9:229"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  <c r="CU442" s="6"/>
      <c r="CV442" s="6"/>
      <c r="CW442" s="6"/>
      <c r="CX442" s="6"/>
      <c r="CY442" s="6"/>
      <c r="CZ442" s="6"/>
      <c r="DA442" s="6"/>
      <c r="DB442" s="6"/>
      <c r="DC442" s="6"/>
      <c r="DD442" s="6"/>
      <c r="DE442" s="6"/>
      <c r="DF442" s="6"/>
      <c r="DG442" s="6"/>
      <c r="DH442" s="6"/>
      <c r="DI442" s="6"/>
      <c r="DJ442" s="6"/>
      <c r="DK442" s="6"/>
      <c r="DL442" s="6"/>
      <c r="DM442" s="6"/>
      <c r="DN442" s="6"/>
      <c r="DO442" s="6"/>
      <c r="DP442" s="6"/>
      <c r="DQ442" s="6"/>
      <c r="DR442" s="6"/>
      <c r="DS442" s="6"/>
      <c r="DT442" s="6"/>
      <c r="DU442" s="6"/>
      <c r="DV442" s="6"/>
      <c r="DW442" s="6"/>
      <c r="DX442" s="6"/>
      <c r="DY442" s="6"/>
      <c r="DZ442" s="6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  <c r="ER442" s="6"/>
      <c r="ES442" s="6"/>
      <c r="ET442" s="6"/>
      <c r="EU442" s="6"/>
      <c r="EV442" s="6"/>
      <c r="EW442" s="6"/>
      <c r="EX442" s="6"/>
      <c r="EY442" s="6"/>
      <c r="EZ442" s="6"/>
      <c r="FA442" s="6"/>
      <c r="FB442" s="6"/>
      <c r="FC442" s="6"/>
      <c r="FD442" s="6"/>
      <c r="FE442" s="6"/>
      <c r="FF442" s="6"/>
      <c r="FG442" s="6"/>
      <c r="FH442" s="6"/>
      <c r="FI442" s="6"/>
      <c r="FJ442" s="6"/>
      <c r="FK442" s="6"/>
      <c r="FL442" s="6"/>
      <c r="FM442" s="6"/>
      <c r="FN442" s="6"/>
      <c r="FO442" s="6"/>
      <c r="FP442" s="6"/>
      <c r="FQ442" s="6"/>
      <c r="FR442" s="6"/>
      <c r="FS442" s="6"/>
      <c r="FT442" s="6"/>
      <c r="FU442" s="6"/>
      <c r="FV442" s="6"/>
      <c r="FW442" s="6"/>
      <c r="FX442" s="6"/>
      <c r="FY442" s="6"/>
      <c r="FZ442" s="6"/>
      <c r="GA442" s="6"/>
      <c r="GB442" s="6"/>
      <c r="GC442" s="6"/>
      <c r="GD442" s="6"/>
      <c r="GE442" s="6"/>
      <c r="GF442" s="6"/>
      <c r="GG442" s="6"/>
      <c r="GH442" s="6"/>
      <c r="GI442" s="6"/>
      <c r="GJ442" s="6"/>
      <c r="GK442" s="6"/>
      <c r="GL442" s="6"/>
      <c r="GM442" s="6"/>
      <c r="GN442" s="6"/>
      <c r="GO442" s="6"/>
      <c r="GP442" s="6"/>
      <c r="GQ442" s="6"/>
      <c r="GR442" s="6"/>
      <c r="GS442" s="6"/>
      <c r="GT442" s="6"/>
      <c r="GU442" s="6"/>
      <c r="GV442" s="6"/>
      <c r="GW442" s="6"/>
      <c r="GX442" s="6"/>
      <c r="GY442" s="6"/>
      <c r="GZ442" s="6"/>
      <c r="HA442" s="6"/>
      <c r="HB442" s="6"/>
      <c r="HC442" s="6"/>
      <c r="HD442" s="6"/>
      <c r="HE442" s="6"/>
      <c r="HF442" s="6"/>
      <c r="HG442" s="6"/>
      <c r="HH442" s="6"/>
      <c r="HI442" s="6"/>
      <c r="HJ442" s="6"/>
      <c r="HK442" s="6"/>
      <c r="HL442" s="6"/>
      <c r="HM442" s="6"/>
      <c r="HN442" s="6"/>
      <c r="HO442" s="6"/>
      <c r="HP442" s="6"/>
      <c r="HQ442" s="6"/>
      <c r="HR442" s="6"/>
      <c r="HS442" s="6"/>
      <c r="HT442" s="6"/>
      <c r="HU442" s="6"/>
    </row>
    <row r="443" spans="9:229"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  <c r="CU443" s="6"/>
      <c r="CV443" s="6"/>
      <c r="CW443" s="6"/>
      <c r="CX443" s="6"/>
      <c r="CY443" s="6"/>
      <c r="CZ443" s="6"/>
      <c r="DA443" s="6"/>
      <c r="DB443" s="6"/>
      <c r="DC443" s="6"/>
      <c r="DD443" s="6"/>
      <c r="DE443" s="6"/>
      <c r="DF443" s="6"/>
      <c r="DG443" s="6"/>
      <c r="DH443" s="6"/>
      <c r="DI443" s="6"/>
      <c r="DJ443" s="6"/>
      <c r="DK443" s="6"/>
      <c r="DL443" s="6"/>
      <c r="DM443" s="6"/>
      <c r="DN443" s="6"/>
      <c r="DO443" s="6"/>
      <c r="DP443" s="6"/>
      <c r="DQ443" s="6"/>
      <c r="DR443" s="6"/>
      <c r="DS443" s="6"/>
      <c r="DT443" s="6"/>
      <c r="DU443" s="6"/>
      <c r="DV443" s="6"/>
      <c r="DW443" s="6"/>
      <c r="DX443" s="6"/>
      <c r="DY443" s="6"/>
      <c r="DZ443" s="6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  <c r="ER443" s="6"/>
      <c r="ES443" s="6"/>
      <c r="ET443" s="6"/>
      <c r="EU443" s="6"/>
      <c r="EV443" s="6"/>
      <c r="EW443" s="6"/>
      <c r="EX443" s="6"/>
      <c r="EY443" s="6"/>
      <c r="EZ443" s="6"/>
      <c r="FA443" s="6"/>
      <c r="FB443" s="6"/>
      <c r="FC443" s="6"/>
      <c r="FD443" s="6"/>
      <c r="FE443" s="6"/>
      <c r="FF443" s="6"/>
      <c r="FG443" s="6"/>
      <c r="FH443" s="6"/>
      <c r="FI443" s="6"/>
      <c r="FJ443" s="6"/>
      <c r="FK443" s="6"/>
      <c r="FL443" s="6"/>
      <c r="FM443" s="6"/>
      <c r="FN443" s="6"/>
      <c r="FO443" s="6"/>
      <c r="FP443" s="6"/>
      <c r="FQ443" s="6"/>
      <c r="FR443" s="6"/>
      <c r="FS443" s="6"/>
      <c r="FT443" s="6"/>
      <c r="FU443" s="6"/>
      <c r="FV443" s="6"/>
      <c r="FW443" s="6"/>
      <c r="FX443" s="6"/>
      <c r="FY443" s="6"/>
      <c r="FZ443" s="6"/>
      <c r="GA443" s="6"/>
      <c r="GB443" s="6"/>
      <c r="GC443" s="6"/>
      <c r="GD443" s="6"/>
      <c r="GE443" s="6"/>
      <c r="GF443" s="6"/>
      <c r="GG443" s="6"/>
      <c r="GH443" s="6"/>
      <c r="GI443" s="6"/>
      <c r="GJ443" s="6"/>
      <c r="GK443" s="6"/>
      <c r="GL443" s="6"/>
      <c r="GM443" s="6"/>
      <c r="GN443" s="6"/>
      <c r="GO443" s="6"/>
      <c r="GP443" s="6"/>
      <c r="GQ443" s="6"/>
      <c r="GR443" s="6"/>
      <c r="GS443" s="6"/>
      <c r="GT443" s="6"/>
      <c r="GU443" s="6"/>
      <c r="GV443" s="6"/>
      <c r="GW443" s="6"/>
      <c r="GX443" s="6"/>
      <c r="GY443" s="6"/>
      <c r="GZ443" s="6"/>
      <c r="HA443" s="6"/>
      <c r="HB443" s="6"/>
      <c r="HC443" s="6"/>
      <c r="HD443" s="6"/>
      <c r="HE443" s="6"/>
      <c r="HF443" s="6"/>
      <c r="HG443" s="6"/>
      <c r="HH443" s="6"/>
      <c r="HI443" s="6"/>
      <c r="HJ443" s="6"/>
      <c r="HK443" s="6"/>
      <c r="HL443" s="6"/>
      <c r="HM443" s="6"/>
      <c r="HN443" s="6"/>
      <c r="HO443" s="6"/>
      <c r="HP443" s="6"/>
      <c r="HQ443" s="6"/>
      <c r="HR443" s="6"/>
      <c r="HS443" s="6"/>
      <c r="HT443" s="6"/>
      <c r="HU443" s="6"/>
    </row>
    <row r="444" spans="9:229"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  <c r="CU444" s="6"/>
      <c r="CV444" s="6"/>
      <c r="CW444" s="6"/>
      <c r="CX444" s="6"/>
      <c r="CY444" s="6"/>
      <c r="CZ444" s="6"/>
      <c r="DA444" s="6"/>
      <c r="DB444" s="6"/>
      <c r="DC444" s="6"/>
      <c r="DD444" s="6"/>
      <c r="DE444" s="6"/>
      <c r="DF444" s="6"/>
      <c r="DG444" s="6"/>
      <c r="DH444" s="6"/>
      <c r="DI444" s="6"/>
      <c r="DJ444" s="6"/>
      <c r="DK444" s="6"/>
      <c r="DL444" s="6"/>
      <c r="DM444" s="6"/>
      <c r="DN444" s="6"/>
      <c r="DO444" s="6"/>
      <c r="DP444" s="6"/>
      <c r="DQ444" s="6"/>
      <c r="DR444" s="6"/>
      <c r="DS444" s="6"/>
      <c r="DT444" s="6"/>
      <c r="DU444" s="6"/>
      <c r="DV444" s="6"/>
      <c r="DW444" s="6"/>
      <c r="DX444" s="6"/>
      <c r="DY444" s="6"/>
      <c r="DZ444" s="6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  <c r="ER444" s="6"/>
      <c r="ES444" s="6"/>
      <c r="ET444" s="6"/>
      <c r="EU444" s="6"/>
      <c r="EV444" s="6"/>
      <c r="EW444" s="6"/>
      <c r="EX444" s="6"/>
      <c r="EY444" s="6"/>
      <c r="EZ444" s="6"/>
      <c r="FA444" s="6"/>
      <c r="FB444" s="6"/>
      <c r="FC444" s="6"/>
      <c r="FD444" s="6"/>
      <c r="FE444" s="6"/>
      <c r="FF444" s="6"/>
      <c r="FG444" s="6"/>
      <c r="FH444" s="6"/>
      <c r="FI444" s="6"/>
      <c r="FJ444" s="6"/>
      <c r="FK444" s="6"/>
      <c r="FL444" s="6"/>
      <c r="FM444" s="6"/>
      <c r="FN444" s="6"/>
      <c r="FO444" s="6"/>
      <c r="FP444" s="6"/>
      <c r="FQ444" s="6"/>
      <c r="FR444" s="6"/>
      <c r="FS444" s="6"/>
      <c r="FT444" s="6"/>
      <c r="FU444" s="6"/>
      <c r="FV444" s="6"/>
      <c r="FW444" s="6"/>
      <c r="FX444" s="6"/>
      <c r="FY444" s="6"/>
      <c r="FZ444" s="6"/>
      <c r="GA444" s="6"/>
      <c r="GB444" s="6"/>
      <c r="GC444" s="6"/>
      <c r="GD444" s="6"/>
      <c r="GE444" s="6"/>
      <c r="GF444" s="6"/>
      <c r="GG444" s="6"/>
      <c r="GH444" s="6"/>
      <c r="GI444" s="6"/>
      <c r="GJ444" s="6"/>
      <c r="GK444" s="6"/>
      <c r="GL444" s="6"/>
      <c r="GM444" s="6"/>
      <c r="GN444" s="6"/>
      <c r="GO444" s="6"/>
      <c r="GP444" s="6"/>
      <c r="GQ444" s="6"/>
      <c r="GR444" s="6"/>
      <c r="GS444" s="6"/>
      <c r="GT444" s="6"/>
      <c r="GU444" s="6"/>
      <c r="GV444" s="6"/>
      <c r="GW444" s="6"/>
      <c r="GX444" s="6"/>
      <c r="GY444" s="6"/>
      <c r="GZ444" s="6"/>
      <c r="HA444" s="6"/>
      <c r="HB444" s="6"/>
      <c r="HC444" s="6"/>
      <c r="HD444" s="6"/>
      <c r="HE444" s="6"/>
      <c r="HF444" s="6"/>
      <c r="HG444" s="6"/>
      <c r="HH444" s="6"/>
      <c r="HI444" s="6"/>
      <c r="HJ444" s="6"/>
      <c r="HK444" s="6"/>
      <c r="HL444" s="6"/>
      <c r="HM444" s="6"/>
      <c r="HN444" s="6"/>
      <c r="HO444" s="6"/>
      <c r="HP444" s="6"/>
      <c r="HQ444" s="6"/>
      <c r="HR444" s="6"/>
      <c r="HS444" s="6"/>
      <c r="HT444" s="6"/>
      <c r="HU444" s="6"/>
    </row>
    <row r="445" spans="9:229"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  <c r="CU445" s="6"/>
      <c r="CV445" s="6"/>
      <c r="CW445" s="6"/>
      <c r="CX445" s="6"/>
      <c r="CY445" s="6"/>
      <c r="CZ445" s="6"/>
      <c r="DA445" s="6"/>
      <c r="DB445" s="6"/>
      <c r="DC445" s="6"/>
      <c r="DD445" s="6"/>
      <c r="DE445" s="6"/>
      <c r="DF445" s="6"/>
      <c r="DG445" s="6"/>
      <c r="DH445" s="6"/>
      <c r="DI445" s="6"/>
      <c r="DJ445" s="6"/>
      <c r="DK445" s="6"/>
      <c r="DL445" s="6"/>
      <c r="DM445" s="6"/>
      <c r="DN445" s="6"/>
      <c r="DO445" s="6"/>
      <c r="DP445" s="6"/>
      <c r="DQ445" s="6"/>
      <c r="DR445" s="6"/>
      <c r="DS445" s="6"/>
      <c r="DT445" s="6"/>
      <c r="DU445" s="6"/>
      <c r="DV445" s="6"/>
      <c r="DW445" s="6"/>
      <c r="DX445" s="6"/>
      <c r="DY445" s="6"/>
      <c r="DZ445" s="6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  <c r="ER445" s="6"/>
      <c r="ES445" s="6"/>
      <c r="ET445" s="6"/>
      <c r="EU445" s="6"/>
      <c r="EV445" s="6"/>
      <c r="EW445" s="6"/>
      <c r="EX445" s="6"/>
      <c r="EY445" s="6"/>
      <c r="EZ445" s="6"/>
      <c r="FA445" s="6"/>
      <c r="FB445" s="6"/>
      <c r="FC445" s="6"/>
      <c r="FD445" s="6"/>
      <c r="FE445" s="6"/>
      <c r="FF445" s="6"/>
      <c r="FG445" s="6"/>
      <c r="FH445" s="6"/>
      <c r="FI445" s="6"/>
      <c r="FJ445" s="6"/>
      <c r="FK445" s="6"/>
      <c r="FL445" s="6"/>
      <c r="FM445" s="6"/>
      <c r="FN445" s="6"/>
      <c r="FO445" s="6"/>
      <c r="FP445" s="6"/>
      <c r="FQ445" s="6"/>
      <c r="FR445" s="6"/>
      <c r="FS445" s="6"/>
      <c r="FT445" s="6"/>
      <c r="FU445" s="6"/>
      <c r="FV445" s="6"/>
      <c r="FW445" s="6"/>
      <c r="FX445" s="6"/>
      <c r="FY445" s="6"/>
      <c r="FZ445" s="6"/>
      <c r="GA445" s="6"/>
      <c r="GB445" s="6"/>
      <c r="GC445" s="6"/>
      <c r="GD445" s="6"/>
      <c r="GE445" s="6"/>
      <c r="GF445" s="6"/>
      <c r="GG445" s="6"/>
      <c r="GH445" s="6"/>
      <c r="GI445" s="6"/>
      <c r="GJ445" s="6"/>
      <c r="GK445" s="6"/>
      <c r="GL445" s="6"/>
      <c r="GM445" s="6"/>
      <c r="GN445" s="6"/>
      <c r="GO445" s="6"/>
      <c r="GP445" s="6"/>
      <c r="GQ445" s="6"/>
      <c r="GR445" s="6"/>
      <c r="GS445" s="6"/>
      <c r="GT445" s="6"/>
      <c r="GU445" s="6"/>
      <c r="GV445" s="6"/>
      <c r="GW445" s="6"/>
      <c r="GX445" s="6"/>
      <c r="GY445" s="6"/>
      <c r="GZ445" s="6"/>
      <c r="HA445" s="6"/>
      <c r="HB445" s="6"/>
      <c r="HC445" s="6"/>
      <c r="HD445" s="6"/>
      <c r="HE445" s="6"/>
      <c r="HF445" s="6"/>
      <c r="HG445" s="6"/>
      <c r="HH445" s="6"/>
      <c r="HI445" s="6"/>
      <c r="HJ445" s="6"/>
      <c r="HK445" s="6"/>
      <c r="HL445" s="6"/>
      <c r="HM445" s="6"/>
      <c r="HN445" s="6"/>
      <c r="HO445" s="6"/>
      <c r="HP445" s="6"/>
      <c r="HQ445" s="6"/>
      <c r="HR445" s="6"/>
      <c r="HS445" s="6"/>
      <c r="HT445" s="6"/>
      <c r="HU445" s="6"/>
    </row>
    <row r="446" spans="9:229"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  <c r="CU446" s="6"/>
      <c r="CV446" s="6"/>
      <c r="CW446" s="6"/>
      <c r="CX446" s="6"/>
      <c r="CY446" s="6"/>
      <c r="CZ446" s="6"/>
      <c r="DA446" s="6"/>
      <c r="DB446" s="6"/>
      <c r="DC446" s="6"/>
      <c r="DD446" s="6"/>
      <c r="DE446" s="6"/>
      <c r="DF446" s="6"/>
      <c r="DG446" s="6"/>
      <c r="DH446" s="6"/>
      <c r="DI446" s="6"/>
      <c r="DJ446" s="6"/>
      <c r="DK446" s="6"/>
      <c r="DL446" s="6"/>
      <c r="DM446" s="6"/>
      <c r="DN446" s="6"/>
      <c r="DO446" s="6"/>
      <c r="DP446" s="6"/>
      <c r="DQ446" s="6"/>
      <c r="DR446" s="6"/>
      <c r="DS446" s="6"/>
      <c r="DT446" s="6"/>
      <c r="DU446" s="6"/>
      <c r="DV446" s="6"/>
      <c r="DW446" s="6"/>
      <c r="DX446" s="6"/>
      <c r="DY446" s="6"/>
      <c r="DZ446" s="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  <c r="ER446" s="6"/>
      <c r="ES446" s="6"/>
      <c r="ET446" s="6"/>
      <c r="EU446" s="6"/>
      <c r="EV446" s="6"/>
      <c r="EW446" s="6"/>
      <c r="EX446" s="6"/>
      <c r="EY446" s="6"/>
      <c r="EZ446" s="6"/>
      <c r="FA446" s="6"/>
      <c r="FB446" s="6"/>
      <c r="FC446" s="6"/>
      <c r="FD446" s="6"/>
      <c r="FE446" s="6"/>
      <c r="FF446" s="6"/>
      <c r="FG446" s="6"/>
      <c r="FH446" s="6"/>
      <c r="FI446" s="6"/>
      <c r="FJ446" s="6"/>
      <c r="FK446" s="6"/>
      <c r="FL446" s="6"/>
      <c r="FM446" s="6"/>
      <c r="FN446" s="6"/>
      <c r="FO446" s="6"/>
      <c r="FP446" s="6"/>
      <c r="FQ446" s="6"/>
      <c r="FR446" s="6"/>
      <c r="FS446" s="6"/>
      <c r="FT446" s="6"/>
      <c r="FU446" s="6"/>
      <c r="FV446" s="6"/>
      <c r="FW446" s="6"/>
      <c r="FX446" s="6"/>
      <c r="FY446" s="6"/>
      <c r="FZ446" s="6"/>
      <c r="GA446" s="6"/>
      <c r="GB446" s="6"/>
      <c r="GC446" s="6"/>
      <c r="GD446" s="6"/>
      <c r="GE446" s="6"/>
      <c r="GF446" s="6"/>
      <c r="GG446" s="6"/>
      <c r="GH446" s="6"/>
      <c r="GI446" s="6"/>
      <c r="GJ446" s="6"/>
      <c r="GK446" s="6"/>
      <c r="GL446" s="6"/>
      <c r="GM446" s="6"/>
      <c r="GN446" s="6"/>
      <c r="GO446" s="6"/>
      <c r="GP446" s="6"/>
      <c r="GQ446" s="6"/>
      <c r="GR446" s="6"/>
      <c r="GS446" s="6"/>
      <c r="GT446" s="6"/>
      <c r="GU446" s="6"/>
      <c r="GV446" s="6"/>
      <c r="GW446" s="6"/>
      <c r="GX446" s="6"/>
      <c r="GY446" s="6"/>
      <c r="GZ446" s="6"/>
      <c r="HA446" s="6"/>
      <c r="HB446" s="6"/>
      <c r="HC446" s="6"/>
      <c r="HD446" s="6"/>
      <c r="HE446" s="6"/>
      <c r="HF446" s="6"/>
      <c r="HG446" s="6"/>
      <c r="HH446" s="6"/>
      <c r="HI446" s="6"/>
      <c r="HJ446" s="6"/>
      <c r="HK446" s="6"/>
      <c r="HL446" s="6"/>
      <c r="HM446" s="6"/>
      <c r="HN446" s="6"/>
      <c r="HO446" s="6"/>
      <c r="HP446" s="6"/>
      <c r="HQ446" s="6"/>
      <c r="HR446" s="6"/>
      <c r="HS446" s="6"/>
      <c r="HT446" s="6"/>
      <c r="HU446" s="6"/>
    </row>
    <row r="447" spans="9:229"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  <c r="CU447" s="6"/>
      <c r="CV447" s="6"/>
      <c r="CW447" s="6"/>
      <c r="CX447" s="6"/>
      <c r="CY447" s="6"/>
      <c r="CZ447" s="6"/>
      <c r="DA447" s="6"/>
      <c r="DB447" s="6"/>
      <c r="DC447" s="6"/>
      <c r="DD447" s="6"/>
      <c r="DE447" s="6"/>
      <c r="DF447" s="6"/>
      <c r="DG447" s="6"/>
      <c r="DH447" s="6"/>
      <c r="DI447" s="6"/>
      <c r="DJ447" s="6"/>
      <c r="DK447" s="6"/>
      <c r="DL447" s="6"/>
      <c r="DM447" s="6"/>
      <c r="DN447" s="6"/>
      <c r="DO447" s="6"/>
      <c r="DP447" s="6"/>
      <c r="DQ447" s="6"/>
      <c r="DR447" s="6"/>
      <c r="DS447" s="6"/>
      <c r="DT447" s="6"/>
      <c r="DU447" s="6"/>
      <c r="DV447" s="6"/>
      <c r="DW447" s="6"/>
      <c r="DX447" s="6"/>
      <c r="DY447" s="6"/>
      <c r="DZ447" s="6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  <c r="ER447" s="6"/>
      <c r="ES447" s="6"/>
      <c r="ET447" s="6"/>
      <c r="EU447" s="6"/>
      <c r="EV447" s="6"/>
      <c r="EW447" s="6"/>
      <c r="EX447" s="6"/>
      <c r="EY447" s="6"/>
      <c r="EZ447" s="6"/>
      <c r="FA447" s="6"/>
      <c r="FB447" s="6"/>
      <c r="FC447" s="6"/>
      <c r="FD447" s="6"/>
      <c r="FE447" s="6"/>
      <c r="FF447" s="6"/>
      <c r="FG447" s="6"/>
      <c r="FH447" s="6"/>
      <c r="FI447" s="6"/>
      <c r="FJ447" s="6"/>
      <c r="FK447" s="6"/>
      <c r="FL447" s="6"/>
      <c r="FM447" s="6"/>
      <c r="FN447" s="6"/>
      <c r="FO447" s="6"/>
      <c r="FP447" s="6"/>
      <c r="FQ447" s="6"/>
      <c r="FR447" s="6"/>
      <c r="FS447" s="6"/>
      <c r="FT447" s="6"/>
      <c r="FU447" s="6"/>
      <c r="FV447" s="6"/>
      <c r="FW447" s="6"/>
      <c r="FX447" s="6"/>
      <c r="FY447" s="6"/>
      <c r="FZ447" s="6"/>
      <c r="GA447" s="6"/>
      <c r="GB447" s="6"/>
      <c r="GC447" s="6"/>
      <c r="GD447" s="6"/>
      <c r="GE447" s="6"/>
      <c r="GF447" s="6"/>
      <c r="GG447" s="6"/>
      <c r="GH447" s="6"/>
      <c r="GI447" s="6"/>
      <c r="GJ447" s="6"/>
      <c r="GK447" s="6"/>
      <c r="GL447" s="6"/>
      <c r="GM447" s="6"/>
      <c r="GN447" s="6"/>
      <c r="GO447" s="6"/>
      <c r="GP447" s="6"/>
      <c r="GQ447" s="6"/>
      <c r="GR447" s="6"/>
      <c r="GS447" s="6"/>
      <c r="GT447" s="6"/>
      <c r="GU447" s="6"/>
      <c r="GV447" s="6"/>
      <c r="GW447" s="6"/>
      <c r="GX447" s="6"/>
      <c r="GY447" s="6"/>
      <c r="GZ447" s="6"/>
      <c r="HA447" s="6"/>
      <c r="HB447" s="6"/>
      <c r="HC447" s="6"/>
      <c r="HD447" s="6"/>
      <c r="HE447" s="6"/>
      <c r="HF447" s="6"/>
      <c r="HG447" s="6"/>
      <c r="HH447" s="6"/>
      <c r="HI447" s="6"/>
      <c r="HJ447" s="6"/>
      <c r="HK447" s="6"/>
      <c r="HL447" s="6"/>
      <c r="HM447" s="6"/>
      <c r="HN447" s="6"/>
      <c r="HO447" s="6"/>
      <c r="HP447" s="6"/>
      <c r="HQ447" s="6"/>
      <c r="HR447" s="6"/>
      <c r="HS447" s="6"/>
      <c r="HT447" s="6"/>
      <c r="HU447" s="6"/>
    </row>
    <row r="448" spans="9:229"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  <c r="CU448" s="6"/>
      <c r="CV448" s="6"/>
      <c r="CW448" s="6"/>
      <c r="CX448" s="6"/>
      <c r="CY448" s="6"/>
      <c r="CZ448" s="6"/>
      <c r="DA448" s="6"/>
      <c r="DB448" s="6"/>
      <c r="DC448" s="6"/>
      <c r="DD448" s="6"/>
      <c r="DE448" s="6"/>
      <c r="DF448" s="6"/>
      <c r="DG448" s="6"/>
      <c r="DH448" s="6"/>
      <c r="DI448" s="6"/>
      <c r="DJ448" s="6"/>
      <c r="DK448" s="6"/>
      <c r="DL448" s="6"/>
      <c r="DM448" s="6"/>
      <c r="DN448" s="6"/>
      <c r="DO448" s="6"/>
      <c r="DP448" s="6"/>
      <c r="DQ448" s="6"/>
      <c r="DR448" s="6"/>
      <c r="DS448" s="6"/>
      <c r="DT448" s="6"/>
      <c r="DU448" s="6"/>
      <c r="DV448" s="6"/>
      <c r="DW448" s="6"/>
      <c r="DX448" s="6"/>
      <c r="DY448" s="6"/>
      <c r="DZ448" s="6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  <c r="ER448" s="6"/>
      <c r="ES448" s="6"/>
      <c r="ET448" s="6"/>
      <c r="EU448" s="6"/>
      <c r="EV448" s="6"/>
      <c r="EW448" s="6"/>
      <c r="EX448" s="6"/>
      <c r="EY448" s="6"/>
      <c r="EZ448" s="6"/>
      <c r="FA448" s="6"/>
      <c r="FB448" s="6"/>
      <c r="FC448" s="6"/>
      <c r="FD448" s="6"/>
      <c r="FE448" s="6"/>
      <c r="FF448" s="6"/>
      <c r="FG448" s="6"/>
      <c r="FH448" s="6"/>
      <c r="FI448" s="6"/>
      <c r="FJ448" s="6"/>
      <c r="FK448" s="6"/>
      <c r="FL448" s="6"/>
      <c r="FM448" s="6"/>
      <c r="FN448" s="6"/>
      <c r="FO448" s="6"/>
      <c r="FP448" s="6"/>
      <c r="FQ448" s="6"/>
      <c r="FR448" s="6"/>
      <c r="FS448" s="6"/>
      <c r="FT448" s="6"/>
      <c r="FU448" s="6"/>
      <c r="FV448" s="6"/>
      <c r="FW448" s="6"/>
      <c r="FX448" s="6"/>
      <c r="FY448" s="6"/>
      <c r="FZ448" s="6"/>
      <c r="GA448" s="6"/>
      <c r="GB448" s="6"/>
      <c r="GC448" s="6"/>
      <c r="GD448" s="6"/>
      <c r="GE448" s="6"/>
      <c r="GF448" s="6"/>
      <c r="GG448" s="6"/>
      <c r="GH448" s="6"/>
      <c r="GI448" s="6"/>
      <c r="GJ448" s="6"/>
      <c r="GK448" s="6"/>
      <c r="GL448" s="6"/>
      <c r="GM448" s="6"/>
      <c r="GN448" s="6"/>
      <c r="GO448" s="6"/>
      <c r="GP448" s="6"/>
      <c r="GQ448" s="6"/>
      <c r="GR448" s="6"/>
      <c r="GS448" s="6"/>
      <c r="GT448" s="6"/>
      <c r="GU448" s="6"/>
      <c r="GV448" s="6"/>
      <c r="GW448" s="6"/>
      <c r="GX448" s="6"/>
      <c r="GY448" s="6"/>
      <c r="GZ448" s="6"/>
      <c r="HA448" s="6"/>
      <c r="HB448" s="6"/>
      <c r="HC448" s="6"/>
      <c r="HD448" s="6"/>
      <c r="HE448" s="6"/>
      <c r="HF448" s="6"/>
      <c r="HG448" s="6"/>
      <c r="HH448" s="6"/>
      <c r="HI448" s="6"/>
      <c r="HJ448" s="6"/>
      <c r="HK448" s="6"/>
      <c r="HL448" s="6"/>
      <c r="HM448" s="6"/>
      <c r="HN448" s="6"/>
      <c r="HO448" s="6"/>
      <c r="HP448" s="6"/>
      <c r="HQ448" s="6"/>
      <c r="HR448" s="6"/>
      <c r="HS448" s="6"/>
      <c r="HT448" s="6"/>
      <c r="HU448" s="6"/>
    </row>
    <row r="449" spans="9:229"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  <c r="CU449" s="6"/>
      <c r="CV449" s="6"/>
      <c r="CW449" s="6"/>
      <c r="CX449" s="6"/>
      <c r="CY449" s="6"/>
      <c r="CZ449" s="6"/>
      <c r="DA449" s="6"/>
      <c r="DB449" s="6"/>
      <c r="DC449" s="6"/>
      <c r="DD449" s="6"/>
      <c r="DE449" s="6"/>
      <c r="DF449" s="6"/>
      <c r="DG449" s="6"/>
      <c r="DH449" s="6"/>
      <c r="DI449" s="6"/>
      <c r="DJ449" s="6"/>
      <c r="DK449" s="6"/>
      <c r="DL449" s="6"/>
      <c r="DM449" s="6"/>
      <c r="DN449" s="6"/>
      <c r="DO449" s="6"/>
      <c r="DP449" s="6"/>
      <c r="DQ449" s="6"/>
      <c r="DR449" s="6"/>
      <c r="DS449" s="6"/>
      <c r="DT449" s="6"/>
      <c r="DU449" s="6"/>
      <c r="DV449" s="6"/>
      <c r="DW449" s="6"/>
      <c r="DX449" s="6"/>
      <c r="DY449" s="6"/>
      <c r="DZ449" s="6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  <c r="ER449" s="6"/>
      <c r="ES449" s="6"/>
      <c r="ET449" s="6"/>
      <c r="EU449" s="6"/>
      <c r="EV449" s="6"/>
      <c r="EW449" s="6"/>
      <c r="EX449" s="6"/>
      <c r="EY449" s="6"/>
      <c r="EZ449" s="6"/>
      <c r="FA449" s="6"/>
      <c r="FB449" s="6"/>
      <c r="FC449" s="6"/>
      <c r="FD449" s="6"/>
      <c r="FE449" s="6"/>
      <c r="FF449" s="6"/>
      <c r="FG449" s="6"/>
      <c r="FH449" s="6"/>
      <c r="FI449" s="6"/>
      <c r="FJ449" s="6"/>
      <c r="FK449" s="6"/>
      <c r="FL449" s="6"/>
      <c r="FM449" s="6"/>
      <c r="FN449" s="6"/>
      <c r="FO449" s="6"/>
      <c r="FP449" s="6"/>
      <c r="FQ449" s="6"/>
      <c r="FR449" s="6"/>
      <c r="FS449" s="6"/>
      <c r="FT449" s="6"/>
      <c r="FU449" s="6"/>
      <c r="FV449" s="6"/>
      <c r="FW449" s="6"/>
      <c r="FX449" s="6"/>
      <c r="FY449" s="6"/>
      <c r="FZ449" s="6"/>
      <c r="GA449" s="6"/>
      <c r="GB449" s="6"/>
      <c r="GC449" s="6"/>
      <c r="GD449" s="6"/>
      <c r="GE449" s="6"/>
      <c r="GF449" s="6"/>
      <c r="GG449" s="6"/>
      <c r="GH449" s="6"/>
      <c r="GI449" s="6"/>
      <c r="GJ449" s="6"/>
      <c r="GK449" s="6"/>
      <c r="GL449" s="6"/>
      <c r="GM449" s="6"/>
      <c r="GN449" s="6"/>
      <c r="GO449" s="6"/>
      <c r="GP449" s="6"/>
      <c r="GQ449" s="6"/>
      <c r="GR449" s="6"/>
      <c r="GS449" s="6"/>
      <c r="GT449" s="6"/>
      <c r="GU449" s="6"/>
      <c r="GV449" s="6"/>
      <c r="GW449" s="6"/>
      <c r="GX449" s="6"/>
      <c r="GY449" s="6"/>
      <c r="GZ449" s="6"/>
      <c r="HA449" s="6"/>
      <c r="HB449" s="6"/>
      <c r="HC449" s="6"/>
      <c r="HD449" s="6"/>
      <c r="HE449" s="6"/>
      <c r="HF449" s="6"/>
      <c r="HG449" s="6"/>
      <c r="HH449" s="6"/>
      <c r="HI449" s="6"/>
      <c r="HJ449" s="6"/>
      <c r="HK449" s="6"/>
      <c r="HL449" s="6"/>
      <c r="HM449" s="6"/>
      <c r="HN449" s="6"/>
      <c r="HO449" s="6"/>
      <c r="HP449" s="6"/>
      <c r="HQ449" s="6"/>
      <c r="HR449" s="6"/>
      <c r="HS449" s="6"/>
      <c r="HT449" s="6"/>
      <c r="HU449" s="6"/>
    </row>
    <row r="450" spans="9:229"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  <c r="CU450" s="6"/>
      <c r="CV450" s="6"/>
      <c r="CW450" s="6"/>
      <c r="CX450" s="6"/>
      <c r="CY450" s="6"/>
      <c r="CZ450" s="6"/>
      <c r="DA450" s="6"/>
      <c r="DB450" s="6"/>
      <c r="DC450" s="6"/>
      <c r="DD450" s="6"/>
      <c r="DE450" s="6"/>
      <c r="DF450" s="6"/>
      <c r="DG450" s="6"/>
      <c r="DH450" s="6"/>
      <c r="DI450" s="6"/>
      <c r="DJ450" s="6"/>
      <c r="DK450" s="6"/>
      <c r="DL450" s="6"/>
      <c r="DM450" s="6"/>
      <c r="DN450" s="6"/>
      <c r="DO450" s="6"/>
      <c r="DP450" s="6"/>
      <c r="DQ450" s="6"/>
      <c r="DR450" s="6"/>
      <c r="DS450" s="6"/>
      <c r="DT450" s="6"/>
      <c r="DU450" s="6"/>
      <c r="DV450" s="6"/>
      <c r="DW450" s="6"/>
      <c r="DX450" s="6"/>
      <c r="DY450" s="6"/>
      <c r="DZ450" s="6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  <c r="ER450" s="6"/>
      <c r="ES450" s="6"/>
      <c r="ET450" s="6"/>
      <c r="EU450" s="6"/>
      <c r="EV450" s="6"/>
      <c r="EW450" s="6"/>
      <c r="EX450" s="6"/>
      <c r="EY450" s="6"/>
      <c r="EZ450" s="6"/>
      <c r="FA450" s="6"/>
      <c r="FB450" s="6"/>
      <c r="FC450" s="6"/>
      <c r="FD450" s="6"/>
      <c r="FE450" s="6"/>
      <c r="FF450" s="6"/>
      <c r="FG450" s="6"/>
      <c r="FH450" s="6"/>
      <c r="FI450" s="6"/>
      <c r="FJ450" s="6"/>
      <c r="FK450" s="6"/>
      <c r="FL450" s="6"/>
      <c r="FM450" s="6"/>
      <c r="FN450" s="6"/>
      <c r="FO450" s="6"/>
      <c r="FP450" s="6"/>
      <c r="FQ450" s="6"/>
      <c r="FR450" s="6"/>
      <c r="FS450" s="6"/>
      <c r="FT450" s="6"/>
      <c r="FU450" s="6"/>
      <c r="FV450" s="6"/>
      <c r="FW450" s="6"/>
      <c r="FX450" s="6"/>
      <c r="FY450" s="6"/>
      <c r="FZ450" s="6"/>
      <c r="GA450" s="6"/>
      <c r="GB450" s="6"/>
      <c r="GC450" s="6"/>
      <c r="GD450" s="6"/>
      <c r="GE450" s="6"/>
      <c r="GF450" s="6"/>
      <c r="GG450" s="6"/>
      <c r="GH450" s="6"/>
      <c r="GI450" s="6"/>
      <c r="GJ450" s="6"/>
      <c r="GK450" s="6"/>
      <c r="GL450" s="6"/>
      <c r="GM450" s="6"/>
      <c r="GN450" s="6"/>
      <c r="GO450" s="6"/>
      <c r="GP450" s="6"/>
      <c r="GQ450" s="6"/>
      <c r="GR450" s="6"/>
      <c r="GS450" s="6"/>
      <c r="GT450" s="6"/>
      <c r="GU450" s="6"/>
      <c r="GV450" s="6"/>
      <c r="GW450" s="6"/>
      <c r="GX450" s="6"/>
      <c r="GY450" s="6"/>
      <c r="GZ450" s="6"/>
      <c r="HA450" s="6"/>
      <c r="HB450" s="6"/>
      <c r="HC450" s="6"/>
      <c r="HD450" s="6"/>
      <c r="HE450" s="6"/>
      <c r="HF450" s="6"/>
      <c r="HG450" s="6"/>
      <c r="HH450" s="6"/>
      <c r="HI450" s="6"/>
      <c r="HJ450" s="6"/>
      <c r="HK450" s="6"/>
      <c r="HL450" s="6"/>
      <c r="HM450" s="6"/>
      <c r="HN450" s="6"/>
      <c r="HO450" s="6"/>
      <c r="HP450" s="6"/>
      <c r="HQ450" s="6"/>
      <c r="HR450" s="6"/>
      <c r="HS450" s="6"/>
      <c r="HT450" s="6"/>
      <c r="HU450" s="6"/>
    </row>
    <row r="451" spans="9:229"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  <c r="CU451" s="6"/>
      <c r="CV451" s="6"/>
      <c r="CW451" s="6"/>
      <c r="CX451" s="6"/>
      <c r="CY451" s="6"/>
      <c r="CZ451" s="6"/>
      <c r="DA451" s="6"/>
      <c r="DB451" s="6"/>
      <c r="DC451" s="6"/>
      <c r="DD451" s="6"/>
      <c r="DE451" s="6"/>
      <c r="DF451" s="6"/>
      <c r="DG451" s="6"/>
      <c r="DH451" s="6"/>
      <c r="DI451" s="6"/>
      <c r="DJ451" s="6"/>
      <c r="DK451" s="6"/>
      <c r="DL451" s="6"/>
      <c r="DM451" s="6"/>
      <c r="DN451" s="6"/>
      <c r="DO451" s="6"/>
      <c r="DP451" s="6"/>
      <c r="DQ451" s="6"/>
      <c r="DR451" s="6"/>
      <c r="DS451" s="6"/>
      <c r="DT451" s="6"/>
      <c r="DU451" s="6"/>
      <c r="DV451" s="6"/>
      <c r="DW451" s="6"/>
      <c r="DX451" s="6"/>
      <c r="DY451" s="6"/>
      <c r="DZ451" s="6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  <c r="ER451" s="6"/>
      <c r="ES451" s="6"/>
      <c r="ET451" s="6"/>
      <c r="EU451" s="6"/>
      <c r="EV451" s="6"/>
      <c r="EW451" s="6"/>
      <c r="EX451" s="6"/>
      <c r="EY451" s="6"/>
      <c r="EZ451" s="6"/>
      <c r="FA451" s="6"/>
      <c r="FB451" s="6"/>
      <c r="FC451" s="6"/>
      <c r="FD451" s="6"/>
      <c r="FE451" s="6"/>
      <c r="FF451" s="6"/>
      <c r="FG451" s="6"/>
      <c r="FH451" s="6"/>
      <c r="FI451" s="6"/>
      <c r="FJ451" s="6"/>
      <c r="FK451" s="6"/>
      <c r="FL451" s="6"/>
      <c r="FM451" s="6"/>
      <c r="FN451" s="6"/>
      <c r="FO451" s="6"/>
      <c r="FP451" s="6"/>
      <c r="FQ451" s="6"/>
      <c r="FR451" s="6"/>
      <c r="FS451" s="6"/>
      <c r="FT451" s="6"/>
      <c r="FU451" s="6"/>
      <c r="FV451" s="6"/>
      <c r="FW451" s="6"/>
      <c r="FX451" s="6"/>
      <c r="FY451" s="6"/>
      <c r="FZ451" s="6"/>
      <c r="GA451" s="6"/>
      <c r="GB451" s="6"/>
      <c r="GC451" s="6"/>
      <c r="GD451" s="6"/>
      <c r="GE451" s="6"/>
      <c r="GF451" s="6"/>
      <c r="GG451" s="6"/>
      <c r="GH451" s="6"/>
      <c r="GI451" s="6"/>
      <c r="GJ451" s="6"/>
      <c r="GK451" s="6"/>
      <c r="GL451" s="6"/>
      <c r="GM451" s="6"/>
      <c r="GN451" s="6"/>
      <c r="GO451" s="6"/>
      <c r="GP451" s="6"/>
      <c r="GQ451" s="6"/>
      <c r="GR451" s="6"/>
      <c r="GS451" s="6"/>
      <c r="GT451" s="6"/>
      <c r="GU451" s="6"/>
      <c r="GV451" s="6"/>
      <c r="GW451" s="6"/>
      <c r="GX451" s="6"/>
      <c r="GY451" s="6"/>
      <c r="GZ451" s="6"/>
      <c r="HA451" s="6"/>
      <c r="HB451" s="6"/>
      <c r="HC451" s="6"/>
      <c r="HD451" s="6"/>
      <c r="HE451" s="6"/>
      <c r="HF451" s="6"/>
      <c r="HG451" s="6"/>
      <c r="HH451" s="6"/>
      <c r="HI451" s="6"/>
      <c r="HJ451" s="6"/>
      <c r="HK451" s="6"/>
      <c r="HL451" s="6"/>
      <c r="HM451" s="6"/>
      <c r="HN451" s="6"/>
      <c r="HO451" s="6"/>
      <c r="HP451" s="6"/>
      <c r="HQ451" s="6"/>
      <c r="HR451" s="6"/>
      <c r="HS451" s="6"/>
      <c r="HT451" s="6"/>
      <c r="HU451" s="6"/>
    </row>
    <row r="452" spans="9:229"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  <c r="ER452" s="6"/>
      <c r="ES452" s="6"/>
      <c r="ET452" s="6"/>
      <c r="EU452" s="6"/>
      <c r="EV452" s="6"/>
      <c r="EW452" s="6"/>
      <c r="EX452" s="6"/>
      <c r="EY452" s="6"/>
      <c r="EZ452" s="6"/>
      <c r="FA452" s="6"/>
      <c r="FB452" s="6"/>
      <c r="FC452" s="6"/>
      <c r="FD452" s="6"/>
      <c r="FE452" s="6"/>
      <c r="FF452" s="6"/>
      <c r="FG452" s="6"/>
      <c r="FH452" s="6"/>
      <c r="FI452" s="6"/>
      <c r="FJ452" s="6"/>
      <c r="FK452" s="6"/>
      <c r="FL452" s="6"/>
      <c r="FM452" s="6"/>
      <c r="FN452" s="6"/>
      <c r="FO452" s="6"/>
      <c r="FP452" s="6"/>
      <c r="FQ452" s="6"/>
      <c r="FR452" s="6"/>
      <c r="FS452" s="6"/>
      <c r="FT452" s="6"/>
      <c r="FU452" s="6"/>
      <c r="FV452" s="6"/>
      <c r="FW452" s="6"/>
      <c r="FX452" s="6"/>
      <c r="FY452" s="6"/>
      <c r="FZ452" s="6"/>
      <c r="GA452" s="6"/>
      <c r="GB452" s="6"/>
      <c r="GC452" s="6"/>
      <c r="GD452" s="6"/>
      <c r="GE452" s="6"/>
      <c r="GF452" s="6"/>
      <c r="GG452" s="6"/>
      <c r="GH452" s="6"/>
      <c r="GI452" s="6"/>
      <c r="GJ452" s="6"/>
      <c r="GK452" s="6"/>
      <c r="GL452" s="6"/>
      <c r="GM452" s="6"/>
      <c r="GN452" s="6"/>
      <c r="GO452" s="6"/>
      <c r="GP452" s="6"/>
      <c r="GQ452" s="6"/>
      <c r="GR452" s="6"/>
      <c r="GS452" s="6"/>
      <c r="GT452" s="6"/>
      <c r="GU452" s="6"/>
      <c r="GV452" s="6"/>
      <c r="GW452" s="6"/>
      <c r="GX452" s="6"/>
      <c r="GY452" s="6"/>
      <c r="GZ452" s="6"/>
      <c r="HA452" s="6"/>
      <c r="HB452" s="6"/>
      <c r="HC452" s="6"/>
      <c r="HD452" s="6"/>
      <c r="HE452" s="6"/>
      <c r="HF452" s="6"/>
      <c r="HG452" s="6"/>
      <c r="HH452" s="6"/>
      <c r="HI452" s="6"/>
      <c r="HJ452" s="6"/>
      <c r="HK452" s="6"/>
      <c r="HL452" s="6"/>
      <c r="HM452" s="6"/>
      <c r="HN452" s="6"/>
      <c r="HO452" s="6"/>
      <c r="HP452" s="6"/>
      <c r="HQ452" s="6"/>
      <c r="HR452" s="6"/>
      <c r="HS452" s="6"/>
      <c r="HT452" s="6"/>
      <c r="HU452" s="6"/>
    </row>
    <row r="453" spans="9:229"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  <c r="CU453" s="6"/>
      <c r="CV453" s="6"/>
      <c r="CW453" s="6"/>
      <c r="CX453" s="6"/>
      <c r="CY453" s="6"/>
      <c r="CZ453" s="6"/>
      <c r="DA453" s="6"/>
      <c r="DB453" s="6"/>
      <c r="DC453" s="6"/>
      <c r="DD453" s="6"/>
      <c r="DE453" s="6"/>
      <c r="DF453" s="6"/>
      <c r="DG453" s="6"/>
      <c r="DH453" s="6"/>
      <c r="DI453" s="6"/>
      <c r="DJ453" s="6"/>
      <c r="DK453" s="6"/>
      <c r="DL453" s="6"/>
      <c r="DM453" s="6"/>
      <c r="DN453" s="6"/>
      <c r="DO453" s="6"/>
      <c r="DP453" s="6"/>
      <c r="DQ453" s="6"/>
      <c r="DR453" s="6"/>
      <c r="DS453" s="6"/>
      <c r="DT453" s="6"/>
      <c r="DU453" s="6"/>
      <c r="DV453" s="6"/>
      <c r="DW453" s="6"/>
      <c r="DX453" s="6"/>
      <c r="DY453" s="6"/>
      <c r="DZ453" s="6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  <c r="ER453" s="6"/>
      <c r="ES453" s="6"/>
      <c r="ET453" s="6"/>
      <c r="EU453" s="6"/>
      <c r="EV453" s="6"/>
      <c r="EW453" s="6"/>
      <c r="EX453" s="6"/>
      <c r="EY453" s="6"/>
      <c r="EZ453" s="6"/>
      <c r="FA453" s="6"/>
      <c r="FB453" s="6"/>
      <c r="FC453" s="6"/>
      <c r="FD453" s="6"/>
      <c r="FE453" s="6"/>
      <c r="FF453" s="6"/>
      <c r="FG453" s="6"/>
      <c r="FH453" s="6"/>
      <c r="FI453" s="6"/>
      <c r="FJ453" s="6"/>
      <c r="FK453" s="6"/>
      <c r="FL453" s="6"/>
      <c r="FM453" s="6"/>
      <c r="FN453" s="6"/>
      <c r="FO453" s="6"/>
      <c r="FP453" s="6"/>
      <c r="FQ453" s="6"/>
      <c r="FR453" s="6"/>
      <c r="FS453" s="6"/>
      <c r="FT453" s="6"/>
      <c r="FU453" s="6"/>
      <c r="FV453" s="6"/>
      <c r="FW453" s="6"/>
      <c r="FX453" s="6"/>
      <c r="FY453" s="6"/>
      <c r="FZ453" s="6"/>
      <c r="GA453" s="6"/>
      <c r="GB453" s="6"/>
      <c r="GC453" s="6"/>
      <c r="GD453" s="6"/>
      <c r="GE453" s="6"/>
      <c r="GF453" s="6"/>
      <c r="GG453" s="6"/>
      <c r="GH453" s="6"/>
      <c r="GI453" s="6"/>
      <c r="GJ453" s="6"/>
      <c r="GK453" s="6"/>
      <c r="GL453" s="6"/>
      <c r="GM453" s="6"/>
      <c r="GN453" s="6"/>
      <c r="GO453" s="6"/>
      <c r="GP453" s="6"/>
      <c r="GQ453" s="6"/>
      <c r="GR453" s="6"/>
      <c r="GS453" s="6"/>
      <c r="GT453" s="6"/>
      <c r="GU453" s="6"/>
      <c r="GV453" s="6"/>
      <c r="GW453" s="6"/>
      <c r="GX453" s="6"/>
      <c r="GY453" s="6"/>
      <c r="GZ453" s="6"/>
      <c r="HA453" s="6"/>
      <c r="HB453" s="6"/>
      <c r="HC453" s="6"/>
      <c r="HD453" s="6"/>
      <c r="HE453" s="6"/>
      <c r="HF453" s="6"/>
      <c r="HG453" s="6"/>
      <c r="HH453" s="6"/>
      <c r="HI453" s="6"/>
      <c r="HJ453" s="6"/>
      <c r="HK453" s="6"/>
      <c r="HL453" s="6"/>
      <c r="HM453" s="6"/>
      <c r="HN453" s="6"/>
      <c r="HO453" s="6"/>
      <c r="HP453" s="6"/>
      <c r="HQ453" s="6"/>
      <c r="HR453" s="6"/>
      <c r="HS453" s="6"/>
      <c r="HT453" s="6"/>
      <c r="HU453" s="6"/>
    </row>
    <row r="454" spans="9:229"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  <c r="CU454" s="6"/>
      <c r="CV454" s="6"/>
      <c r="CW454" s="6"/>
      <c r="CX454" s="6"/>
      <c r="CY454" s="6"/>
      <c r="CZ454" s="6"/>
      <c r="DA454" s="6"/>
      <c r="DB454" s="6"/>
      <c r="DC454" s="6"/>
      <c r="DD454" s="6"/>
      <c r="DE454" s="6"/>
      <c r="DF454" s="6"/>
      <c r="DG454" s="6"/>
      <c r="DH454" s="6"/>
      <c r="DI454" s="6"/>
      <c r="DJ454" s="6"/>
      <c r="DK454" s="6"/>
      <c r="DL454" s="6"/>
      <c r="DM454" s="6"/>
      <c r="DN454" s="6"/>
      <c r="DO454" s="6"/>
      <c r="DP454" s="6"/>
      <c r="DQ454" s="6"/>
      <c r="DR454" s="6"/>
      <c r="DS454" s="6"/>
      <c r="DT454" s="6"/>
      <c r="DU454" s="6"/>
      <c r="DV454" s="6"/>
      <c r="DW454" s="6"/>
      <c r="DX454" s="6"/>
      <c r="DY454" s="6"/>
      <c r="DZ454" s="6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  <c r="ER454" s="6"/>
      <c r="ES454" s="6"/>
      <c r="ET454" s="6"/>
      <c r="EU454" s="6"/>
      <c r="EV454" s="6"/>
      <c r="EW454" s="6"/>
      <c r="EX454" s="6"/>
      <c r="EY454" s="6"/>
      <c r="EZ454" s="6"/>
      <c r="FA454" s="6"/>
      <c r="FB454" s="6"/>
      <c r="FC454" s="6"/>
      <c r="FD454" s="6"/>
      <c r="FE454" s="6"/>
      <c r="FF454" s="6"/>
      <c r="FG454" s="6"/>
      <c r="FH454" s="6"/>
      <c r="FI454" s="6"/>
      <c r="FJ454" s="6"/>
      <c r="FK454" s="6"/>
      <c r="FL454" s="6"/>
      <c r="FM454" s="6"/>
      <c r="FN454" s="6"/>
      <c r="FO454" s="6"/>
      <c r="FP454" s="6"/>
      <c r="FQ454" s="6"/>
      <c r="FR454" s="6"/>
      <c r="FS454" s="6"/>
      <c r="FT454" s="6"/>
      <c r="FU454" s="6"/>
      <c r="FV454" s="6"/>
      <c r="FW454" s="6"/>
      <c r="FX454" s="6"/>
      <c r="FY454" s="6"/>
      <c r="FZ454" s="6"/>
      <c r="GA454" s="6"/>
      <c r="GB454" s="6"/>
      <c r="GC454" s="6"/>
      <c r="GD454" s="6"/>
      <c r="GE454" s="6"/>
      <c r="GF454" s="6"/>
      <c r="GG454" s="6"/>
      <c r="GH454" s="6"/>
      <c r="GI454" s="6"/>
      <c r="GJ454" s="6"/>
      <c r="GK454" s="6"/>
      <c r="GL454" s="6"/>
      <c r="GM454" s="6"/>
      <c r="GN454" s="6"/>
      <c r="GO454" s="6"/>
      <c r="GP454" s="6"/>
      <c r="GQ454" s="6"/>
      <c r="GR454" s="6"/>
      <c r="GS454" s="6"/>
      <c r="GT454" s="6"/>
      <c r="GU454" s="6"/>
      <c r="GV454" s="6"/>
      <c r="GW454" s="6"/>
      <c r="GX454" s="6"/>
      <c r="GY454" s="6"/>
      <c r="GZ454" s="6"/>
      <c r="HA454" s="6"/>
      <c r="HB454" s="6"/>
      <c r="HC454" s="6"/>
      <c r="HD454" s="6"/>
      <c r="HE454" s="6"/>
      <c r="HF454" s="6"/>
      <c r="HG454" s="6"/>
      <c r="HH454" s="6"/>
      <c r="HI454" s="6"/>
      <c r="HJ454" s="6"/>
      <c r="HK454" s="6"/>
      <c r="HL454" s="6"/>
      <c r="HM454" s="6"/>
      <c r="HN454" s="6"/>
      <c r="HO454" s="6"/>
      <c r="HP454" s="6"/>
      <c r="HQ454" s="6"/>
      <c r="HR454" s="6"/>
      <c r="HS454" s="6"/>
      <c r="HT454" s="6"/>
      <c r="HU454" s="6"/>
    </row>
    <row r="455" spans="9:229"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  <c r="CU455" s="6"/>
      <c r="CV455" s="6"/>
      <c r="CW455" s="6"/>
      <c r="CX455" s="6"/>
      <c r="CY455" s="6"/>
      <c r="CZ455" s="6"/>
      <c r="DA455" s="6"/>
      <c r="DB455" s="6"/>
      <c r="DC455" s="6"/>
      <c r="DD455" s="6"/>
      <c r="DE455" s="6"/>
      <c r="DF455" s="6"/>
      <c r="DG455" s="6"/>
      <c r="DH455" s="6"/>
      <c r="DI455" s="6"/>
      <c r="DJ455" s="6"/>
      <c r="DK455" s="6"/>
      <c r="DL455" s="6"/>
      <c r="DM455" s="6"/>
      <c r="DN455" s="6"/>
      <c r="DO455" s="6"/>
      <c r="DP455" s="6"/>
      <c r="DQ455" s="6"/>
      <c r="DR455" s="6"/>
      <c r="DS455" s="6"/>
      <c r="DT455" s="6"/>
      <c r="DU455" s="6"/>
      <c r="DV455" s="6"/>
      <c r="DW455" s="6"/>
      <c r="DX455" s="6"/>
      <c r="DY455" s="6"/>
      <c r="DZ455" s="6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  <c r="ER455" s="6"/>
      <c r="ES455" s="6"/>
      <c r="ET455" s="6"/>
      <c r="EU455" s="6"/>
      <c r="EV455" s="6"/>
      <c r="EW455" s="6"/>
      <c r="EX455" s="6"/>
      <c r="EY455" s="6"/>
      <c r="EZ455" s="6"/>
      <c r="FA455" s="6"/>
      <c r="FB455" s="6"/>
      <c r="FC455" s="6"/>
      <c r="FD455" s="6"/>
      <c r="FE455" s="6"/>
      <c r="FF455" s="6"/>
      <c r="FG455" s="6"/>
      <c r="FH455" s="6"/>
      <c r="FI455" s="6"/>
      <c r="FJ455" s="6"/>
      <c r="FK455" s="6"/>
      <c r="FL455" s="6"/>
      <c r="FM455" s="6"/>
      <c r="FN455" s="6"/>
      <c r="FO455" s="6"/>
      <c r="FP455" s="6"/>
      <c r="FQ455" s="6"/>
      <c r="FR455" s="6"/>
      <c r="FS455" s="6"/>
      <c r="FT455" s="6"/>
      <c r="FU455" s="6"/>
      <c r="FV455" s="6"/>
      <c r="FW455" s="6"/>
      <c r="FX455" s="6"/>
      <c r="FY455" s="6"/>
      <c r="FZ455" s="6"/>
      <c r="GA455" s="6"/>
      <c r="GB455" s="6"/>
      <c r="GC455" s="6"/>
      <c r="GD455" s="6"/>
      <c r="GE455" s="6"/>
      <c r="GF455" s="6"/>
      <c r="GG455" s="6"/>
      <c r="GH455" s="6"/>
      <c r="GI455" s="6"/>
      <c r="GJ455" s="6"/>
      <c r="GK455" s="6"/>
      <c r="GL455" s="6"/>
      <c r="GM455" s="6"/>
      <c r="GN455" s="6"/>
      <c r="GO455" s="6"/>
      <c r="GP455" s="6"/>
      <c r="GQ455" s="6"/>
      <c r="GR455" s="6"/>
      <c r="GS455" s="6"/>
      <c r="GT455" s="6"/>
      <c r="GU455" s="6"/>
      <c r="GV455" s="6"/>
      <c r="GW455" s="6"/>
      <c r="GX455" s="6"/>
      <c r="GY455" s="6"/>
      <c r="GZ455" s="6"/>
      <c r="HA455" s="6"/>
      <c r="HB455" s="6"/>
      <c r="HC455" s="6"/>
      <c r="HD455" s="6"/>
      <c r="HE455" s="6"/>
      <c r="HF455" s="6"/>
      <c r="HG455" s="6"/>
      <c r="HH455" s="6"/>
      <c r="HI455" s="6"/>
      <c r="HJ455" s="6"/>
      <c r="HK455" s="6"/>
      <c r="HL455" s="6"/>
      <c r="HM455" s="6"/>
      <c r="HN455" s="6"/>
      <c r="HO455" s="6"/>
      <c r="HP455" s="6"/>
      <c r="HQ455" s="6"/>
      <c r="HR455" s="6"/>
      <c r="HS455" s="6"/>
      <c r="HT455" s="6"/>
      <c r="HU455" s="6"/>
    </row>
    <row r="456" spans="9:229"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  <c r="CU456" s="6"/>
      <c r="CV456" s="6"/>
      <c r="CW456" s="6"/>
      <c r="CX456" s="6"/>
      <c r="CY456" s="6"/>
      <c r="CZ456" s="6"/>
      <c r="DA456" s="6"/>
      <c r="DB456" s="6"/>
      <c r="DC456" s="6"/>
      <c r="DD456" s="6"/>
      <c r="DE456" s="6"/>
      <c r="DF456" s="6"/>
      <c r="DG456" s="6"/>
      <c r="DH456" s="6"/>
      <c r="DI456" s="6"/>
      <c r="DJ456" s="6"/>
      <c r="DK456" s="6"/>
      <c r="DL456" s="6"/>
      <c r="DM456" s="6"/>
      <c r="DN456" s="6"/>
      <c r="DO456" s="6"/>
      <c r="DP456" s="6"/>
      <c r="DQ456" s="6"/>
      <c r="DR456" s="6"/>
      <c r="DS456" s="6"/>
      <c r="DT456" s="6"/>
      <c r="DU456" s="6"/>
      <c r="DV456" s="6"/>
      <c r="DW456" s="6"/>
      <c r="DX456" s="6"/>
      <c r="DY456" s="6"/>
      <c r="DZ456" s="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  <c r="ER456" s="6"/>
      <c r="ES456" s="6"/>
      <c r="ET456" s="6"/>
      <c r="EU456" s="6"/>
      <c r="EV456" s="6"/>
      <c r="EW456" s="6"/>
      <c r="EX456" s="6"/>
      <c r="EY456" s="6"/>
      <c r="EZ456" s="6"/>
      <c r="FA456" s="6"/>
      <c r="FB456" s="6"/>
      <c r="FC456" s="6"/>
      <c r="FD456" s="6"/>
      <c r="FE456" s="6"/>
      <c r="FF456" s="6"/>
      <c r="FG456" s="6"/>
      <c r="FH456" s="6"/>
      <c r="FI456" s="6"/>
      <c r="FJ456" s="6"/>
      <c r="FK456" s="6"/>
      <c r="FL456" s="6"/>
      <c r="FM456" s="6"/>
      <c r="FN456" s="6"/>
      <c r="FO456" s="6"/>
      <c r="FP456" s="6"/>
      <c r="FQ456" s="6"/>
      <c r="FR456" s="6"/>
      <c r="FS456" s="6"/>
      <c r="FT456" s="6"/>
      <c r="FU456" s="6"/>
      <c r="FV456" s="6"/>
      <c r="FW456" s="6"/>
      <c r="FX456" s="6"/>
      <c r="FY456" s="6"/>
      <c r="FZ456" s="6"/>
      <c r="GA456" s="6"/>
      <c r="GB456" s="6"/>
      <c r="GC456" s="6"/>
      <c r="GD456" s="6"/>
      <c r="GE456" s="6"/>
      <c r="GF456" s="6"/>
      <c r="GG456" s="6"/>
      <c r="GH456" s="6"/>
      <c r="GI456" s="6"/>
      <c r="GJ456" s="6"/>
      <c r="GK456" s="6"/>
      <c r="GL456" s="6"/>
      <c r="GM456" s="6"/>
      <c r="GN456" s="6"/>
      <c r="GO456" s="6"/>
      <c r="GP456" s="6"/>
      <c r="GQ456" s="6"/>
      <c r="GR456" s="6"/>
      <c r="GS456" s="6"/>
      <c r="GT456" s="6"/>
      <c r="GU456" s="6"/>
      <c r="GV456" s="6"/>
      <c r="GW456" s="6"/>
      <c r="GX456" s="6"/>
      <c r="GY456" s="6"/>
      <c r="GZ456" s="6"/>
      <c r="HA456" s="6"/>
      <c r="HB456" s="6"/>
      <c r="HC456" s="6"/>
      <c r="HD456" s="6"/>
      <c r="HE456" s="6"/>
      <c r="HF456" s="6"/>
      <c r="HG456" s="6"/>
      <c r="HH456" s="6"/>
      <c r="HI456" s="6"/>
      <c r="HJ456" s="6"/>
      <c r="HK456" s="6"/>
      <c r="HL456" s="6"/>
      <c r="HM456" s="6"/>
      <c r="HN456" s="6"/>
      <c r="HO456" s="6"/>
      <c r="HP456" s="6"/>
      <c r="HQ456" s="6"/>
      <c r="HR456" s="6"/>
      <c r="HS456" s="6"/>
      <c r="HT456" s="6"/>
      <c r="HU456" s="6"/>
    </row>
    <row r="457" spans="9:229"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  <c r="CU457" s="6"/>
      <c r="CV457" s="6"/>
      <c r="CW457" s="6"/>
      <c r="CX457" s="6"/>
      <c r="CY457" s="6"/>
      <c r="CZ457" s="6"/>
      <c r="DA457" s="6"/>
      <c r="DB457" s="6"/>
      <c r="DC457" s="6"/>
      <c r="DD457" s="6"/>
      <c r="DE457" s="6"/>
      <c r="DF457" s="6"/>
      <c r="DG457" s="6"/>
      <c r="DH457" s="6"/>
      <c r="DI457" s="6"/>
      <c r="DJ457" s="6"/>
      <c r="DK457" s="6"/>
      <c r="DL457" s="6"/>
      <c r="DM457" s="6"/>
      <c r="DN457" s="6"/>
      <c r="DO457" s="6"/>
      <c r="DP457" s="6"/>
      <c r="DQ457" s="6"/>
      <c r="DR457" s="6"/>
      <c r="DS457" s="6"/>
      <c r="DT457" s="6"/>
      <c r="DU457" s="6"/>
      <c r="DV457" s="6"/>
      <c r="DW457" s="6"/>
      <c r="DX457" s="6"/>
      <c r="DY457" s="6"/>
      <c r="DZ457" s="6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  <c r="ER457" s="6"/>
      <c r="ES457" s="6"/>
      <c r="ET457" s="6"/>
      <c r="EU457" s="6"/>
      <c r="EV457" s="6"/>
      <c r="EW457" s="6"/>
      <c r="EX457" s="6"/>
      <c r="EY457" s="6"/>
      <c r="EZ457" s="6"/>
      <c r="FA457" s="6"/>
      <c r="FB457" s="6"/>
      <c r="FC457" s="6"/>
      <c r="FD457" s="6"/>
      <c r="FE457" s="6"/>
      <c r="FF457" s="6"/>
      <c r="FG457" s="6"/>
      <c r="FH457" s="6"/>
      <c r="FI457" s="6"/>
      <c r="FJ457" s="6"/>
      <c r="FK457" s="6"/>
      <c r="FL457" s="6"/>
      <c r="FM457" s="6"/>
      <c r="FN457" s="6"/>
      <c r="FO457" s="6"/>
      <c r="FP457" s="6"/>
      <c r="FQ457" s="6"/>
      <c r="FR457" s="6"/>
      <c r="FS457" s="6"/>
      <c r="FT457" s="6"/>
      <c r="FU457" s="6"/>
      <c r="FV457" s="6"/>
      <c r="FW457" s="6"/>
      <c r="FX457" s="6"/>
      <c r="FY457" s="6"/>
      <c r="FZ457" s="6"/>
      <c r="GA457" s="6"/>
      <c r="GB457" s="6"/>
      <c r="GC457" s="6"/>
      <c r="GD457" s="6"/>
      <c r="GE457" s="6"/>
      <c r="GF457" s="6"/>
      <c r="GG457" s="6"/>
      <c r="GH457" s="6"/>
      <c r="GI457" s="6"/>
      <c r="GJ457" s="6"/>
      <c r="GK457" s="6"/>
      <c r="GL457" s="6"/>
      <c r="GM457" s="6"/>
      <c r="GN457" s="6"/>
      <c r="GO457" s="6"/>
      <c r="GP457" s="6"/>
      <c r="GQ457" s="6"/>
      <c r="GR457" s="6"/>
      <c r="GS457" s="6"/>
      <c r="GT457" s="6"/>
      <c r="GU457" s="6"/>
      <c r="GV457" s="6"/>
      <c r="GW457" s="6"/>
      <c r="GX457" s="6"/>
      <c r="GY457" s="6"/>
      <c r="GZ457" s="6"/>
      <c r="HA457" s="6"/>
      <c r="HB457" s="6"/>
      <c r="HC457" s="6"/>
      <c r="HD457" s="6"/>
      <c r="HE457" s="6"/>
      <c r="HF457" s="6"/>
      <c r="HG457" s="6"/>
      <c r="HH457" s="6"/>
      <c r="HI457" s="6"/>
      <c r="HJ457" s="6"/>
      <c r="HK457" s="6"/>
      <c r="HL457" s="6"/>
      <c r="HM457" s="6"/>
      <c r="HN457" s="6"/>
      <c r="HO457" s="6"/>
      <c r="HP457" s="6"/>
      <c r="HQ457" s="6"/>
      <c r="HR457" s="6"/>
      <c r="HS457" s="6"/>
      <c r="HT457" s="6"/>
      <c r="HU457" s="6"/>
    </row>
    <row r="458" spans="9:229"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  <c r="CU458" s="6"/>
      <c r="CV458" s="6"/>
      <c r="CW458" s="6"/>
      <c r="CX458" s="6"/>
      <c r="CY458" s="6"/>
      <c r="CZ458" s="6"/>
      <c r="DA458" s="6"/>
      <c r="DB458" s="6"/>
      <c r="DC458" s="6"/>
      <c r="DD458" s="6"/>
      <c r="DE458" s="6"/>
      <c r="DF458" s="6"/>
      <c r="DG458" s="6"/>
      <c r="DH458" s="6"/>
      <c r="DI458" s="6"/>
      <c r="DJ458" s="6"/>
      <c r="DK458" s="6"/>
      <c r="DL458" s="6"/>
      <c r="DM458" s="6"/>
      <c r="DN458" s="6"/>
      <c r="DO458" s="6"/>
      <c r="DP458" s="6"/>
      <c r="DQ458" s="6"/>
      <c r="DR458" s="6"/>
      <c r="DS458" s="6"/>
      <c r="DT458" s="6"/>
      <c r="DU458" s="6"/>
      <c r="DV458" s="6"/>
      <c r="DW458" s="6"/>
      <c r="DX458" s="6"/>
      <c r="DY458" s="6"/>
      <c r="DZ458" s="6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  <c r="ER458" s="6"/>
      <c r="ES458" s="6"/>
      <c r="ET458" s="6"/>
      <c r="EU458" s="6"/>
      <c r="EV458" s="6"/>
      <c r="EW458" s="6"/>
      <c r="EX458" s="6"/>
      <c r="EY458" s="6"/>
      <c r="EZ458" s="6"/>
      <c r="FA458" s="6"/>
      <c r="FB458" s="6"/>
      <c r="FC458" s="6"/>
      <c r="FD458" s="6"/>
      <c r="FE458" s="6"/>
      <c r="FF458" s="6"/>
      <c r="FG458" s="6"/>
      <c r="FH458" s="6"/>
      <c r="FI458" s="6"/>
      <c r="FJ458" s="6"/>
      <c r="FK458" s="6"/>
      <c r="FL458" s="6"/>
      <c r="FM458" s="6"/>
      <c r="FN458" s="6"/>
      <c r="FO458" s="6"/>
      <c r="FP458" s="6"/>
      <c r="FQ458" s="6"/>
      <c r="FR458" s="6"/>
      <c r="FS458" s="6"/>
      <c r="FT458" s="6"/>
      <c r="FU458" s="6"/>
      <c r="FV458" s="6"/>
      <c r="FW458" s="6"/>
      <c r="FX458" s="6"/>
      <c r="FY458" s="6"/>
      <c r="FZ458" s="6"/>
      <c r="GA458" s="6"/>
      <c r="GB458" s="6"/>
      <c r="GC458" s="6"/>
      <c r="GD458" s="6"/>
      <c r="GE458" s="6"/>
      <c r="GF458" s="6"/>
      <c r="GG458" s="6"/>
      <c r="GH458" s="6"/>
      <c r="GI458" s="6"/>
      <c r="GJ458" s="6"/>
      <c r="GK458" s="6"/>
      <c r="GL458" s="6"/>
      <c r="GM458" s="6"/>
      <c r="GN458" s="6"/>
      <c r="GO458" s="6"/>
      <c r="GP458" s="6"/>
      <c r="GQ458" s="6"/>
      <c r="GR458" s="6"/>
      <c r="GS458" s="6"/>
      <c r="GT458" s="6"/>
      <c r="GU458" s="6"/>
      <c r="GV458" s="6"/>
      <c r="GW458" s="6"/>
      <c r="GX458" s="6"/>
      <c r="GY458" s="6"/>
      <c r="GZ458" s="6"/>
      <c r="HA458" s="6"/>
      <c r="HB458" s="6"/>
      <c r="HC458" s="6"/>
      <c r="HD458" s="6"/>
      <c r="HE458" s="6"/>
      <c r="HF458" s="6"/>
      <c r="HG458" s="6"/>
      <c r="HH458" s="6"/>
      <c r="HI458" s="6"/>
      <c r="HJ458" s="6"/>
      <c r="HK458" s="6"/>
      <c r="HL458" s="6"/>
      <c r="HM458" s="6"/>
      <c r="HN458" s="6"/>
      <c r="HO458" s="6"/>
      <c r="HP458" s="6"/>
      <c r="HQ458" s="6"/>
      <c r="HR458" s="6"/>
      <c r="HS458" s="6"/>
      <c r="HT458" s="6"/>
      <c r="HU458" s="6"/>
    </row>
    <row r="459" spans="9:229"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  <c r="CU459" s="6"/>
      <c r="CV459" s="6"/>
      <c r="CW459" s="6"/>
      <c r="CX459" s="6"/>
      <c r="CY459" s="6"/>
      <c r="CZ459" s="6"/>
      <c r="DA459" s="6"/>
      <c r="DB459" s="6"/>
      <c r="DC459" s="6"/>
      <c r="DD459" s="6"/>
      <c r="DE459" s="6"/>
      <c r="DF459" s="6"/>
      <c r="DG459" s="6"/>
      <c r="DH459" s="6"/>
      <c r="DI459" s="6"/>
      <c r="DJ459" s="6"/>
      <c r="DK459" s="6"/>
      <c r="DL459" s="6"/>
      <c r="DM459" s="6"/>
      <c r="DN459" s="6"/>
      <c r="DO459" s="6"/>
      <c r="DP459" s="6"/>
      <c r="DQ459" s="6"/>
      <c r="DR459" s="6"/>
      <c r="DS459" s="6"/>
      <c r="DT459" s="6"/>
      <c r="DU459" s="6"/>
      <c r="DV459" s="6"/>
      <c r="DW459" s="6"/>
      <c r="DX459" s="6"/>
      <c r="DY459" s="6"/>
      <c r="DZ459" s="6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  <c r="ER459" s="6"/>
      <c r="ES459" s="6"/>
      <c r="ET459" s="6"/>
      <c r="EU459" s="6"/>
      <c r="EV459" s="6"/>
      <c r="EW459" s="6"/>
      <c r="EX459" s="6"/>
      <c r="EY459" s="6"/>
      <c r="EZ459" s="6"/>
      <c r="FA459" s="6"/>
      <c r="FB459" s="6"/>
      <c r="FC459" s="6"/>
      <c r="FD459" s="6"/>
      <c r="FE459" s="6"/>
      <c r="FF459" s="6"/>
      <c r="FG459" s="6"/>
      <c r="FH459" s="6"/>
      <c r="FI459" s="6"/>
      <c r="FJ459" s="6"/>
      <c r="FK459" s="6"/>
      <c r="FL459" s="6"/>
      <c r="FM459" s="6"/>
      <c r="FN459" s="6"/>
      <c r="FO459" s="6"/>
      <c r="FP459" s="6"/>
      <c r="FQ459" s="6"/>
      <c r="FR459" s="6"/>
      <c r="FS459" s="6"/>
      <c r="FT459" s="6"/>
      <c r="FU459" s="6"/>
      <c r="FV459" s="6"/>
      <c r="FW459" s="6"/>
      <c r="FX459" s="6"/>
      <c r="FY459" s="6"/>
      <c r="FZ459" s="6"/>
      <c r="GA459" s="6"/>
      <c r="GB459" s="6"/>
      <c r="GC459" s="6"/>
      <c r="GD459" s="6"/>
      <c r="GE459" s="6"/>
      <c r="GF459" s="6"/>
      <c r="GG459" s="6"/>
      <c r="GH459" s="6"/>
      <c r="GI459" s="6"/>
      <c r="GJ459" s="6"/>
      <c r="GK459" s="6"/>
      <c r="GL459" s="6"/>
      <c r="GM459" s="6"/>
      <c r="GN459" s="6"/>
      <c r="GO459" s="6"/>
      <c r="GP459" s="6"/>
      <c r="GQ459" s="6"/>
      <c r="GR459" s="6"/>
      <c r="GS459" s="6"/>
      <c r="GT459" s="6"/>
      <c r="GU459" s="6"/>
      <c r="GV459" s="6"/>
      <c r="GW459" s="6"/>
      <c r="GX459" s="6"/>
      <c r="GY459" s="6"/>
      <c r="GZ459" s="6"/>
      <c r="HA459" s="6"/>
      <c r="HB459" s="6"/>
      <c r="HC459" s="6"/>
      <c r="HD459" s="6"/>
      <c r="HE459" s="6"/>
      <c r="HF459" s="6"/>
      <c r="HG459" s="6"/>
      <c r="HH459" s="6"/>
      <c r="HI459" s="6"/>
      <c r="HJ459" s="6"/>
      <c r="HK459" s="6"/>
      <c r="HL459" s="6"/>
      <c r="HM459" s="6"/>
      <c r="HN459" s="6"/>
      <c r="HO459" s="6"/>
      <c r="HP459" s="6"/>
      <c r="HQ459" s="6"/>
      <c r="HR459" s="6"/>
      <c r="HS459" s="6"/>
      <c r="HT459" s="6"/>
      <c r="HU459" s="6"/>
    </row>
    <row r="460" spans="9:229"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  <c r="CU460" s="6"/>
      <c r="CV460" s="6"/>
      <c r="CW460" s="6"/>
      <c r="CX460" s="6"/>
      <c r="CY460" s="6"/>
      <c r="CZ460" s="6"/>
      <c r="DA460" s="6"/>
      <c r="DB460" s="6"/>
      <c r="DC460" s="6"/>
      <c r="DD460" s="6"/>
      <c r="DE460" s="6"/>
      <c r="DF460" s="6"/>
      <c r="DG460" s="6"/>
      <c r="DH460" s="6"/>
      <c r="DI460" s="6"/>
      <c r="DJ460" s="6"/>
      <c r="DK460" s="6"/>
      <c r="DL460" s="6"/>
      <c r="DM460" s="6"/>
      <c r="DN460" s="6"/>
      <c r="DO460" s="6"/>
      <c r="DP460" s="6"/>
      <c r="DQ460" s="6"/>
      <c r="DR460" s="6"/>
      <c r="DS460" s="6"/>
      <c r="DT460" s="6"/>
      <c r="DU460" s="6"/>
      <c r="DV460" s="6"/>
      <c r="DW460" s="6"/>
      <c r="DX460" s="6"/>
      <c r="DY460" s="6"/>
      <c r="DZ460" s="6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  <c r="ER460" s="6"/>
      <c r="ES460" s="6"/>
      <c r="ET460" s="6"/>
      <c r="EU460" s="6"/>
      <c r="EV460" s="6"/>
      <c r="EW460" s="6"/>
      <c r="EX460" s="6"/>
      <c r="EY460" s="6"/>
      <c r="EZ460" s="6"/>
      <c r="FA460" s="6"/>
      <c r="FB460" s="6"/>
      <c r="FC460" s="6"/>
      <c r="FD460" s="6"/>
      <c r="FE460" s="6"/>
      <c r="FF460" s="6"/>
      <c r="FG460" s="6"/>
      <c r="FH460" s="6"/>
      <c r="FI460" s="6"/>
      <c r="FJ460" s="6"/>
      <c r="FK460" s="6"/>
      <c r="FL460" s="6"/>
      <c r="FM460" s="6"/>
      <c r="FN460" s="6"/>
      <c r="FO460" s="6"/>
      <c r="FP460" s="6"/>
      <c r="FQ460" s="6"/>
      <c r="FR460" s="6"/>
      <c r="FS460" s="6"/>
      <c r="FT460" s="6"/>
      <c r="FU460" s="6"/>
      <c r="FV460" s="6"/>
      <c r="FW460" s="6"/>
      <c r="FX460" s="6"/>
      <c r="FY460" s="6"/>
      <c r="FZ460" s="6"/>
      <c r="GA460" s="6"/>
      <c r="GB460" s="6"/>
      <c r="GC460" s="6"/>
      <c r="GD460" s="6"/>
      <c r="GE460" s="6"/>
      <c r="GF460" s="6"/>
      <c r="GG460" s="6"/>
      <c r="GH460" s="6"/>
      <c r="GI460" s="6"/>
      <c r="GJ460" s="6"/>
      <c r="GK460" s="6"/>
      <c r="GL460" s="6"/>
      <c r="GM460" s="6"/>
      <c r="GN460" s="6"/>
      <c r="GO460" s="6"/>
      <c r="GP460" s="6"/>
      <c r="GQ460" s="6"/>
      <c r="GR460" s="6"/>
      <c r="GS460" s="6"/>
      <c r="GT460" s="6"/>
      <c r="GU460" s="6"/>
      <c r="GV460" s="6"/>
      <c r="GW460" s="6"/>
      <c r="GX460" s="6"/>
      <c r="GY460" s="6"/>
      <c r="GZ460" s="6"/>
      <c r="HA460" s="6"/>
      <c r="HB460" s="6"/>
      <c r="HC460" s="6"/>
      <c r="HD460" s="6"/>
      <c r="HE460" s="6"/>
      <c r="HF460" s="6"/>
      <c r="HG460" s="6"/>
      <c r="HH460" s="6"/>
      <c r="HI460" s="6"/>
      <c r="HJ460" s="6"/>
      <c r="HK460" s="6"/>
      <c r="HL460" s="6"/>
      <c r="HM460" s="6"/>
      <c r="HN460" s="6"/>
      <c r="HO460" s="6"/>
      <c r="HP460" s="6"/>
      <c r="HQ460" s="6"/>
      <c r="HR460" s="6"/>
      <c r="HS460" s="6"/>
      <c r="HT460" s="6"/>
      <c r="HU460" s="6"/>
    </row>
    <row r="461" spans="9:229"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  <c r="CU461" s="6"/>
      <c r="CV461" s="6"/>
      <c r="CW461" s="6"/>
      <c r="CX461" s="6"/>
      <c r="CY461" s="6"/>
      <c r="CZ461" s="6"/>
      <c r="DA461" s="6"/>
      <c r="DB461" s="6"/>
      <c r="DC461" s="6"/>
      <c r="DD461" s="6"/>
      <c r="DE461" s="6"/>
      <c r="DF461" s="6"/>
      <c r="DG461" s="6"/>
      <c r="DH461" s="6"/>
      <c r="DI461" s="6"/>
      <c r="DJ461" s="6"/>
      <c r="DK461" s="6"/>
      <c r="DL461" s="6"/>
      <c r="DM461" s="6"/>
      <c r="DN461" s="6"/>
      <c r="DO461" s="6"/>
      <c r="DP461" s="6"/>
      <c r="DQ461" s="6"/>
      <c r="DR461" s="6"/>
      <c r="DS461" s="6"/>
      <c r="DT461" s="6"/>
      <c r="DU461" s="6"/>
      <c r="DV461" s="6"/>
      <c r="DW461" s="6"/>
      <c r="DX461" s="6"/>
      <c r="DY461" s="6"/>
      <c r="DZ461" s="6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  <c r="ER461" s="6"/>
      <c r="ES461" s="6"/>
      <c r="ET461" s="6"/>
      <c r="EU461" s="6"/>
      <c r="EV461" s="6"/>
      <c r="EW461" s="6"/>
      <c r="EX461" s="6"/>
      <c r="EY461" s="6"/>
      <c r="EZ461" s="6"/>
      <c r="FA461" s="6"/>
      <c r="FB461" s="6"/>
      <c r="FC461" s="6"/>
      <c r="FD461" s="6"/>
      <c r="FE461" s="6"/>
      <c r="FF461" s="6"/>
      <c r="FG461" s="6"/>
      <c r="FH461" s="6"/>
      <c r="FI461" s="6"/>
      <c r="FJ461" s="6"/>
      <c r="FK461" s="6"/>
      <c r="FL461" s="6"/>
      <c r="FM461" s="6"/>
      <c r="FN461" s="6"/>
      <c r="FO461" s="6"/>
      <c r="FP461" s="6"/>
      <c r="FQ461" s="6"/>
      <c r="FR461" s="6"/>
      <c r="FS461" s="6"/>
      <c r="FT461" s="6"/>
      <c r="FU461" s="6"/>
      <c r="FV461" s="6"/>
      <c r="FW461" s="6"/>
      <c r="FX461" s="6"/>
      <c r="FY461" s="6"/>
      <c r="FZ461" s="6"/>
      <c r="GA461" s="6"/>
      <c r="GB461" s="6"/>
      <c r="GC461" s="6"/>
      <c r="GD461" s="6"/>
      <c r="GE461" s="6"/>
      <c r="GF461" s="6"/>
      <c r="GG461" s="6"/>
      <c r="GH461" s="6"/>
      <c r="GI461" s="6"/>
      <c r="GJ461" s="6"/>
      <c r="GK461" s="6"/>
      <c r="GL461" s="6"/>
      <c r="GM461" s="6"/>
      <c r="GN461" s="6"/>
      <c r="GO461" s="6"/>
      <c r="GP461" s="6"/>
      <c r="GQ461" s="6"/>
      <c r="GR461" s="6"/>
      <c r="GS461" s="6"/>
      <c r="GT461" s="6"/>
      <c r="GU461" s="6"/>
      <c r="GV461" s="6"/>
      <c r="GW461" s="6"/>
      <c r="GX461" s="6"/>
      <c r="GY461" s="6"/>
      <c r="GZ461" s="6"/>
      <c r="HA461" s="6"/>
      <c r="HB461" s="6"/>
      <c r="HC461" s="6"/>
      <c r="HD461" s="6"/>
      <c r="HE461" s="6"/>
      <c r="HF461" s="6"/>
      <c r="HG461" s="6"/>
      <c r="HH461" s="6"/>
      <c r="HI461" s="6"/>
      <c r="HJ461" s="6"/>
      <c r="HK461" s="6"/>
      <c r="HL461" s="6"/>
      <c r="HM461" s="6"/>
      <c r="HN461" s="6"/>
      <c r="HO461" s="6"/>
      <c r="HP461" s="6"/>
      <c r="HQ461" s="6"/>
      <c r="HR461" s="6"/>
      <c r="HS461" s="6"/>
      <c r="HT461" s="6"/>
      <c r="HU461" s="6"/>
    </row>
    <row r="462" spans="9:229"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  <c r="CU462" s="6"/>
      <c r="CV462" s="6"/>
      <c r="CW462" s="6"/>
      <c r="CX462" s="6"/>
      <c r="CY462" s="6"/>
      <c r="CZ462" s="6"/>
      <c r="DA462" s="6"/>
      <c r="DB462" s="6"/>
      <c r="DC462" s="6"/>
      <c r="DD462" s="6"/>
      <c r="DE462" s="6"/>
      <c r="DF462" s="6"/>
      <c r="DG462" s="6"/>
      <c r="DH462" s="6"/>
      <c r="DI462" s="6"/>
      <c r="DJ462" s="6"/>
      <c r="DK462" s="6"/>
      <c r="DL462" s="6"/>
      <c r="DM462" s="6"/>
      <c r="DN462" s="6"/>
      <c r="DO462" s="6"/>
      <c r="DP462" s="6"/>
      <c r="DQ462" s="6"/>
      <c r="DR462" s="6"/>
      <c r="DS462" s="6"/>
      <c r="DT462" s="6"/>
      <c r="DU462" s="6"/>
      <c r="DV462" s="6"/>
      <c r="DW462" s="6"/>
      <c r="DX462" s="6"/>
      <c r="DY462" s="6"/>
      <c r="DZ462" s="6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  <c r="ER462" s="6"/>
      <c r="ES462" s="6"/>
      <c r="ET462" s="6"/>
      <c r="EU462" s="6"/>
      <c r="EV462" s="6"/>
      <c r="EW462" s="6"/>
      <c r="EX462" s="6"/>
      <c r="EY462" s="6"/>
      <c r="EZ462" s="6"/>
      <c r="FA462" s="6"/>
      <c r="FB462" s="6"/>
      <c r="FC462" s="6"/>
      <c r="FD462" s="6"/>
      <c r="FE462" s="6"/>
      <c r="FF462" s="6"/>
      <c r="FG462" s="6"/>
      <c r="FH462" s="6"/>
      <c r="FI462" s="6"/>
      <c r="FJ462" s="6"/>
      <c r="FK462" s="6"/>
      <c r="FL462" s="6"/>
      <c r="FM462" s="6"/>
      <c r="FN462" s="6"/>
      <c r="FO462" s="6"/>
      <c r="FP462" s="6"/>
      <c r="FQ462" s="6"/>
      <c r="FR462" s="6"/>
      <c r="FS462" s="6"/>
      <c r="FT462" s="6"/>
      <c r="FU462" s="6"/>
      <c r="FV462" s="6"/>
      <c r="FW462" s="6"/>
      <c r="FX462" s="6"/>
      <c r="FY462" s="6"/>
      <c r="FZ462" s="6"/>
      <c r="GA462" s="6"/>
      <c r="GB462" s="6"/>
      <c r="GC462" s="6"/>
      <c r="GD462" s="6"/>
      <c r="GE462" s="6"/>
      <c r="GF462" s="6"/>
      <c r="GG462" s="6"/>
      <c r="GH462" s="6"/>
      <c r="GI462" s="6"/>
      <c r="GJ462" s="6"/>
      <c r="GK462" s="6"/>
      <c r="GL462" s="6"/>
      <c r="GM462" s="6"/>
      <c r="GN462" s="6"/>
      <c r="GO462" s="6"/>
      <c r="GP462" s="6"/>
      <c r="GQ462" s="6"/>
      <c r="GR462" s="6"/>
      <c r="GS462" s="6"/>
      <c r="GT462" s="6"/>
      <c r="GU462" s="6"/>
      <c r="GV462" s="6"/>
      <c r="GW462" s="6"/>
      <c r="GX462" s="6"/>
      <c r="GY462" s="6"/>
      <c r="GZ462" s="6"/>
      <c r="HA462" s="6"/>
      <c r="HB462" s="6"/>
      <c r="HC462" s="6"/>
      <c r="HD462" s="6"/>
      <c r="HE462" s="6"/>
      <c r="HF462" s="6"/>
      <c r="HG462" s="6"/>
      <c r="HH462" s="6"/>
      <c r="HI462" s="6"/>
      <c r="HJ462" s="6"/>
      <c r="HK462" s="6"/>
      <c r="HL462" s="6"/>
      <c r="HM462" s="6"/>
      <c r="HN462" s="6"/>
      <c r="HO462" s="6"/>
      <c r="HP462" s="6"/>
      <c r="HQ462" s="6"/>
      <c r="HR462" s="6"/>
      <c r="HS462" s="6"/>
      <c r="HT462" s="6"/>
      <c r="HU462" s="6"/>
    </row>
    <row r="463" spans="9:229"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  <c r="CU463" s="6"/>
      <c r="CV463" s="6"/>
      <c r="CW463" s="6"/>
      <c r="CX463" s="6"/>
      <c r="CY463" s="6"/>
      <c r="CZ463" s="6"/>
      <c r="DA463" s="6"/>
      <c r="DB463" s="6"/>
      <c r="DC463" s="6"/>
      <c r="DD463" s="6"/>
      <c r="DE463" s="6"/>
      <c r="DF463" s="6"/>
      <c r="DG463" s="6"/>
      <c r="DH463" s="6"/>
      <c r="DI463" s="6"/>
      <c r="DJ463" s="6"/>
      <c r="DK463" s="6"/>
      <c r="DL463" s="6"/>
      <c r="DM463" s="6"/>
      <c r="DN463" s="6"/>
      <c r="DO463" s="6"/>
      <c r="DP463" s="6"/>
      <c r="DQ463" s="6"/>
      <c r="DR463" s="6"/>
      <c r="DS463" s="6"/>
      <c r="DT463" s="6"/>
      <c r="DU463" s="6"/>
      <c r="DV463" s="6"/>
      <c r="DW463" s="6"/>
      <c r="DX463" s="6"/>
      <c r="DY463" s="6"/>
      <c r="DZ463" s="6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  <c r="ER463" s="6"/>
      <c r="ES463" s="6"/>
      <c r="ET463" s="6"/>
      <c r="EU463" s="6"/>
      <c r="EV463" s="6"/>
      <c r="EW463" s="6"/>
      <c r="EX463" s="6"/>
      <c r="EY463" s="6"/>
      <c r="EZ463" s="6"/>
      <c r="FA463" s="6"/>
      <c r="FB463" s="6"/>
      <c r="FC463" s="6"/>
      <c r="FD463" s="6"/>
      <c r="FE463" s="6"/>
      <c r="FF463" s="6"/>
      <c r="FG463" s="6"/>
      <c r="FH463" s="6"/>
      <c r="FI463" s="6"/>
      <c r="FJ463" s="6"/>
      <c r="FK463" s="6"/>
      <c r="FL463" s="6"/>
      <c r="FM463" s="6"/>
      <c r="FN463" s="6"/>
      <c r="FO463" s="6"/>
      <c r="FP463" s="6"/>
      <c r="FQ463" s="6"/>
      <c r="FR463" s="6"/>
      <c r="FS463" s="6"/>
      <c r="FT463" s="6"/>
      <c r="FU463" s="6"/>
      <c r="FV463" s="6"/>
      <c r="FW463" s="6"/>
      <c r="FX463" s="6"/>
      <c r="FY463" s="6"/>
      <c r="FZ463" s="6"/>
      <c r="GA463" s="6"/>
      <c r="GB463" s="6"/>
      <c r="GC463" s="6"/>
      <c r="GD463" s="6"/>
      <c r="GE463" s="6"/>
      <c r="GF463" s="6"/>
      <c r="GG463" s="6"/>
      <c r="GH463" s="6"/>
      <c r="GI463" s="6"/>
      <c r="GJ463" s="6"/>
      <c r="GK463" s="6"/>
      <c r="GL463" s="6"/>
      <c r="GM463" s="6"/>
      <c r="GN463" s="6"/>
      <c r="GO463" s="6"/>
      <c r="GP463" s="6"/>
      <c r="GQ463" s="6"/>
      <c r="GR463" s="6"/>
      <c r="GS463" s="6"/>
      <c r="GT463" s="6"/>
      <c r="GU463" s="6"/>
      <c r="GV463" s="6"/>
      <c r="GW463" s="6"/>
      <c r="GX463" s="6"/>
      <c r="GY463" s="6"/>
      <c r="GZ463" s="6"/>
      <c r="HA463" s="6"/>
      <c r="HB463" s="6"/>
      <c r="HC463" s="6"/>
      <c r="HD463" s="6"/>
      <c r="HE463" s="6"/>
      <c r="HF463" s="6"/>
      <c r="HG463" s="6"/>
      <c r="HH463" s="6"/>
      <c r="HI463" s="6"/>
      <c r="HJ463" s="6"/>
      <c r="HK463" s="6"/>
      <c r="HL463" s="6"/>
      <c r="HM463" s="6"/>
      <c r="HN463" s="6"/>
      <c r="HO463" s="6"/>
      <c r="HP463" s="6"/>
      <c r="HQ463" s="6"/>
      <c r="HR463" s="6"/>
      <c r="HS463" s="6"/>
      <c r="HT463" s="6"/>
      <c r="HU463" s="6"/>
    </row>
    <row r="464" spans="9:229"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  <c r="CP464" s="6"/>
      <c r="CQ464" s="6"/>
      <c r="CR464" s="6"/>
      <c r="CS464" s="6"/>
      <c r="CT464" s="6"/>
      <c r="CU464" s="6"/>
      <c r="CV464" s="6"/>
      <c r="CW464" s="6"/>
      <c r="CX464" s="6"/>
      <c r="CY464" s="6"/>
      <c r="CZ464" s="6"/>
      <c r="DA464" s="6"/>
      <c r="DB464" s="6"/>
      <c r="DC464" s="6"/>
      <c r="DD464" s="6"/>
      <c r="DE464" s="6"/>
      <c r="DF464" s="6"/>
      <c r="DG464" s="6"/>
      <c r="DH464" s="6"/>
      <c r="DI464" s="6"/>
      <c r="DJ464" s="6"/>
      <c r="DK464" s="6"/>
      <c r="DL464" s="6"/>
      <c r="DM464" s="6"/>
      <c r="DN464" s="6"/>
      <c r="DO464" s="6"/>
      <c r="DP464" s="6"/>
      <c r="DQ464" s="6"/>
      <c r="DR464" s="6"/>
      <c r="DS464" s="6"/>
      <c r="DT464" s="6"/>
      <c r="DU464" s="6"/>
      <c r="DV464" s="6"/>
      <c r="DW464" s="6"/>
      <c r="DX464" s="6"/>
      <c r="DY464" s="6"/>
      <c r="DZ464" s="6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  <c r="ER464" s="6"/>
      <c r="ES464" s="6"/>
      <c r="ET464" s="6"/>
      <c r="EU464" s="6"/>
      <c r="EV464" s="6"/>
      <c r="EW464" s="6"/>
      <c r="EX464" s="6"/>
      <c r="EY464" s="6"/>
      <c r="EZ464" s="6"/>
      <c r="FA464" s="6"/>
      <c r="FB464" s="6"/>
      <c r="FC464" s="6"/>
      <c r="FD464" s="6"/>
      <c r="FE464" s="6"/>
      <c r="FF464" s="6"/>
      <c r="FG464" s="6"/>
      <c r="FH464" s="6"/>
      <c r="FI464" s="6"/>
      <c r="FJ464" s="6"/>
      <c r="FK464" s="6"/>
      <c r="FL464" s="6"/>
      <c r="FM464" s="6"/>
      <c r="FN464" s="6"/>
      <c r="FO464" s="6"/>
      <c r="FP464" s="6"/>
      <c r="FQ464" s="6"/>
      <c r="FR464" s="6"/>
      <c r="FS464" s="6"/>
      <c r="FT464" s="6"/>
      <c r="FU464" s="6"/>
      <c r="FV464" s="6"/>
      <c r="FW464" s="6"/>
      <c r="FX464" s="6"/>
      <c r="FY464" s="6"/>
      <c r="FZ464" s="6"/>
      <c r="GA464" s="6"/>
      <c r="GB464" s="6"/>
      <c r="GC464" s="6"/>
      <c r="GD464" s="6"/>
      <c r="GE464" s="6"/>
      <c r="GF464" s="6"/>
      <c r="GG464" s="6"/>
      <c r="GH464" s="6"/>
      <c r="GI464" s="6"/>
      <c r="GJ464" s="6"/>
      <c r="GK464" s="6"/>
      <c r="GL464" s="6"/>
      <c r="GM464" s="6"/>
      <c r="GN464" s="6"/>
      <c r="GO464" s="6"/>
      <c r="GP464" s="6"/>
      <c r="GQ464" s="6"/>
      <c r="GR464" s="6"/>
      <c r="GS464" s="6"/>
      <c r="GT464" s="6"/>
      <c r="GU464" s="6"/>
      <c r="GV464" s="6"/>
      <c r="GW464" s="6"/>
      <c r="GX464" s="6"/>
      <c r="GY464" s="6"/>
      <c r="GZ464" s="6"/>
      <c r="HA464" s="6"/>
      <c r="HB464" s="6"/>
      <c r="HC464" s="6"/>
      <c r="HD464" s="6"/>
      <c r="HE464" s="6"/>
      <c r="HF464" s="6"/>
      <c r="HG464" s="6"/>
      <c r="HH464" s="6"/>
      <c r="HI464" s="6"/>
      <c r="HJ464" s="6"/>
      <c r="HK464" s="6"/>
      <c r="HL464" s="6"/>
      <c r="HM464" s="6"/>
      <c r="HN464" s="6"/>
      <c r="HO464" s="6"/>
      <c r="HP464" s="6"/>
      <c r="HQ464" s="6"/>
      <c r="HR464" s="6"/>
      <c r="HS464" s="6"/>
      <c r="HT464" s="6"/>
      <c r="HU464" s="6"/>
    </row>
    <row r="465" spans="9:229"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  <c r="CP465" s="6"/>
      <c r="CQ465" s="6"/>
      <c r="CR465" s="6"/>
      <c r="CS465" s="6"/>
      <c r="CT465" s="6"/>
      <c r="CU465" s="6"/>
      <c r="CV465" s="6"/>
      <c r="CW465" s="6"/>
      <c r="CX465" s="6"/>
      <c r="CY465" s="6"/>
      <c r="CZ465" s="6"/>
      <c r="DA465" s="6"/>
      <c r="DB465" s="6"/>
      <c r="DC465" s="6"/>
      <c r="DD465" s="6"/>
      <c r="DE465" s="6"/>
      <c r="DF465" s="6"/>
      <c r="DG465" s="6"/>
      <c r="DH465" s="6"/>
      <c r="DI465" s="6"/>
      <c r="DJ465" s="6"/>
      <c r="DK465" s="6"/>
      <c r="DL465" s="6"/>
      <c r="DM465" s="6"/>
      <c r="DN465" s="6"/>
      <c r="DO465" s="6"/>
      <c r="DP465" s="6"/>
      <c r="DQ465" s="6"/>
      <c r="DR465" s="6"/>
      <c r="DS465" s="6"/>
      <c r="DT465" s="6"/>
      <c r="DU465" s="6"/>
      <c r="DV465" s="6"/>
      <c r="DW465" s="6"/>
      <c r="DX465" s="6"/>
      <c r="DY465" s="6"/>
      <c r="DZ465" s="6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  <c r="ER465" s="6"/>
      <c r="ES465" s="6"/>
      <c r="ET465" s="6"/>
      <c r="EU465" s="6"/>
      <c r="EV465" s="6"/>
      <c r="EW465" s="6"/>
      <c r="EX465" s="6"/>
      <c r="EY465" s="6"/>
      <c r="EZ465" s="6"/>
      <c r="FA465" s="6"/>
      <c r="FB465" s="6"/>
      <c r="FC465" s="6"/>
      <c r="FD465" s="6"/>
      <c r="FE465" s="6"/>
      <c r="FF465" s="6"/>
      <c r="FG465" s="6"/>
      <c r="FH465" s="6"/>
      <c r="FI465" s="6"/>
      <c r="FJ465" s="6"/>
      <c r="FK465" s="6"/>
      <c r="FL465" s="6"/>
      <c r="FM465" s="6"/>
      <c r="FN465" s="6"/>
      <c r="FO465" s="6"/>
      <c r="FP465" s="6"/>
      <c r="FQ465" s="6"/>
      <c r="FR465" s="6"/>
      <c r="FS465" s="6"/>
      <c r="FT465" s="6"/>
      <c r="FU465" s="6"/>
      <c r="FV465" s="6"/>
      <c r="FW465" s="6"/>
      <c r="FX465" s="6"/>
      <c r="FY465" s="6"/>
      <c r="FZ465" s="6"/>
      <c r="GA465" s="6"/>
      <c r="GB465" s="6"/>
      <c r="GC465" s="6"/>
      <c r="GD465" s="6"/>
      <c r="GE465" s="6"/>
      <c r="GF465" s="6"/>
      <c r="GG465" s="6"/>
      <c r="GH465" s="6"/>
      <c r="GI465" s="6"/>
      <c r="GJ465" s="6"/>
      <c r="GK465" s="6"/>
      <c r="GL465" s="6"/>
      <c r="GM465" s="6"/>
      <c r="GN465" s="6"/>
      <c r="GO465" s="6"/>
      <c r="GP465" s="6"/>
      <c r="GQ465" s="6"/>
      <c r="GR465" s="6"/>
      <c r="GS465" s="6"/>
      <c r="GT465" s="6"/>
      <c r="GU465" s="6"/>
      <c r="GV465" s="6"/>
      <c r="GW465" s="6"/>
      <c r="GX465" s="6"/>
      <c r="GY465" s="6"/>
      <c r="GZ465" s="6"/>
      <c r="HA465" s="6"/>
      <c r="HB465" s="6"/>
      <c r="HC465" s="6"/>
      <c r="HD465" s="6"/>
      <c r="HE465" s="6"/>
      <c r="HF465" s="6"/>
      <c r="HG465" s="6"/>
      <c r="HH465" s="6"/>
      <c r="HI465" s="6"/>
      <c r="HJ465" s="6"/>
      <c r="HK465" s="6"/>
      <c r="HL465" s="6"/>
      <c r="HM465" s="6"/>
      <c r="HN465" s="6"/>
      <c r="HO465" s="6"/>
      <c r="HP465" s="6"/>
      <c r="HQ465" s="6"/>
      <c r="HR465" s="6"/>
      <c r="HS465" s="6"/>
      <c r="HT465" s="6"/>
      <c r="HU465" s="6"/>
    </row>
    <row r="466" spans="9:229"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  <c r="CP466" s="6"/>
      <c r="CQ466" s="6"/>
      <c r="CR466" s="6"/>
      <c r="CS466" s="6"/>
      <c r="CT466" s="6"/>
      <c r="CU466" s="6"/>
      <c r="CV466" s="6"/>
      <c r="CW466" s="6"/>
      <c r="CX466" s="6"/>
      <c r="CY466" s="6"/>
      <c r="CZ466" s="6"/>
      <c r="DA466" s="6"/>
      <c r="DB466" s="6"/>
      <c r="DC466" s="6"/>
      <c r="DD466" s="6"/>
      <c r="DE466" s="6"/>
      <c r="DF466" s="6"/>
      <c r="DG466" s="6"/>
      <c r="DH466" s="6"/>
      <c r="DI466" s="6"/>
      <c r="DJ466" s="6"/>
      <c r="DK466" s="6"/>
      <c r="DL466" s="6"/>
      <c r="DM466" s="6"/>
      <c r="DN466" s="6"/>
      <c r="DO466" s="6"/>
      <c r="DP466" s="6"/>
      <c r="DQ466" s="6"/>
      <c r="DR466" s="6"/>
      <c r="DS466" s="6"/>
      <c r="DT466" s="6"/>
      <c r="DU466" s="6"/>
      <c r="DV466" s="6"/>
      <c r="DW466" s="6"/>
      <c r="DX466" s="6"/>
      <c r="DY466" s="6"/>
      <c r="DZ466" s="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  <c r="ER466" s="6"/>
      <c r="ES466" s="6"/>
      <c r="ET466" s="6"/>
      <c r="EU466" s="6"/>
      <c r="EV466" s="6"/>
      <c r="EW466" s="6"/>
      <c r="EX466" s="6"/>
      <c r="EY466" s="6"/>
      <c r="EZ466" s="6"/>
      <c r="FA466" s="6"/>
      <c r="FB466" s="6"/>
      <c r="FC466" s="6"/>
      <c r="FD466" s="6"/>
      <c r="FE466" s="6"/>
      <c r="FF466" s="6"/>
      <c r="FG466" s="6"/>
      <c r="FH466" s="6"/>
      <c r="FI466" s="6"/>
      <c r="FJ466" s="6"/>
      <c r="FK466" s="6"/>
      <c r="FL466" s="6"/>
      <c r="FM466" s="6"/>
      <c r="FN466" s="6"/>
      <c r="FO466" s="6"/>
      <c r="FP466" s="6"/>
      <c r="FQ466" s="6"/>
      <c r="FR466" s="6"/>
      <c r="FS466" s="6"/>
      <c r="FT466" s="6"/>
      <c r="FU466" s="6"/>
      <c r="FV466" s="6"/>
      <c r="FW466" s="6"/>
      <c r="FX466" s="6"/>
      <c r="FY466" s="6"/>
      <c r="FZ466" s="6"/>
      <c r="GA466" s="6"/>
      <c r="GB466" s="6"/>
      <c r="GC466" s="6"/>
      <c r="GD466" s="6"/>
      <c r="GE466" s="6"/>
      <c r="GF466" s="6"/>
      <c r="GG466" s="6"/>
      <c r="GH466" s="6"/>
      <c r="GI466" s="6"/>
      <c r="GJ466" s="6"/>
      <c r="GK466" s="6"/>
      <c r="GL466" s="6"/>
      <c r="GM466" s="6"/>
      <c r="GN466" s="6"/>
      <c r="GO466" s="6"/>
      <c r="GP466" s="6"/>
      <c r="GQ466" s="6"/>
      <c r="GR466" s="6"/>
      <c r="GS466" s="6"/>
      <c r="GT466" s="6"/>
      <c r="GU466" s="6"/>
      <c r="GV466" s="6"/>
      <c r="GW466" s="6"/>
      <c r="GX466" s="6"/>
      <c r="GY466" s="6"/>
      <c r="GZ466" s="6"/>
      <c r="HA466" s="6"/>
      <c r="HB466" s="6"/>
      <c r="HC466" s="6"/>
      <c r="HD466" s="6"/>
      <c r="HE466" s="6"/>
      <c r="HF466" s="6"/>
      <c r="HG466" s="6"/>
      <c r="HH466" s="6"/>
      <c r="HI466" s="6"/>
      <c r="HJ466" s="6"/>
      <c r="HK466" s="6"/>
      <c r="HL466" s="6"/>
      <c r="HM466" s="6"/>
      <c r="HN466" s="6"/>
      <c r="HO466" s="6"/>
      <c r="HP466" s="6"/>
      <c r="HQ466" s="6"/>
      <c r="HR466" s="6"/>
      <c r="HS466" s="6"/>
      <c r="HT466" s="6"/>
      <c r="HU466" s="6"/>
    </row>
    <row r="467" spans="9:229"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BV467" s="6"/>
      <c r="BW467" s="6"/>
      <c r="BX467" s="6"/>
      <c r="BY467" s="6"/>
      <c r="BZ467" s="6"/>
      <c r="CA467" s="6"/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  <c r="CP467" s="6"/>
      <c r="CQ467" s="6"/>
      <c r="CR467" s="6"/>
      <c r="CS467" s="6"/>
      <c r="CT467" s="6"/>
      <c r="CU467" s="6"/>
      <c r="CV467" s="6"/>
      <c r="CW467" s="6"/>
      <c r="CX467" s="6"/>
      <c r="CY467" s="6"/>
      <c r="CZ467" s="6"/>
      <c r="DA467" s="6"/>
      <c r="DB467" s="6"/>
      <c r="DC467" s="6"/>
      <c r="DD467" s="6"/>
      <c r="DE467" s="6"/>
      <c r="DF467" s="6"/>
      <c r="DG467" s="6"/>
      <c r="DH467" s="6"/>
      <c r="DI467" s="6"/>
      <c r="DJ467" s="6"/>
      <c r="DK467" s="6"/>
      <c r="DL467" s="6"/>
      <c r="DM467" s="6"/>
      <c r="DN467" s="6"/>
      <c r="DO467" s="6"/>
      <c r="DP467" s="6"/>
      <c r="DQ467" s="6"/>
      <c r="DR467" s="6"/>
      <c r="DS467" s="6"/>
      <c r="DT467" s="6"/>
      <c r="DU467" s="6"/>
      <c r="DV467" s="6"/>
      <c r="DW467" s="6"/>
      <c r="DX467" s="6"/>
      <c r="DY467" s="6"/>
      <c r="DZ467" s="6"/>
      <c r="EA467" s="6"/>
      <c r="EB467" s="6"/>
      <c r="EC467" s="6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  <c r="ER467" s="6"/>
      <c r="ES467" s="6"/>
      <c r="ET467" s="6"/>
      <c r="EU467" s="6"/>
      <c r="EV467" s="6"/>
      <c r="EW467" s="6"/>
      <c r="EX467" s="6"/>
      <c r="EY467" s="6"/>
      <c r="EZ467" s="6"/>
      <c r="FA467" s="6"/>
      <c r="FB467" s="6"/>
      <c r="FC467" s="6"/>
      <c r="FD467" s="6"/>
      <c r="FE467" s="6"/>
      <c r="FF467" s="6"/>
      <c r="FG467" s="6"/>
      <c r="FH467" s="6"/>
      <c r="FI467" s="6"/>
      <c r="FJ467" s="6"/>
      <c r="FK467" s="6"/>
      <c r="FL467" s="6"/>
      <c r="FM467" s="6"/>
      <c r="FN467" s="6"/>
      <c r="FO467" s="6"/>
      <c r="FP467" s="6"/>
      <c r="FQ467" s="6"/>
      <c r="FR467" s="6"/>
      <c r="FS467" s="6"/>
      <c r="FT467" s="6"/>
      <c r="FU467" s="6"/>
      <c r="FV467" s="6"/>
      <c r="FW467" s="6"/>
      <c r="FX467" s="6"/>
      <c r="FY467" s="6"/>
      <c r="FZ467" s="6"/>
      <c r="GA467" s="6"/>
      <c r="GB467" s="6"/>
      <c r="GC467" s="6"/>
      <c r="GD467" s="6"/>
      <c r="GE467" s="6"/>
      <c r="GF467" s="6"/>
      <c r="GG467" s="6"/>
      <c r="GH467" s="6"/>
      <c r="GI467" s="6"/>
      <c r="GJ467" s="6"/>
      <c r="GK467" s="6"/>
      <c r="GL467" s="6"/>
      <c r="GM467" s="6"/>
      <c r="GN467" s="6"/>
      <c r="GO467" s="6"/>
      <c r="GP467" s="6"/>
      <c r="GQ467" s="6"/>
      <c r="GR467" s="6"/>
      <c r="GS467" s="6"/>
      <c r="GT467" s="6"/>
      <c r="GU467" s="6"/>
      <c r="GV467" s="6"/>
      <c r="GW467" s="6"/>
      <c r="GX467" s="6"/>
      <c r="GY467" s="6"/>
      <c r="GZ467" s="6"/>
      <c r="HA467" s="6"/>
      <c r="HB467" s="6"/>
      <c r="HC467" s="6"/>
      <c r="HD467" s="6"/>
      <c r="HE467" s="6"/>
      <c r="HF467" s="6"/>
      <c r="HG467" s="6"/>
      <c r="HH467" s="6"/>
      <c r="HI467" s="6"/>
      <c r="HJ467" s="6"/>
      <c r="HK467" s="6"/>
      <c r="HL467" s="6"/>
      <c r="HM467" s="6"/>
      <c r="HN467" s="6"/>
      <c r="HO467" s="6"/>
      <c r="HP467" s="6"/>
      <c r="HQ467" s="6"/>
      <c r="HR467" s="6"/>
      <c r="HS467" s="6"/>
      <c r="HT467" s="6"/>
      <c r="HU467" s="6"/>
    </row>
    <row r="468" spans="9:229"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BV468" s="6"/>
      <c r="BW468" s="6"/>
      <c r="BX468" s="6"/>
      <c r="BY468" s="6"/>
      <c r="BZ468" s="6"/>
      <c r="CA468" s="6"/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  <c r="CP468" s="6"/>
      <c r="CQ468" s="6"/>
      <c r="CR468" s="6"/>
      <c r="CS468" s="6"/>
      <c r="CT468" s="6"/>
      <c r="CU468" s="6"/>
      <c r="CV468" s="6"/>
      <c r="CW468" s="6"/>
      <c r="CX468" s="6"/>
      <c r="CY468" s="6"/>
      <c r="CZ468" s="6"/>
      <c r="DA468" s="6"/>
      <c r="DB468" s="6"/>
      <c r="DC468" s="6"/>
      <c r="DD468" s="6"/>
      <c r="DE468" s="6"/>
      <c r="DF468" s="6"/>
      <c r="DG468" s="6"/>
      <c r="DH468" s="6"/>
      <c r="DI468" s="6"/>
      <c r="DJ468" s="6"/>
      <c r="DK468" s="6"/>
      <c r="DL468" s="6"/>
      <c r="DM468" s="6"/>
      <c r="DN468" s="6"/>
      <c r="DO468" s="6"/>
      <c r="DP468" s="6"/>
      <c r="DQ468" s="6"/>
      <c r="DR468" s="6"/>
      <c r="DS468" s="6"/>
      <c r="DT468" s="6"/>
      <c r="DU468" s="6"/>
      <c r="DV468" s="6"/>
      <c r="DW468" s="6"/>
      <c r="DX468" s="6"/>
      <c r="DY468" s="6"/>
      <c r="DZ468" s="6"/>
      <c r="EA468" s="6"/>
      <c r="EB468" s="6"/>
      <c r="EC468" s="6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  <c r="ER468" s="6"/>
      <c r="ES468" s="6"/>
      <c r="ET468" s="6"/>
      <c r="EU468" s="6"/>
      <c r="EV468" s="6"/>
      <c r="EW468" s="6"/>
      <c r="EX468" s="6"/>
      <c r="EY468" s="6"/>
      <c r="EZ468" s="6"/>
      <c r="FA468" s="6"/>
      <c r="FB468" s="6"/>
      <c r="FC468" s="6"/>
      <c r="FD468" s="6"/>
      <c r="FE468" s="6"/>
      <c r="FF468" s="6"/>
      <c r="FG468" s="6"/>
      <c r="FH468" s="6"/>
      <c r="FI468" s="6"/>
      <c r="FJ468" s="6"/>
      <c r="FK468" s="6"/>
      <c r="FL468" s="6"/>
      <c r="FM468" s="6"/>
      <c r="FN468" s="6"/>
      <c r="FO468" s="6"/>
      <c r="FP468" s="6"/>
      <c r="FQ468" s="6"/>
      <c r="FR468" s="6"/>
      <c r="FS468" s="6"/>
      <c r="FT468" s="6"/>
      <c r="FU468" s="6"/>
      <c r="FV468" s="6"/>
      <c r="FW468" s="6"/>
      <c r="FX468" s="6"/>
      <c r="FY468" s="6"/>
      <c r="FZ468" s="6"/>
      <c r="GA468" s="6"/>
      <c r="GB468" s="6"/>
      <c r="GC468" s="6"/>
      <c r="GD468" s="6"/>
      <c r="GE468" s="6"/>
      <c r="GF468" s="6"/>
      <c r="GG468" s="6"/>
      <c r="GH468" s="6"/>
      <c r="GI468" s="6"/>
      <c r="GJ468" s="6"/>
      <c r="GK468" s="6"/>
      <c r="GL468" s="6"/>
      <c r="GM468" s="6"/>
      <c r="GN468" s="6"/>
      <c r="GO468" s="6"/>
      <c r="GP468" s="6"/>
      <c r="GQ468" s="6"/>
      <c r="GR468" s="6"/>
      <c r="GS468" s="6"/>
      <c r="GT468" s="6"/>
      <c r="GU468" s="6"/>
      <c r="GV468" s="6"/>
      <c r="GW468" s="6"/>
      <c r="GX468" s="6"/>
      <c r="GY468" s="6"/>
      <c r="GZ468" s="6"/>
      <c r="HA468" s="6"/>
      <c r="HB468" s="6"/>
      <c r="HC468" s="6"/>
      <c r="HD468" s="6"/>
      <c r="HE468" s="6"/>
      <c r="HF468" s="6"/>
      <c r="HG468" s="6"/>
      <c r="HH468" s="6"/>
      <c r="HI468" s="6"/>
      <c r="HJ468" s="6"/>
      <c r="HK468" s="6"/>
      <c r="HL468" s="6"/>
      <c r="HM468" s="6"/>
      <c r="HN468" s="6"/>
      <c r="HO468" s="6"/>
      <c r="HP468" s="6"/>
      <c r="HQ468" s="6"/>
      <c r="HR468" s="6"/>
      <c r="HS468" s="6"/>
      <c r="HT468" s="6"/>
      <c r="HU468" s="6"/>
    </row>
    <row r="469" spans="9:229"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BV469" s="6"/>
      <c r="BW469" s="6"/>
      <c r="BX469" s="6"/>
      <c r="BY469" s="6"/>
      <c r="BZ469" s="6"/>
      <c r="CA469" s="6"/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  <c r="CP469" s="6"/>
      <c r="CQ469" s="6"/>
      <c r="CR469" s="6"/>
      <c r="CS469" s="6"/>
      <c r="CT469" s="6"/>
      <c r="CU469" s="6"/>
      <c r="CV469" s="6"/>
      <c r="CW469" s="6"/>
      <c r="CX469" s="6"/>
      <c r="CY469" s="6"/>
      <c r="CZ469" s="6"/>
      <c r="DA469" s="6"/>
      <c r="DB469" s="6"/>
      <c r="DC469" s="6"/>
      <c r="DD469" s="6"/>
      <c r="DE469" s="6"/>
      <c r="DF469" s="6"/>
      <c r="DG469" s="6"/>
      <c r="DH469" s="6"/>
      <c r="DI469" s="6"/>
      <c r="DJ469" s="6"/>
      <c r="DK469" s="6"/>
      <c r="DL469" s="6"/>
      <c r="DM469" s="6"/>
      <c r="DN469" s="6"/>
      <c r="DO469" s="6"/>
      <c r="DP469" s="6"/>
      <c r="DQ469" s="6"/>
      <c r="DR469" s="6"/>
      <c r="DS469" s="6"/>
      <c r="DT469" s="6"/>
      <c r="DU469" s="6"/>
      <c r="DV469" s="6"/>
      <c r="DW469" s="6"/>
      <c r="DX469" s="6"/>
      <c r="DY469" s="6"/>
      <c r="DZ469" s="6"/>
      <c r="EA469" s="6"/>
      <c r="EB469" s="6"/>
      <c r="EC469" s="6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  <c r="ER469" s="6"/>
      <c r="ES469" s="6"/>
      <c r="ET469" s="6"/>
      <c r="EU469" s="6"/>
      <c r="EV469" s="6"/>
      <c r="EW469" s="6"/>
      <c r="EX469" s="6"/>
      <c r="EY469" s="6"/>
      <c r="EZ469" s="6"/>
      <c r="FA469" s="6"/>
      <c r="FB469" s="6"/>
      <c r="FC469" s="6"/>
      <c r="FD469" s="6"/>
      <c r="FE469" s="6"/>
      <c r="FF469" s="6"/>
      <c r="FG469" s="6"/>
      <c r="FH469" s="6"/>
      <c r="FI469" s="6"/>
      <c r="FJ469" s="6"/>
      <c r="FK469" s="6"/>
      <c r="FL469" s="6"/>
      <c r="FM469" s="6"/>
      <c r="FN469" s="6"/>
      <c r="FO469" s="6"/>
      <c r="FP469" s="6"/>
      <c r="FQ469" s="6"/>
      <c r="FR469" s="6"/>
      <c r="FS469" s="6"/>
      <c r="FT469" s="6"/>
      <c r="FU469" s="6"/>
      <c r="FV469" s="6"/>
      <c r="FW469" s="6"/>
      <c r="FX469" s="6"/>
      <c r="FY469" s="6"/>
      <c r="FZ469" s="6"/>
      <c r="GA469" s="6"/>
      <c r="GB469" s="6"/>
      <c r="GC469" s="6"/>
      <c r="GD469" s="6"/>
      <c r="GE469" s="6"/>
      <c r="GF469" s="6"/>
      <c r="GG469" s="6"/>
      <c r="GH469" s="6"/>
      <c r="GI469" s="6"/>
      <c r="GJ469" s="6"/>
      <c r="GK469" s="6"/>
      <c r="GL469" s="6"/>
      <c r="GM469" s="6"/>
      <c r="GN469" s="6"/>
      <c r="GO469" s="6"/>
      <c r="GP469" s="6"/>
      <c r="GQ469" s="6"/>
      <c r="GR469" s="6"/>
      <c r="GS469" s="6"/>
      <c r="GT469" s="6"/>
      <c r="GU469" s="6"/>
      <c r="GV469" s="6"/>
      <c r="GW469" s="6"/>
      <c r="GX469" s="6"/>
      <c r="GY469" s="6"/>
      <c r="GZ469" s="6"/>
      <c r="HA469" s="6"/>
      <c r="HB469" s="6"/>
      <c r="HC469" s="6"/>
      <c r="HD469" s="6"/>
      <c r="HE469" s="6"/>
      <c r="HF469" s="6"/>
      <c r="HG469" s="6"/>
      <c r="HH469" s="6"/>
      <c r="HI469" s="6"/>
      <c r="HJ469" s="6"/>
      <c r="HK469" s="6"/>
      <c r="HL469" s="6"/>
      <c r="HM469" s="6"/>
      <c r="HN469" s="6"/>
      <c r="HO469" s="6"/>
      <c r="HP469" s="6"/>
      <c r="HQ469" s="6"/>
      <c r="HR469" s="6"/>
      <c r="HS469" s="6"/>
      <c r="HT469" s="6"/>
      <c r="HU469" s="6"/>
    </row>
    <row r="470" spans="9:229"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BV470" s="6"/>
      <c r="BW470" s="6"/>
      <c r="BX470" s="6"/>
      <c r="BY470" s="6"/>
      <c r="BZ470" s="6"/>
      <c r="CA470" s="6"/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  <c r="CP470" s="6"/>
      <c r="CQ470" s="6"/>
      <c r="CR470" s="6"/>
      <c r="CS470" s="6"/>
      <c r="CT470" s="6"/>
      <c r="CU470" s="6"/>
      <c r="CV470" s="6"/>
      <c r="CW470" s="6"/>
      <c r="CX470" s="6"/>
      <c r="CY470" s="6"/>
      <c r="CZ470" s="6"/>
      <c r="DA470" s="6"/>
      <c r="DB470" s="6"/>
      <c r="DC470" s="6"/>
      <c r="DD470" s="6"/>
      <c r="DE470" s="6"/>
      <c r="DF470" s="6"/>
      <c r="DG470" s="6"/>
      <c r="DH470" s="6"/>
      <c r="DI470" s="6"/>
      <c r="DJ470" s="6"/>
      <c r="DK470" s="6"/>
      <c r="DL470" s="6"/>
      <c r="DM470" s="6"/>
      <c r="DN470" s="6"/>
      <c r="DO470" s="6"/>
      <c r="DP470" s="6"/>
      <c r="DQ470" s="6"/>
      <c r="DR470" s="6"/>
      <c r="DS470" s="6"/>
      <c r="DT470" s="6"/>
      <c r="DU470" s="6"/>
      <c r="DV470" s="6"/>
      <c r="DW470" s="6"/>
      <c r="DX470" s="6"/>
      <c r="DY470" s="6"/>
      <c r="DZ470" s="6"/>
      <c r="EA470" s="6"/>
      <c r="EB470" s="6"/>
      <c r="EC470" s="6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  <c r="ER470" s="6"/>
      <c r="ES470" s="6"/>
      <c r="ET470" s="6"/>
      <c r="EU470" s="6"/>
      <c r="EV470" s="6"/>
      <c r="EW470" s="6"/>
      <c r="EX470" s="6"/>
      <c r="EY470" s="6"/>
      <c r="EZ470" s="6"/>
      <c r="FA470" s="6"/>
      <c r="FB470" s="6"/>
      <c r="FC470" s="6"/>
      <c r="FD470" s="6"/>
      <c r="FE470" s="6"/>
      <c r="FF470" s="6"/>
      <c r="FG470" s="6"/>
      <c r="FH470" s="6"/>
      <c r="FI470" s="6"/>
      <c r="FJ470" s="6"/>
      <c r="FK470" s="6"/>
      <c r="FL470" s="6"/>
      <c r="FM470" s="6"/>
      <c r="FN470" s="6"/>
      <c r="FO470" s="6"/>
      <c r="FP470" s="6"/>
      <c r="FQ470" s="6"/>
      <c r="FR470" s="6"/>
      <c r="FS470" s="6"/>
      <c r="FT470" s="6"/>
      <c r="FU470" s="6"/>
      <c r="FV470" s="6"/>
      <c r="FW470" s="6"/>
      <c r="FX470" s="6"/>
      <c r="FY470" s="6"/>
      <c r="FZ470" s="6"/>
      <c r="GA470" s="6"/>
      <c r="GB470" s="6"/>
      <c r="GC470" s="6"/>
      <c r="GD470" s="6"/>
      <c r="GE470" s="6"/>
      <c r="GF470" s="6"/>
      <c r="GG470" s="6"/>
      <c r="GH470" s="6"/>
      <c r="GI470" s="6"/>
      <c r="GJ470" s="6"/>
      <c r="GK470" s="6"/>
      <c r="GL470" s="6"/>
      <c r="GM470" s="6"/>
      <c r="GN470" s="6"/>
      <c r="GO470" s="6"/>
      <c r="GP470" s="6"/>
      <c r="GQ470" s="6"/>
      <c r="GR470" s="6"/>
      <c r="GS470" s="6"/>
      <c r="GT470" s="6"/>
      <c r="GU470" s="6"/>
      <c r="GV470" s="6"/>
      <c r="GW470" s="6"/>
      <c r="GX470" s="6"/>
      <c r="GY470" s="6"/>
      <c r="GZ470" s="6"/>
      <c r="HA470" s="6"/>
      <c r="HB470" s="6"/>
      <c r="HC470" s="6"/>
      <c r="HD470" s="6"/>
      <c r="HE470" s="6"/>
      <c r="HF470" s="6"/>
      <c r="HG470" s="6"/>
      <c r="HH470" s="6"/>
      <c r="HI470" s="6"/>
      <c r="HJ470" s="6"/>
      <c r="HK470" s="6"/>
      <c r="HL470" s="6"/>
      <c r="HM470" s="6"/>
      <c r="HN470" s="6"/>
      <c r="HO470" s="6"/>
      <c r="HP470" s="6"/>
      <c r="HQ470" s="6"/>
      <c r="HR470" s="6"/>
      <c r="HS470" s="6"/>
      <c r="HT470" s="6"/>
      <c r="HU470" s="6"/>
    </row>
    <row r="471" spans="9:229"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BV471" s="6"/>
      <c r="BW471" s="6"/>
      <c r="BX471" s="6"/>
      <c r="BY471" s="6"/>
      <c r="BZ471" s="6"/>
      <c r="CA471" s="6"/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  <c r="CP471" s="6"/>
      <c r="CQ471" s="6"/>
      <c r="CR471" s="6"/>
      <c r="CS471" s="6"/>
      <c r="CT471" s="6"/>
      <c r="CU471" s="6"/>
      <c r="CV471" s="6"/>
      <c r="CW471" s="6"/>
      <c r="CX471" s="6"/>
      <c r="CY471" s="6"/>
      <c r="CZ471" s="6"/>
      <c r="DA471" s="6"/>
      <c r="DB471" s="6"/>
      <c r="DC471" s="6"/>
      <c r="DD471" s="6"/>
      <c r="DE471" s="6"/>
      <c r="DF471" s="6"/>
      <c r="DG471" s="6"/>
      <c r="DH471" s="6"/>
      <c r="DI471" s="6"/>
      <c r="DJ471" s="6"/>
      <c r="DK471" s="6"/>
      <c r="DL471" s="6"/>
      <c r="DM471" s="6"/>
      <c r="DN471" s="6"/>
      <c r="DO471" s="6"/>
      <c r="DP471" s="6"/>
      <c r="DQ471" s="6"/>
      <c r="DR471" s="6"/>
      <c r="DS471" s="6"/>
      <c r="DT471" s="6"/>
      <c r="DU471" s="6"/>
      <c r="DV471" s="6"/>
      <c r="DW471" s="6"/>
      <c r="DX471" s="6"/>
      <c r="DY471" s="6"/>
      <c r="DZ471" s="6"/>
      <c r="EA471" s="6"/>
      <c r="EB471" s="6"/>
      <c r="EC471" s="6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  <c r="ER471" s="6"/>
      <c r="ES471" s="6"/>
      <c r="ET471" s="6"/>
      <c r="EU471" s="6"/>
      <c r="EV471" s="6"/>
      <c r="EW471" s="6"/>
      <c r="EX471" s="6"/>
      <c r="EY471" s="6"/>
      <c r="EZ471" s="6"/>
      <c r="FA471" s="6"/>
      <c r="FB471" s="6"/>
      <c r="FC471" s="6"/>
      <c r="FD471" s="6"/>
      <c r="FE471" s="6"/>
      <c r="FF471" s="6"/>
      <c r="FG471" s="6"/>
      <c r="FH471" s="6"/>
      <c r="FI471" s="6"/>
      <c r="FJ471" s="6"/>
      <c r="FK471" s="6"/>
      <c r="FL471" s="6"/>
      <c r="FM471" s="6"/>
      <c r="FN471" s="6"/>
      <c r="FO471" s="6"/>
      <c r="FP471" s="6"/>
      <c r="FQ471" s="6"/>
      <c r="FR471" s="6"/>
      <c r="FS471" s="6"/>
      <c r="FT471" s="6"/>
      <c r="FU471" s="6"/>
      <c r="FV471" s="6"/>
      <c r="FW471" s="6"/>
      <c r="FX471" s="6"/>
      <c r="FY471" s="6"/>
      <c r="FZ471" s="6"/>
      <c r="GA471" s="6"/>
      <c r="GB471" s="6"/>
      <c r="GC471" s="6"/>
      <c r="GD471" s="6"/>
      <c r="GE471" s="6"/>
      <c r="GF471" s="6"/>
      <c r="GG471" s="6"/>
      <c r="GH471" s="6"/>
      <c r="GI471" s="6"/>
      <c r="GJ471" s="6"/>
      <c r="GK471" s="6"/>
      <c r="GL471" s="6"/>
      <c r="GM471" s="6"/>
      <c r="GN471" s="6"/>
      <c r="GO471" s="6"/>
      <c r="GP471" s="6"/>
      <c r="GQ471" s="6"/>
      <c r="GR471" s="6"/>
      <c r="GS471" s="6"/>
      <c r="GT471" s="6"/>
      <c r="GU471" s="6"/>
      <c r="GV471" s="6"/>
      <c r="GW471" s="6"/>
      <c r="GX471" s="6"/>
      <c r="GY471" s="6"/>
      <c r="GZ471" s="6"/>
      <c r="HA471" s="6"/>
      <c r="HB471" s="6"/>
      <c r="HC471" s="6"/>
      <c r="HD471" s="6"/>
      <c r="HE471" s="6"/>
      <c r="HF471" s="6"/>
      <c r="HG471" s="6"/>
      <c r="HH471" s="6"/>
      <c r="HI471" s="6"/>
      <c r="HJ471" s="6"/>
      <c r="HK471" s="6"/>
      <c r="HL471" s="6"/>
      <c r="HM471" s="6"/>
      <c r="HN471" s="6"/>
      <c r="HO471" s="6"/>
      <c r="HP471" s="6"/>
      <c r="HQ471" s="6"/>
      <c r="HR471" s="6"/>
      <c r="HS471" s="6"/>
      <c r="HT471" s="6"/>
      <c r="HU471" s="6"/>
    </row>
    <row r="472" spans="9:229"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BV472" s="6"/>
      <c r="BW472" s="6"/>
      <c r="BX472" s="6"/>
      <c r="BY472" s="6"/>
      <c r="BZ472" s="6"/>
      <c r="CA472" s="6"/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  <c r="CP472" s="6"/>
      <c r="CQ472" s="6"/>
      <c r="CR472" s="6"/>
      <c r="CS472" s="6"/>
      <c r="CT472" s="6"/>
      <c r="CU472" s="6"/>
      <c r="CV472" s="6"/>
      <c r="CW472" s="6"/>
      <c r="CX472" s="6"/>
      <c r="CY472" s="6"/>
      <c r="CZ472" s="6"/>
      <c r="DA472" s="6"/>
      <c r="DB472" s="6"/>
      <c r="DC472" s="6"/>
      <c r="DD472" s="6"/>
      <c r="DE472" s="6"/>
      <c r="DF472" s="6"/>
      <c r="DG472" s="6"/>
      <c r="DH472" s="6"/>
      <c r="DI472" s="6"/>
      <c r="DJ472" s="6"/>
      <c r="DK472" s="6"/>
      <c r="DL472" s="6"/>
      <c r="DM472" s="6"/>
      <c r="DN472" s="6"/>
      <c r="DO472" s="6"/>
      <c r="DP472" s="6"/>
      <c r="DQ472" s="6"/>
      <c r="DR472" s="6"/>
      <c r="DS472" s="6"/>
      <c r="DT472" s="6"/>
      <c r="DU472" s="6"/>
      <c r="DV472" s="6"/>
      <c r="DW472" s="6"/>
      <c r="DX472" s="6"/>
      <c r="DY472" s="6"/>
      <c r="DZ472" s="6"/>
      <c r="EA472" s="6"/>
      <c r="EB472" s="6"/>
      <c r="EC472" s="6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  <c r="ER472" s="6"/>
      <c r="ES472" s="6"/>
      <c r="ET472" s="6"/>
      <c r="EU472" s="6"/>
      <c r="EV472" s="6"/>
      <c r="EW472" s="6"/>
      <c r="EX472" s="6"/>
      <c r="EY472" s="6"/>
      <c r="EZ472" s="6"/>
      <c r="FA472" s="6"/>
      <c r="FB472" s="6"/>
      <c r="FC472" s="6"/>
      <c r="FD472" s="6"/>
      <c r="FE472" s="6"/>
      <c r="FF472" s="6"/>
      <c r="FG472" s="6"/>
      <c r="FH472" s="6"/>
      <c r="FI472" s="6"/>
      <c r="FJ472" s="6"/>
      <c r="FK472" s="6"/>
      <c r="FL472" s="6"/>
      <c r="FM472" s="6"/>
      <c r="FN472" s="6"/>
      <c r="FO472" s="6"/>
      <c r="FP472" s="6"/>
      <c r="FQ472" s="6"/>
      <c r="FR472" s="6"/>
      <c r="FS472" s="6"/>
      <c r="FT472" s="6"/>
      <c r="FU472" s="6"/>
      <c r="FV472" s="6"/>
      <c r="FW472" s="6"/>
      <c r="FX472" s="6"/>
      <c r="FY472" s="6"/>
      <c r="FZ472" s="6"/>
      <c r="GA472" s="6"/>
      <c r="GB472" s="6"/>
      <c r="GC472" s="6"/>
      <c r="GD472" s="6"/>
      <c r="GE472" s="6"/>
      <c r="GF472" s="6"/>
      <c r="GG472" s="6"/>
      <c r="GH472" s="6"/>
      <c r="GI472" s="6"/>
      <c r="GJ472" s="6"/>
      <c r="GK472" s="6"/>
      <c r="GL472" s="6"/>
      <c r="GM472" s="6"/>
      <c r="GN472" s="6"/>
      <c r="GO472" s="6"/>
      <c r="GP472" s="6"/>
      <c r="GQ472" s="6"/>
      <c r="GR472" s="6"/>
      <c r="GS472" s="6"/>
      <c r="GT472" s="6"/>
      <c r="GU472" s="6"/>
      <c r="GV472" s="6"/>
      <c r="GW472" s="6"/>
      <c r="GX472" s="6"/>
      <c r="GY472" s="6"/>
      <c r="GZ472" s="6"/>
      <c r="HA472" s="6"/>
      <c r="HB472" s="6"/>
      <c r="HC472" s="6"/>
      <c r="HD472" s="6"/>
      <c r="HE472" s="6"/>
      <c r="HF472" s="6"/>
      <c r="HG472" s="6"/>
      <c r="HH472" s="6"/>
      <c r="HI472" s="6"/>
      <c r="HJ472" s="6"/>
      <c r="HK472" s="6"/>
      <c r="HL472" s="6"/>
      <c r="HM472" s="6"/>
      <c r="HN472" s="6"/>
      <c r="HO472" s="6"/>
      <c r="HP472" s="6"/>
      <c r="HQ472" s="6"/>
      <c r="HR472" s="6"/>
      <c r="HS472" s="6"/>
      <c r="HT472" s="6"/>
      <c r="HU472" s="6"/>
    </row>
    <row r="473" spans="9:229"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BV473" s="6"/>
      <c r="BW473" s="6"/>
      <c r="BX473" s="6"/>
      <c r="BY473" s="6"/>
      <c r="BZ473" s="6"/>
      <c r="CA473" s="6"/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  <c r="CP473" s="6"/>
      <c r="CQ473" s="6"/>
      <c r="CR473" s="6"/>
      <c r="CS473" s="6"/>
      <c r="CT473" s="6"/>
      <c r="CU473" s="6"/>
      <c r="CV473" s="6"/>
      <c r="CW473" s="6"/>
      <c r="CX473" s="6"/>
      <c r="CY473" s="6"/>
      <c r="CZ473" s="6"/>
      <c r="DA473" s="6"/>
      <c r="DB473" s="6"/>
      <c r="DC473" s="6"/>
      <c r="DD473" s="6"/>
      <c r="DE473" s="6"/>
      <c r="DF473" s="6"/>
      <c r="DG473" s="6"/>
      <c r="DH473" s="6"/>
      <c r="DI473" s="6"/>
      <c r="DJ473" s="6"/>
      <c r="DK473" s="6"/>
      <c r="DL473" s="6"/>
      <c r="DM473" s="6"/>
      <c r="DN473" s="6"/>
      <c r="DO473" s="6"/>
      <c r="DP473" s="6"/>
      <c r="DQ473" s="6"/>
      <c r="DR473" s="6"/>
      <c r="DS473" s="6"/>
      <c r="DT473" s="6"/>
      <c r="DU473" s="6"/>
      <c r="DV473" s="6"/>
      <c r="DW473" s="6"/>
      <c r="DX473" s="6"/>
      <c r="DY473" s="6"/>
      <c r="DZ473" s="6"/>
      <c r="EA473" s="6"/>
      <c r="EB473" s="6"/>
      <c r="EC473" s="6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  <c r="ER473" s="6"/>
      <c r="ES473" s="6"/>
      <c r="ET473" s="6"/>
      <c r="EU473" s="6"/>
      <c r="EV473" s="6"/>
      <c r="EW473" s="6"/>
      <c r="EX473" s="6"/>
      <c r="EY473" s="6"/>
      <c r="EZ473" s="6"/>
      <c r="FA473" s="6"/>
      <c r="FB473" s="6"/>
      <c r="FC473" s="6"/>
      <c r="FD473" s="6"/>
      <c r="FE473" s="6"/>
      <c r="FF473" s="6"/>
      <c r="FG473" s="6"/>
      <c r="FH473" s="6"/>
      <c r="FI473" s="6"/>
      <c r="FJ473" s="6"/>
      <c r="FK473" s="6"/>
      <c r="FL473" s="6"/>
      <c r="FM473" s="6"/>
      <c r="FN473" s="6"/>
      <c r="FO473" s="6"/>
      <c r="FP473" s="6"/>
      <c r="FQ473" s="6"/>
      <c r="FR473" s="6"/>
      <c r="FS473" s="6"/>
      <c r="FT473" s="6"/>
      <c r="FU473" s="6"/>
      <c r="FV473" s="6"/>
      <c r="FW473" s="6"/>
      <c r="FX473" s="6"/>
      <c r="FY473" s="6"/>
      <c r="FZ473" s="6"/>
      <c r="GA473" s="6"/>
      <c r="GB473" s="6"/>
      <c r="GC473" s="6"/>
      <c r="GD473" s="6"/>
      <c r="GE473" s="6"/>
      <c r="GF473" s="6"/>
      <c r="GG473" s="6"/>
      <c r="GH473" s="6"/>
      <c r="GI473" s="6"/>
      <c r="GJ473" s="6"/>
      <c r="GK473" s="6"/>
      <c r="GL473" s="6"/>
      <c r="GM473" s="6"/>
      <c r="GN473" s="6"/>
      <c r="GO473" s="6"/>
      <c r="GP473" s="6"/>
      <c r="GQ473" s="6"/>
      <c r="GR473" s="6"/>
      <c r="GS473" s="6"/>
      <c r="GT473" s="6"/>
      <c r="GU473" s="6"/>
      <c r="GV473" s="6"/>
      <c r="GW473" s="6"/>
      <c r="GX473" s="6"/>
      <c r="GY473" s="6"/>
      <c r="GZ473" s="6"/>
      <c r="HA473" s="6"/>
      <c r="HB473" s="6"/>
      <c r="HC473" s="6"/>
      <c r="HD473" s="6"/>
      <c r="HE473" s="6"/>
      <c r="HF473" s="6"/>
      <c r="HG473" s="6"/>
      <c r="HH473" s="6"/>
      <c r="HI473" s="6"/>
      <c r="HJ473" s="6"/>
      <c r="HK473" s="6"/>
      <c r="HL473" s="6"/>
      <c r="HM473" s="6"/>
      <c r="HN473" s="6"/>
      <c r="HO473" s="6"/>
      <c r="HP473" s="6"/>
      <c r="HQ473" s="6"/>
      <c r="HR473" s="6"/>
      <c r="HS473" s="6"/>
      <c r="HT473" s="6"/>
      <c r="HU473" s="6"/>
    </row>
    <row r="474" spans="9:229"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BV474" s="6"/>
      <c r="BW474" s="6"/>
      <c r="BX474" s="6"/>
      <c r="BY474" s="6"/>
      <c r="BZ474" s="6"/>
      <c r="CA474" s="6"/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  <c r="CP474" s="6"/>
      <c r="CQ474" s="6"/>
      <c r="CR474" s="6"/>
      <c r="CS474" s="6"/>
      <c r="CT474" s="6"/>
      <c r="CU474" s="6"/>
      <c r="CV474" s="6"/>
      <c r="CW474" s="6"/>
      <c r="CX474" s="6"/>
      <c r="CY474" s="6"/>
      <c r="CZ474" s="6"/>
      <c r="DA474" s="6"/>
      <c r="DB474" s="6"/>
      <c r="DC474" s="6"/>
      <c r="DD474" s="6"/>
      <c r="DE474" s="6"/>
      <c r="DF474" s="6"/>
      <c r="DG474" s="6"/>
      <c r="DH474" s="6"/>
      <c r="DI474" s="6"/>
      <c r="DJ474" s="6"/>
      <c r="DK474" s="6"/>
      <c r="DL474" s="6"/>
      <c r="DM474" s="6"/>
      <c r="DN474" s="6"/>
      <c r="DO474" s="6"/>
      <c r="DP474" s="6"/>
      <c r="DQ474" s="6"/>
      <c r="DR474" s="6"/>
      <c r="DS474" s="6"/>
      <c r="DT474" s="6"/>
      <c r="DU474" s="6"/>
      <c r="DV474" s="6"/>
      <c r="DW474" s="6"/>
      <c r="DX474" s="6"/>
      <c r="DY474" s="6"/>
      <c r="DZ474" s="6"/>
      <c r="EA474" s="6"/>
      <c r="EB474" s="6"/>
      <c r="EC474" s="6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  <c r="ER474" s="6"/>
      <c r="ES474" s="6"/>
      <c r="ET474" s="6"/>
      <c r="EU474" s="6"/>
      <c r="EV474" s="6"/>
      <c r="EW474" s="6"/>
      <c r="EX474" s="6"/>
      <c r="EY474" s="6"/>
      <c r="EZ474" s="6"/>
      <c r="FA474" s="6"/>
      <c r="FB474" s="6"/>
      <c r="FC474" s="6"/>
      <c r="FD474" s="6"/>
      <c r="FE474" s="6"/>
      <c r="FF474" s="6"/>
      <c r="FG474" s="6"/>
      <c r="FH474" s="6"/>
      <c r="FI474" s="6"/>
      <c r="FJ474" s="6"/>
      <c r="FK474" s="6"/>
      <c r="FL474" s="6"/>
      <c r="FM474" s="6"/>
      <c r="FN474" s="6"/>
      <c r="FO474" s="6"/>
      <c r="FP474" s="6"/>
      <c r="FQ474" s="6"/>
      <c r="FR474" s="6"/>
      <c r="FS474" s="6"/>
      <c r="FT474" s="6"/>
      <c r="FU474" s="6"/>
      <c r="FV474" s="6"/>
      <c r="FW474" s="6"/>
      <c r="FX474" s="6"/>
      <c r="FY474" s="6"/>
      <c r="FZ474" s="6"/>
      <c r="GA474" s="6"/>
      <c r="GB474" s="6"/>
      <c r="GC474" s="6"/>
      <c r="GD474" s="6"/>
      <c r="GE474" s="6"/>
      <c r="GF474" s="6"/>
      <c r="GG474" s="6"/>
      <c r="GH474" s="6"/>
      <c r="GI474" s="6"/>
      <c r="GJ474" s="6"/>
      <c r="GK474" s="6"/>
      <c r="GL474" s="6"/>
      <c r="GM474" s="6"/>
      <c r="GN474" s="6"/>
      <c r="GO474" s="6"/>
      <c r="GP474" s="6"/>
      <c r="GQ474" s="6"/>
      <c r="GR474" s="6"/>
      <c r="GS474" s="6"/>
      <c r="GT474" s="6"/>
      <c r="GU474" s="6"/>
      <c r="GV474" s="6"/>
      <c r="GW474" s="6"/>
      <c r="GX474" s="6"/>
      <c r="GY474" s="6"/>
      <c r="GZ474" s="6"/>
      <c r="HA474" s="6"/>
      <c r="HB474" s="6"/>
      <c r="HC474" s="6"/>
      <c r="HD474" s="6"/>
      <c r="HE474" s="6"/>
      <c r="HF474" s="6"/>
      <c r="HG474" s="6"/>
      <c r="HH474" s="6"/>
      <c r="HI474" s="6"/>
      <c r="HJ474" s="6"/>
      <c r="HK474" s="6"/>
      <c r="HL474" s="6"/>
      <c r="HM474" s="6"/>
      <c r="HN474" s="6"/>
      <c r="HO474" s="6"/>
      <c r="HP474" s="6"/>
      <c r="HQ474" s="6"/>
      <c r="HR474" s="6"/>
      <c r="HS474" s="6"/>
      <c r="HT474" s="6"/>
      <c r="HU474" s="6"/>
    </row>
    <row r="475" spans="9:229"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BV475" s="6"/>
      <c r="BW475" s="6"/>
      <c r="BX475" s="6"/>
      <c r="BY475" s="6"/>
      <c r="BZ475" s="6"/>
      <c r="CA475" s="6"/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  <c r="CP475" s="6"/>
      <c r="CQ475" s="6"/>
      <c r="CR475" s="6"/>
      <c r="CS475" s="6"/>
      <c r="CT475" s="6"/>
      <c r="CU475" s="6"/>
      <c r="CV475" s="6"/>
      <c r="CW475" s="6"/>
      <c r="CX475" s="6"/>
      <c r="CY475" s="6"/>
      <c r="CZ475" s="6"/>
      <c r="DA475" s="6"/>
      <c r="DB475" s="6"/>
      <c r="DC475" s="6"/>
      <c r="DD475" s="6"/>
      <c r="DE475" s="6"/>
      <c r="DF475" s="6"/>
      <c r="DG475" s="6"/>
      <c r="DH475" s="6"/>
      <c r="DI475" s="6"/>
      <c r="DJ475" s="6"/>
      <c r="DK475" s="6"/>
      <c r="DL475" s="6"/>
      <c r="DM475" s="6"/>
      <c r="DN475" s="6"/>
      <c r="DO475" s="6"/>
      <c r="DP475" s="6"/>
      <c r="DQ475" s="6"/>
      <c r="DR475" s="6"/>
      <c r="DS475" s="6"/>
      <c r="DT475" s="6"/>
      <c r="DU475" s="6"/>
      <c r="DV475" s="6"/>
      <c r="DW475" s="6"/>
      <c r="DX475" s="6"/>
      <c r="DY475" s="6"/>
      <c r="DZ475" s="6"/>
      <c r="EA475" s="6"/>
      <c r="EB475" s="6"/>
      <c r="EC475" s="6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  <c r="ER475" s="6"/>
      <c r="ES475" s="6"/>
      <c r="ET475" s="6"/>
      <c r="EU475" s="6"/>
      <c r="EV475" s="6"/>
      <c r="EW475" s="6"/>
      <c r="EX475" s="6"/>
      <c r="EY475" s="6"/>
      <c r="EZ475" s="6"/>
      <c r="FA475" s="6"/>
      <c r="FB475" s="6"/>
      <c r="FC475" s="6"/>
      <c r="FD475" s="6"/>
      <c r="FE475" s="6"/>
      <c r="FF475" s="6"/>
      <c r="FG475" s="6"/>
      <c r="FH475" s="6"/>
      <c r="FI475" s="6"/>
      <c r="FJ475" s="6"/>
      <c r="FK475" s="6"/>
      <c r="FL475" s="6"/>
      <c r="FM475" s="6"/>
      <c r="FN475" s="6"/>
      <c r="FO475" s="6"/>
      <c r="FP475" s="6"/>
      <c r="FQ475" s="6"/>
      <c r="FR475" s="6"/>
      <c r="FS475" s="6"/>
      <c r="FT475" s="6"/>
      <c r="FU475" s="6"/>
      <c r="FV475" s="6"/>
      <c r="FW475" s="6"/>
      <c r="FX475" s="6"/>
      <c r="FY475" s="6"/>
      <c r="FZ475" s="6"/>
      <c r="GA475" s="6"/>
      <c r="GB475" s="6"/>
      <c r="GC475" s="6"/>
      <c r="GD475" s="6"/>
      <c r="GE475" s="6"/>
      <c r="GF475" s="6"/>
      <c r="GG475" s="6"/>
      <c r="GH475" s="6"/>
      <c r="GI475" s="6"/>
      <c r="GJ475" s="6"/>
      <c r="GK475" s="6"/>
      <c r="GL475" s="6"/>
      <c r="GM475" s="6"/>
      <c r="GN475" s="6"/>
      <c r="GO475" s="6"/>
      <c r="GP475" s="6"/>
      <c r="GQ475" s="6"/>
      <c r="GR475" s="6"/>
      <c r="GS475" s="6"/>
      <c r="GT475" s="6"/>
      <c r="GU475" s="6"/>
      <c r="GV475" s="6"/>
      <c r="GW475" s="6"/>
      <c r="GX475" s="6"/>
      <c r="GY475" s="6"/>
      <c r="GZ475" s="6"/>
      <c r="HA475" s="6"/>
      <c r="HB475" s="6"/>
      <c r="HC475" s="6"/>
      <c r="HD475" s="6"/>
      <c r="HE475" s="6"/>
      <c r="HF475" s="6"/>
      <c r="HG475" s="6"/>
      <c r="HH475" s="6"/>
      <c r="HI475" s="6"/>
      <c r="HJ475" s="6"/>
      <c r="HK475" s="6"/>
      <c r="HL475" s="6"/>
      <c r="HM475" s="6"/>
      <c r="HN475" s="6"/>
      <c r="HO475" s="6"/>
      <c r="HP475" s="6"/>
      <c r="HQ475" s="6"/>
      <c r="HR475" s="6"/>
      <c r="HS475" s="6"/>
      <c r="HT475" s="6"/>
      <c r="HU475" s="6"/>
    </row>
    <row r="476" spans="9:229"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BV476" s="6"/>
      <c r="BW476" s="6"/>
      <c r="BX476" s="6"/>
      <c r="BY476" s="6"/>
      <c r="BZ476" s="6"/>
      <c r="CA476" s="6"/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  <c r="CP476" s="6"/>
      <c r="CQ476" s="6"/>
      <c r="CR476" s="6"/>
      <c r="CS476" s="6"/>
      <c r="CT476" s="6"/>
      <c r="CU476" s="6"/>
      <c r="CV476" s="6"/>
      <c r="CW476" s="6"/>
      <c r="CX476" s="6"/>
      <c r="CY476" s="6"/>
      <c r="CZ476" s="6"/>
      <c r="DA476" s="6"/>
      <c r="DB476" s="6"/>
      <c r="DC476" s="6"/>
      <c r="DD476" s="6"/>
      <c r="DE476" s="6"/>
      <c r="DF476" s="6"/>
      <c r="DG476" s="6"/>
      <c r="DH476" s="6"/>
      <c r="DI476" s="6"/>
      <c r="DJ476" s="6"/>
      <c r="DK476" s="6"/>
      <c r="DL476" s="6"/>
      <c r="DM476" s="6"/>
      <c r="DN476" s="6"/>
      <c r="DO476" s="6"/>
      <c r="DP476" s="6"/>
      <c r="DQ476" s="6"/>
      <c r="DR476" s="6"/>
      <c r="DS476" s="6"/>
      <c r="DT476" s="6"/>
      <c r="DU476" s="6"/>
      <c r="DV476" s="6"/>
      <c r="DW476" s="6"/>
      <c r="DX476" s="6"/>
      <c r="DY476" s="6"/>
      <c r="DZ476" s="6"/>
      <c r="EA476" s="6"/>
      <c r="EB476" s="6"/>
      <c r="EC476" s="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  <c r="ER476" s="6"/>
      <c r="ES476" s="6"/>
      <c r="ET476" s="6"/>
      <c r="EU476" s="6"/>
      <c r="EV476" s="6"/>
      <c r="EW476" s="6"/>
      <c r="EX476" s="6"/>
      <c r="EY476" s="6"/>
      <c r="EZ476" s="6"/>
      <c r="FA476" s="6"/>
      <c r="FB476" s="6"/>
      <c r="FC476" s="6"/>
      <c r="FD476" s="6"/>
      <c r="FE476" s="6"/>
      <c r="FF476" s="6"/>
      <c r="FG476" s="6"/>
      <c r="FH476" s="6"/>
      <c r="FI476" s="6"/>
      <c r="FJ476" s="6"/>
      <c r="FK476" s="6"/>
      <c r="FL476" s="6"/>
      <c r="FM476" s="6"/>
      <c r="FN476" s="6"/>
      <c r="FO476" s="6"/>
      <c r="FP476" s="6"/>
      <c r="FQ476" s="6"/>
      <c r="FR476" s="6"/>
      <c r="FS476" s="6"/>
      <c r="FT476" s="6"/>
      <c r="FU476" s="6"/>
      <c r="FV476" s="6"/>
      <c r="FW476" s="6"/>
      <c r="FX476" s="6"/>
      <c r="FY476" s="6"/>
      <c r="FZ476" s="6"/>
      <c r="GA476" s="6"/>
      <c r="GB476" s="6"/>
      <c r="GC476" s="6"/>
      <c r="GD476" s="6"/>
      <c r="GE476" s="6"/>
      <c r="GF476" s="6"/>
      <c r="GG476" s="6"/>
      <c r="GH476" s="6"/>
      <c r="GI476" s="6"/>
      <c r="GJ476" s="6"/>
      <c r="GK476" s="6"/>
      <c r="GL476" s="6"/>
      <c r="GM476" s="6"/>
      <c r="GN476" s="6"/>
      <c r="GO476" s="6"/>
      <c r="GP476" s="6"/>
      <c r="GQ476" s="6"/>
      <c r="GR476" s="6"/>
      <c r="GS476" s="6"/>
      <c r="GT476" s="6"/>
      <c r="GU476" s="6"/>
      <c r="GV476" s="6"/>
      <c r="GW476" s="6"/>
      <c r="GX476" s="6"/>
      <c r="GY476" s="6"/>
      <c r="GZ476" s="6"/>
      <c r="HA476" s="6"/>
      <c r="HB476" s="6"/>
      <c r="HC476" s="6"/>
      <c r="HD476" s="6"/>
      <c r="HE476" s="6"/>
      <c r="HF476" s="6"/>
      <c r="HG476" s="6"/>
      <c r="HH476" s="6"/>
      <c r="HI476" s="6"/>
      <c r="HJ476" s="6"/>
      <c r="HK476" s="6"/>
      <c r="HL476" s="6"/>
      <c r="HM476" s="6"/>
      <c r="HN476" s="6"/>
      <c r="HO476" s="6"/>
      <c r="HP476" s="6"/>
      <c r="HQ476" s="6"/>
      <c r="HR476" s="6"/>
      <c r="HS476" s="6"/>
      <c r="HT476" s="6"/>
      <c r="HU476" s="6"/>
    </row>
    <row r="477" spans="9:229"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BV477" s="6"/>
      <c r="BW477" s="6"/>
      <c r="BX477" s="6"/>
      <c r="BY477" s="6"/>
      <c r="BZ477" s="6"/>
      <c r="CA477" s="6"/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  <c r="CP477" s="6"/>
      <c r="CQ477" s="6"/>
      <c r="CR477" s="6"/>
      <c r="CS477" s="6"/>
      <c r="CT477" s="6"/>
      <c r="CU477" s="6"/>
      <c r="CV477" s="6"/>
      <c r="CW477" s="6"/>
      <c r="CX477" s="6"/>
      <c r="CY477" s="6"/>
      <c r="CZ477" s="6"/>
      <c r="DA477" s="6"/>
      <c r="DB477" s="6"/>
      <c r="DC477" s="6"/>
      <c r="DD477" s="6"/>
      <c r="DE477" s="6"/>
      <c r="DF477" s="6"/>
      <c r="DG477" s="6"/>
      <c r="DH477" s="6"/>
      <c r="DI477" s="6"/>
      <c r="DJ477" s="6"/>
      <c r="DK477" s="6"/>
      <c r="DL477" s="6"/>
      <c r="DM477" s="6"/>
      <c r="DN477" s="6"/>
      <c r="DO477" s="6"/>
      <c r="DP477" s="6"/>
      <c r="DQ477" s="6"/>
      <c r="DR477" s="6"/>
      <c r="DS477" s="6"/>
      <c r="DT477" s="6"/>
      <c r="DU477" s="6"/>
      <c r="DV477" s="6"/>
      <c r="DW477" s="6"/>
      <c r="DX477" s="6"/>
      <c r="DY477" s="6"/>
      <c r="DZ477" s="6"/>
      <c r="EA477" s="6"/>
      <c r="EB477" s="6"/>
      <c r="EC477" s="6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  <c r="ER477" s="6"/>
      <c r="ES477" s="6"/>
      <c r="ET477" s="6"/>
      <c r="EU477" s="6"/>
      <c r="EV477" s="6"/>
      <c r="EW477" s="6"/>
      <c r="EX477" s="6"/>
      <c r="EY477" s="6"/>
      <c r="EZ477" s="6"/>
      <c r="FA477" s="6"/>
      <c r="FB477" s="6"/>
      <c r="FC477" s="6"/>
      <c r="FD477" s="6"/>
      <c r="FE477" s="6"/>
      <c r="FF477" s="6"/>
      <c r="FG477" s="6"/>
      <c r="FH477" s="6"/>
      <c r="FI477" s="6"/>
      <c r="FJ477" s="6"/>
      <c r="FK477" s="6"/>
      <c r="FL477" s="6"/>
      <c r="FM477" s="6"/>
      <c r="FN477" s="6"/>
      <c r="FO477" s="6"/>
      <c r="FP477" s="6"/>
      <c r="FQ477" s="6"/>
      <c r="FR477" s="6"/>
      <c r="FS477" s="6"/>
      <c r="FT477" s="6"/>
      <c r="FU477" s="6"/>
      <c r="FV477" s="6"/>
      <c r="FW477" s="6"/>
      <c r="FX477" s="6"/>
      <c r="FY477" s="6"/>
      <c r="FZ477" s="6"/>
      <c r="GA477" s="6"/>
      <c r="GB477" s="6"/>
      <c r="GC477" s="6"/>
      <c r="GD477" s="6"/>
      <c r="GE477" s="6"/>
      <c r="GF477" s="6"/>
      <c r="GG477" s="6"/>
      <c r="GH477" s="6"/>
      <c r="GI477" s="6"/>
      <c r="GJ477" s="6"/>
      <c r="GK477" s="6"/>
      <c r="GL477" s="6"/>
      <c r="GM477" s="6"/>
      <c r="GN477" s="6"/>
      <c r="GO477" s="6"/>
      <c r="GP477" s="6"/>
      <c r="GQ477" s="6"/>
      <c r="GR477" s="6"/>
      <c r="GS477" s="6"/>
      <c r="GT477" s="6"/>
      <c r="GU477" s="6"/>
      <c r="GV477" s="6"/>
      <c r="GW477" s="6"/>
      <c r="GX477" s="6"/>
      <c r="GY477" s="6"/>
      <c r="GZ477" s="6"/>
      <c r="HA477" s="6"/>
      <c r="HB477" s="6"/>
      <c r="HC477" s="6"/>
      <c r="HD477" s="6"/>
      <c r="HE477" s="6"/>
      <c r="HF477" s="6"/>
      <c r="HG477" s="6"/>
      <c r="HH477" s="6"/>
      <c r="HI477" s="6"/>
      <c r="HJ477" s="6"/>
      <c r="HK477" s="6"/>
      <c r="HL477" s="6"/>
      <c r="HM477" s="6"/>
      <c r="HN477" s="6"/>
      <c r="HO477" s="6"/>
      <c r="HP477" s="6"/>
      <c r="HQ477" s="6"/>
      <c r="HR477" s="6"/>
      <c r="HS477" s="6"/>
      <c r="HT477" s="6"/>
      <c r="HU477" s="6"/>
    </row>
    <row r="478" spans="9:229"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BV478" s="6"/>
      <c r="BW478" s="6"/>
      <c r="BX478" s="6"/>
      <c r="BY478" s="6"/>
      <c r="BZ478" s="6"/>
      <c r="CA478" s="6"/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  <c r="CP478" s="6"/>
      <c r="CQ478" s="6"/>
      <c r="CR478" s="6"/>
      <c r="CS478" s="6"/>
      <c r="CT478" s="6"/>
      <c r="CU478" s="6"/>
      <c r="CV478" s="6"/>
      <c r="CW478" s="6"/>
      <c r="CX478" s="6"/>
      <c r="CY478" s="6"/>
      <c r="CZ478" s="6"/>
      <c r="DA478" s="6"/>
      <c r="DB478" s="6"/>
      <c r="DC478" s="6"/>
      <c r="DD478" s="6"/>
      <c r="DE478" s="6"/>
      <c r="DF478" s="6"/>
      <c r="DG478" s="6"/>
      <c r="DH478" s="6"/>
      <c r="DI478" s="6"/>
      <c r="DJ478" s="6"/>
      <c r="DK478" s="6"/>
      <c r="DL478" s="6"/>
      <c r="DM478" s="6"/>
      <c r="DN478" s="6"/>
      <c r="DO478" s="6"/>
      <c r="DP478" s="6"/>
      <c r="DQ478" s="6"/>
      <c r="DR478" s="6"/>
      <c r="DS478" s="6"/>
      <c r="DT478" s="6"/>
      <c r="DU478" s="6"/>
      <c r="DV478" s="6"/>
      <c r="DW478" s="6"/>
      <c r="DX478" s="6"/>
      <c r="DY478" s="6"/>
      <c r="DZ478" s="6"/>
      <c r="EA478" s="6"/>
      <c r="EB478" s="6"/>
      <c r="EC478" s="6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  <c r="ER478" s="6"/>
      <c r="ES478" s="6"/>
      <c r="ET478" s="6"/>
      <c r="EU478" s="6"/>
      <c r="EV478" s="6"/>
      <c r="EW478" s="6"/>
      <c r="EX478" s="6"/>
      <c r="EY478" s="6"/>
      <c r="EZ478" s="6"/>
      <c r="FA478" s="6"/>
      <c r="FB478" s="6"/>
      <c r="FC478" s="6"/>
      <c r="FD478" s="6"/>
      <c r="FE478" s="6"/>
      <c r="FF478" s="6"/>
      <c r="FG478" s="6"/>
      <c r="FH478" s="6"/>
      <c r="FI478" s="6"/>
      <c r="FJ478" s="6"/>
      <c r="FK478" s="6"/>
      <c r="FL478" s="6"/>
      <c r="FM478" s="6"/>
      <c r="FN478" s="6"/>
      <c r="FO478" s="6"/>
      <c r="FP478" s="6"/>
      <c r="FQ478" s="6"/>
      <c r="FR478" s="6"/>
      <c r="FS478" s="6"/>
      <c r="FT478" s="6"/>
      <c r="FU478" s="6"/>
      <c r="FV478" s="6"/>
      <c r="FW478" s="6"/>
      <c r="FX478" s="6"/>
      <c r="FY478" s="6"/>
      <c r="FZ478" s="6"/>
      <c r="GA478" s="6"/>
      <c r="GB478" s="6"/>
      <c r="GC478" s="6"/>
      <c r="GD478" s="6"/>
      <c r="GE478" s="6"/>
      <c r="GF478" s="6"/>
      <c r="GG478" s="6"/>
      <c r="GH478" s="6"/>
      <c r="GI478" s="6"/>
      <c r="GJ478" s="6"/>
      <c r="GK478" s="6"/>
      <c r="GL478" s="6"/>
      <c r="GM478" s="6"/>
      <c r="GN478" s="6"/>
      <c r="GO478" s="6"/>
      <c r="GP478" s="6"/>
      <c r="GQ478" s="6"/>
      <c r="GR478" s="6"/>
      <c r="GS478" s="6"/>
      <c r="GT478" s="6"/>
      <c r="GU478" s="6"/>
      <c r="GV478" s="6"/>
      <c r="GW478" s="6"/>
      <c r="GX478" s="6"/>
      <c r="GY478" s="6"/>
      <c r="GZ478" s="6"/>
      <c r="HA478" s="6"/>
      <c r="HB478" s="6"/>
      <c r="HC478" s="6"/>
      <c r="HD478" s="6"/>
      <c r="HE478" s="6"/>
      <c r="HF478" s="6"/>
      <c r="HG478" s="6"/>
      <c r="HH478" s="6"/>
      <c r="HI478" s="6"/>
      <c r="HJ478" s="6"/>
      <c r="HK478" s="6"/>
      <c r="HL478" s="6"/>
      <c r="HM478" s="6"/>
      <c r="HN478" s="6"/>
      <c r="HO478" s="6"/>
      <c r="HP478" s="6"/>
      <c r="HQ478" s="6"/>
      <c r="HR478" s="6"/>
      <c r="HS478" s="6"/>
      <c r="HT478" s="6"/>
      <c r="HU478" s="6"/>
    </row>
    <row r="479" spans="9:229"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BV479" s="6"/>
      <c r="BW479" s="6"/>
      <c r="BX479" s="6"/>
      <c r="BY479" s="6"/>
      <c r="BZ479" s="6"/>
      <c r="CA479" s="6"/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  <c r="CP479" s="6"/>
      <c r="CQ479" s="6"/>
      <c r="CR479" s="6"/>
      <c r="CS479" s="6"/>
      <c r="CT479" s="6"/>
      <c r="CU479" s="6"/>
      <c r="CV479" s="6"/>
      <c r="CW479" s="6"/>
      <c r="CX479" s="6"/>
      <c r="CY479" s="6"/>
      <c r="CZ479" s="6"/>
      <c r="DA479" s="6"/>
      <c r="DB479" s="6"/>
      <c r="DC479" s="6"/>
      <c r="DD479" s="6"/>
      <c r="DE479" s="6"/>
      <c r="DF479" s="6"/>
      <c r="DG479" s="6"/>
      <c r="DH479" s="6"/>
      <c r="DI479" s="6"/>
      <c r="DJ479" s="6"/>
      <c r="DK479" s="6"/>
      <c r="DL479" s="6"/>
      <c r="DM479" s="6"/>
      <c r="DN479" s="6"/>
      <c r="DO479" s="6"/>
      <c r="DP479" s="6"/>
      <c r="DQ479" s="6"/>
      <c r="DR479" s="6"/>
      <c r="DS479" s="6"/>
      <c r="DT479" s="6"/>
      <c r="DU479" s="6"/>
      <c r="DV479" s="6"/>
      <c r="DW479" s="6"/>
      <c r="DX479" s="6"/>
      <c r="DY479" s="6"/>
      <c r="DZ479" s="6"/>
      <c r="EA479" s="6"/>
      <c r="EB479" s="6"/>
      <c r="EC479" s="6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  <c r="ER479" s="6"/>
      <c r="ES479" s="6"/>
      <c r="ET479" s="6"/>
      <c r="EU479" s="6"/>
      <c r="EV479" s="6"/>
      <c r="EW479" s="6"/>
      <c r="EX479" s="6"/>
      <c r="EY479" s="6"/>
      <c r="EZ479" s="6"/>
      <c r="FA479" s="6"/>
      <c r="FB479" s="6"/>
      <c r="FC479" s="6"/>
      <c r="FD479" s="6"/>
      <c r="FE479" s="6"/>
      <c r="FF479" s="6"/>
      <c r="FG479" s="6"/>
      <c r="FH479" s="6"/>
      <c r="FI479" s="6"/>
      <c r="FJ479" s="6"/>
      <c r="FK479" s="6"/>
      <c r="FL479" s="6"/>
      <c r="FM479" s="6"/>
      <c r="FN479" s="6"/>
      <c r="FO479" s="6"/>
      <c r="FP479" s="6"/>
      <c r="FQ479" s="6"/>
      <c r="FR479" s="6"/>
      <c r="FS479" s="6"/>
      <c r="FT479" s="6"/>
      <c r="FU479" s="6"/>
      <c r="FV479" s="6"/>
      <c r="FW479" s="6"/>
      <c r="FX479" s="6"/>
      <c r="FY479" s="6"/>
      <c r="FZ479" s="6"/>
      <c r="GA479" s="6"/>
      <c r="GB479" s="6"/>
      <c r="GC479" s="6"/>
      <c r="GD479" s="6"/>
      <c r="GE479" s="6"/>
      <c r="GF479" s="6"/>
      <c r="GG479" s="6"/>
      <c r="GH479" s="6"/>
      <c r="GI479" s="6"/>
      <c r="GJ479" s="6"/>
      <c r="GK479" s="6"/>
      <c r="GL479" s="6"/>
      <c r="GM479" s="6"/>
      <c r="GN479" s="6"/>
      <c r="GO479" s="6"/>
      <c r="GP479" s="6"/>
      <c r="GQ479" s="6"/>
      <c r="GR479" s="6"/>
      <c r="GS479" s="6"/>
      <c r="GT479" s="6"/>
      <c r="GU479" s="6"/>
      <c r="GV479" s="6"/>
      <c r="GW479" s="6"/>
      <c r="GX479" s="6"/>
      <c r="GY479" s="6"/>
      <c r="GZ479" s="6"/>
      <c r="HA479" s="6"/>
      <c r="HB479" s="6"/>
      <c r="HC479" s="6"/>
      <c r="HD479" s="6"/>
      <c r="HE479" s="6"/>
      <c r="HF479" s="6"/>
      <c r="HG479" s="6"/>
      <c r="HH479" s="6"/>
      <c r="HI479" s="6"/>
      <c r="HJ479" s="6"/>
      <c r="HK479" s="6"/>
      <c r="HL479" s="6"/>
      <c r="HM479" s="6"/>
      <c r="HN479" s="6"/>
      <c r="HO479" s="6"/>
      <c r="HP479" s="6"/>
      <c r="HQ479" s="6"/>
      <c r="HR479" s="6"/>
      <c r="HS479" s="6"/>
      <c r="HT479" s="6"/>
      <c r="HU479" s="6"/>
    </row>
    <row r="480" spans="9:229"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BV480" s="6"/>
      <c r="BW480" s="6"/>
      <c r="BX480" s="6"/>
      <c r="BY480" s="6"/>
      <c r="BZ480" s="6"/>
      <c r="CA480" s="6"/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  <c r="CP480" s="6"/>
      <c r="CQ480" s="6"/>
      <c r="CR480" s="6"/>
      <c r="CS480" s="6"/>
      <c r="CT480" s="6"/>
      <c r="CU480" s="6"/>
      <c r="CV480" s="6"/>
      <c r="CW480" s="6"/>
      <c r="CX480" s="6"/>
      <c r="CY480" s="6"/>
      <c r="CZ480" s="6"/>
      <c r="DA480" s="6"/>
      <c r="DB480" s="6"/>
      <c r="DC480" s="6"/>
      <c r="DD480" s="6"/>
      <c r="DE480" s="6"/>
      <c r="DF480" s="6"/>
      <c r="DG480" s="6"/>
      <c r="DH480" s="6"/>
      <c r="DI480" s="6"/>
      <c r="DJ480" s="6"/>
      <c r="DK480" s="6"/>
      <c r="DL480" s="6"/>
      <c r="DM480" s="6"/>
      <c r="DN480" s="6"/>
      <c r="DO480" s="6"/>
      <c r="DP480" s="6"/>
      <c r="DQ480" s="6"/>
      <c r="DR480" s="6"/>
      <c r="DS480" s="6"/>
      <c r="DT480" s="6"/>
      <c r="DU480" s="6"/>
      <c r="DV480" s="6"/>
      <c r="DW480" s="6"/>
      <c r="DX480" s="6"/>
      <c r="DY480" s="6"/>
      <c r="DZ480" s="6"/>
      <c r="EA480" s="6"/>
      <c r="EB480" s="6"/>
      <c r="EC480" s="6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  <c r="ER480" s="6"/>
      <c r="ES480" s="6"/>
      <c r="ET480" s="6"/>
      <c r="EU480" s="6"/>
      <c r="EV480" s="6"/>
      <c r="EW480" s="6"/>
      <c r="EX480" s="6"/>
      <c r="EY480" s="6"/>
      <c r="EZ480" s="6"/>
      <c r="FA480" s="6"/>
      <c r="FB480" s="6"/>
      <c r="FC480" s="6"/>
      <c r="FD480" s="6"/>
      <c r="FE480" s="6"/>
      <c r="FF480" s="6"/>
      <c r="FG480" s="6"/>
      <c r="FH480" s="6"/>
      <c r="FI480" s="6"/>
      <c r="FJ480" s="6"/>
      <c r="FK480" s="6"/>
      <c r="FL480" s="6"/>
      <c r="FM480" s="6"/>
      <c r="FN480" s="6"/>
      <c r="FO480" s="6"/>
      <c r="FP480" s="6"/>
      <c r="FQ480" s="6"/>
      <c r="FR480" s="6"/>
      <c r="FS480" s="6"/>
      <c r="FT480" s="6"/>
      <c r="FU480" s="6"/>
      <c r="FV480" s="6"/>
      <c r="FW480" s="6"/>
      <c r="FX480" s="6"/>
      <c r="FY480" s="6"/>
      <c r="FZ480" s="6"/>
      <c r="GA480" s="6"/>
      <c r="GB480" s="6"/>
      <c r="GC480" s="6"/>
      <c r="GD480" s="6"/>
      <c r="GE480" s="6"/>
      <c r="GF480" s="6"/>
      <c r="GG480" s="6"/>
      <c r="GH480" s="6"/>
      <c r="GI480" s="6"/>
      <c r="GJ480" s="6"/>
      <c r="GK480" s="6"/>
      <c r="GL480" s="6"/>
      <c r="GM480" s="6"/>
      <c r="GN480" s="6"/>
      <c r="GO480" s="6"/>
      <c r="GP480" s="6"/>
      <c r="GQ480" s="6"/>
      <c r="GR480" s="6"/>
      <c r="GS480" s="6"/>
      <c r="GT480" s="6"/>
      <c r="GU480" s="6"/>
      <c r="GV480" s="6"/>
      <c r="GW480" s="6"/>
      <c r="GX480" s="6"/>
      <c r="GY480" s="6"/>
      <c r="GZ480" s="6"/>
      <c r="HA480" s="6"/>
      <c r="HB480" s="6"/>
      <c r="HC480" s="6"/>
      <c r="HD480" s="6"/>
      <c r="HE480" s="6"/>
      <c r="HF480" s="6"/>
      <c r="HG480" s="6"/>
      <c r="HH480" s="6"/>
      <c r="HI480" s="6"/>
      <c r="HJ480" s="6"/>
      <c r="HK480" s="6"/>
      <c r="HL480" s="6"/>
      <c r="HM480" s="6"/>
      <c r="HN480" s="6"/>
      <c r="HO480" s="6"/>
      <c r="HP480" s="6"/>
      <c r="HQ480" s="6"/>
      <c r="HR480" s="6"/>
      <c r="HS480" s="6"/>
      <c r="HT480" s="6"/>
      <c r="HU480" s="6"/>
    </row>
    <row r="481" spans="9:229"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BV481" s="6"/>
      <c r="BW481" s="6"/>
      <c r="BX481" s="6"/>
      <c r="BY481" s="6"/>
      <c r="BZ481" s="6"/>
      <c r="CA481" s="6"/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  <c r="CP481" s="6"/>
      <c r="CQ481" s="6"/>
      <c r="CR481" s="6"/>
      <c r="CS481" s="6"/>
      <c r="CT481" s="6"/>
      <c r="CU481" s="6"/>
      <c r="CV481" s="6"/>
      <c r="CW481" s="6"/>
      <c r="CX481" s="6"/>
      <c r="CY481" s="6"/>
      <c r="CZ481" s="6"/>
      <c r="DA481" s="6"/>
      <c r="DB481" s="6"/>
      <c r="DC481" s="6"/>
      <c r="DD481" s="6"/>
      <c r="DE481" s="6"/>
      <c r="DF481" s="6"/>
      <c r="DG481" s="6"/>
      <c r="DH481" s="6"/>
      <c r="DI481" s="6"/>
      <c r="DJ481" s="6"/>
      <c r="DK481" s="6"/>
      <c r="DL481" s="6"/>
      <c r="DM481" s="6"/>
      <c r="DN481" s="6"/>
      <c r="DO481" s="6"/>
      <c r="DP481" s="6"/>
      <c r="DQ481" s="6"/>
      <c r="DR481" s="6"/>
      <c r="DS481" s="6"/>
      <c r="DT481" s="6"/>
      <c r="DU481" s="6"/>
      <c r="DV481" s="6"/>
      <c r="DW481" s="6"/>
      <c r="DX481" s="6"/>
      <c r="DY481" s="6"/>
      <c r="DZ481" s="6"/>
      <c r="EA481" s="6"/>
      <c r="EB481" s="6"/>
      <c r="EC481" s="6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  <c r="ER481" s="6"/>
      <c r="ES481" s="6"/>
      <c r="ET481" s="6"/>
      <c r="EU481" s="6"/>
      <c r="EV481" s="6"/>
      <c r="EW481" s="6"/>
      <c r="EX481" s="6"/>
      <c r="EY481" s="6"/>
      <c r="EZ481" s="6"/>
      <c r="FA481" s="6"/>
      <c r="FB481" s="6"/>
      <c r="FC481" s="6"/>
      <c r="FD481" s="6"/>
      <c r="FE481" s="6"/>
      <c r="FF481" s="6"/>
      <c r="FG481" s="6"/>
      <c r="FH481" s="6"/>
      <c r="FI481" s="6"/>
      <c r="FJ481" s="6"/>
      <c r="FK481" s="6"/>
      <c r="FL481" s="6"/>
      <c r="FM481" s="6"/>
      <c r="FN481" s="6"/>
      <c r="FO481" s="6"/>
      <c r="FP481" s="6"/>
      <c r="FQ481" s="6"/>
      <c r="FR481" s="6"/>
      <c r="FS481" s="6"/>
      <c r="FT481" s="6"/>
      <c r="FU481" s="6"/>
      <c r="FV481" s="6"/>
      <c r="FW481" s="6"/>
      <c r="FX481" s="6"/>
      <c r="FY481" s="6"/>
      <c r="FZ481" s="6"/>
      <c r="GA481" s="6"/>
      <c r="GB481" s="6"/>
      <c r="GC481" s="6"/>
      <c r="GD481" s="6"/>
      <c r="GE481" s="6"/>
      <c r="GF481" s="6"/>
      <c r="GG481" s="6"/>
      <c r="GH481" s="6"/>
      <c r="GI481" s="6"/>
      <c r="GJ481" s="6"/>
      <c r="GK481" s="6"/>
      <c r="GL481" s="6"/>
      <c r="GM481" s="6"/>
      <c r="GN481" s="6"/>
      <c r="GO481" s="6"/>
      <c r="GP481" s="6"/>
      <c r="GQ481" s="6"/>
      <c r="GR481" s="6"/>
      <c r="GS481" s="6"/>
      <c r="GT481" s="6"/>
      <c r="GU481" s="6"/>
      <c r="GV481" s="6"/>
      <c r="GW481" s="6"/>
      <c r="GX481" s="6"/>
      <c r="GY481" s="6"/>
      <c r="GZ481" s="6"/>
      <c r="HA481" s="6"/>
      <c r="HB481" s="6"/>
      <c r="HC481" s="6"/>
      <c r="HD481" s="6"/>
      <c r="HE481" s="6"/>
      <c r="HF481" s="6"/>
      <c r="HG481" s="6"/>
      <c r="HH481" s="6"/>
      <c r="HI481" s="6"/>
      <c r="HJ481" s="6"/>
      <c r="HK481" s="6"/>
      <c r="HL481" s="6"/>
      <c r="HM481" s="6"/>
      <c r="HN481" s="6"/>
      <c r="HO481" s="6"/>
      <c r="HP481" s="6"/>
      <c r="HQ481" s="6"/>
      <c r="HR481" s="6"/>
      <c r="HS481" s="6"/>
      <c r="HT481" s="6"/>
      <c r="HU481" s="6"/>
    </row>
    <row r="482" spans="9:229"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BV482" s="6"/>
      <c r="BW482" s="6"/>
      <c r="BX482" s="6"/>
      <c r="BY482" s="6"/>
      <c r="BZ482" s="6"/>
      <c r="CA482" s="6"/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  <c r="CP482" s="6"/>
      <c r="CQ482" s="6"/>
      <c r="CR482" s="6"/>
      <c r="CS482" s="6"/>
      <c r="CT482" s="6"/>
      <c r="CU482" s="6"/>
      <c r="CV482" s="6"/>
      <c r="CW482" s="6"/>
      <c r="CX482" s="6"/>
      <c r="CY482" s="6"/>
      <c r="CZ482" s="6"/>
      <c r="DA482" s="6"/>
      <c r="DB482" s="6"/>
      <c r="DC482" s="6"/>
      <c r="DD482" s="6"/>
      <c r="DE482" s="6"/>
      <c r="DF482" s="6"/>
      <c r="DG482" s="6"/>
      <c r="DH482" s="6"/>
      <c r="DI482" s="6"/>
      <c r="DJ482" s="6"/>
      <c r="DK482" s="6"/>
      <c r="DL482" s="6"/>
      <c r="DM482" s="6"/>
      <c r="DN482" s="6"/>
      <c r="DO482" s="6"/>
      <c r="DP482" s="6"/>
      <c r="DQ482" s="6"/>
      <c r="DR482" s="6"/>
      <c r="DS482" s="6"/>
      <c r="DT482" s="6"/>
      <c r="DU482" s="6"/>
      <c r="DV482" s="6"/>
      <c r="DW482" s="6"/>
      <c r="DX482" s="6"/>
      <c r="DY482" s="6"/>
      <c r="DZ482" s="6"/>
      <c r="EA482" s="6"/>
      <c r="EB482" s="6"/>
      <c r="EC482" s="6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  <c r="ER482" s="6"/>
      <c r="ES482" s="6"/>
      <c r="ET482" s="6"/>
      <c r="EU482" s="6"/>
      <c r="EV482" s="6"/>
      <c r="EW482" s="6"/>
      <c r="EX482" s="6"/>
      <c r="EY482" s="6"/>
      <c r="EZ482" s="6"/>
      <c r="FA482" s="6"/>
      <c r="FB482" s="6"/>
      <c r="FC482" s="6"/>
      <c r="FD482" s="6"/>
      <c r="FE482" s="6"/>
      <c r="FF482" s="6"/>
      <c r="FG482" s="6"/>
      <c r="FH482" s="6"/>
      <c r="FI482" s="6"/>
      <c r="FJ482" s="6"/>
      <c r="FK482" s="6"/>
      <c r="FL482" s="6"/>
      <c r="FM482" s="6"/>
      <c r="FN482" s="6"/>
      <c r="FO482" s="6"/>
      <c r="FP482" s="6"/>
      <c r="FQ482" s="6"/>
      <c r="FR482" s="6"/>
      <c r="FS482" s="6"/>
      <c r="FT482" s="6"/>
      <c r="FU482" s="6"/>
      <c r="FV482" s="6"/>
      <c r="FW482" s="6"/>
      <c r="FX482" s="6"/>
      <c r="FY482" s="6"/>
      <c r="FZ482" s="6"/>
      <c r="GA482" s="6"/>
      <c r="GB482" s="6"/>
      <c r="GC482" s="6"/>
      <c r="GD482" s="6"/>
      <c r="GE482" s="6"/>
      <c r="GF482" s="6"/>
      <c r="GG482" s="6"/>
      <c r="GH482" s="6"/>
      <c r="GI482" s="6"/>
      <c r="GJ482" s="6"/>
      <c r="GK482" s="6"/>
      <c r="GL482" s="6"/>
      <c r="GM482" s="6"/>
      <c r="GN482" s="6"/>
      <c r="GO482" s="6"/>
      <c r="GP482" s="6"/>
      <c r="GQ482" s="6"/>
      <c r="GR482" s="6"/>
      <c r="GS482" s="6"/>
      <c r="GT482" s="6"/>
      <c r="GU482" s="6"/>
      <c r="GV482" s="6"/>
      <c r="GW482" s="6"/>
      <c r="GX482" s="6"/>
      <c r="GY482" s="6"/>
      <c r="GZ482" s="6"/>
      <c r="HA482" s="6"/>
      <c r="HB482" s="6"/>
      <c r="HC482" s="6"/>
      <c r="HD482" s="6"/>
      <c r="HE482" s="6"/>
      <c r="HF482" s="6"/>
      <c r="HG482" s="6"/>
      <c r="HH482" s="6"/>
      <c r="HI482" s="6"/>
      <c r="HJ482" s="6"/>
      <c r="HK482" s="6"/>
      <c r="HL482" s="6"/>
      <c r="HM482" s="6"/>
      <c r="HN482" s="6"/>
      <c r="HO482" s="6"/>
      <c r="HP482" s="6"/>
      <c r="HQ482" s="6"/>
      <c r="HR482" s="6"/>
      <c r="HS482" s="6"/>
      <c r="HT482" s="6"/>
      <c r="HU482" s="6"/>
    </row>
    <row r="483" spans="9:229"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BV483" s="6"/>
      <c r="BW483" s="6"/>
      <c r="BX483" s="6"/>
      <c r="BY483" s="6"/>
      <c r="BZ483" s="6"/>
      <c r="CA483" s="6"/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  <c r="CP483" s="6"/>
      <c r="CQ483" s="6"/>
      <c r="CR483" s="6"/>
      <c r="CS483" s="6"/>
      <c r="CT483" s="6"/>
      <c r="CU483" s="6"/>
      <c r="CV483" s="6"/>
      <c r="CW483" s="6"/>
      <c r="CX483" s="6"/>
      <c r="CY483" s="6"/>
      <c r="CZ483" s="6"/>
      <c r="DA483" s="6"/>
      <c r="DB483" s="6"/>
      <c r="DC483" s="6"/>
      <c r="DD483" s="6"/>
      <c r="DE483" s="6"/>
      <c r="DF483" s="6"/>
      <c r="DG483" s="6"/>
      <c r="DH483" s="6"/>
      <c r="DI483" s="6"/>
      <c r="DJ483" s="6"/>
      <c r="DK483" s="6"/>
      <c r="DL483" s="6"/>
      <c r="DM483" s="6"/>
      <c r="DN483" s="6"/>
      <c r="DO483" s="6"/>
      <c r="DP483" s="6"/>
      <c r="DQ483" s="6"/>
      <c r="DR483" s="6"/>
      <c r="DS483" s="6"/>
      <c r="DT483" s="6"/>
      <c r="DU483" s="6"/>
      <c r="DV483" s="6"/>
      <c r="DW483" s="6"/>
      <c r="DX483" s="6"/>
      <c r="DY483" s="6"/>
      <c r="DZ483" s="6"/>
      <c r="EA483" s="6"/>
      <c r="EB483" s="6"/>
      <c r="EC483" s="6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  <c r="ER483" s="6"/>
      <c r="ES483" s="6"/>
      <c r="ET483" s="6"/>
      <c r="EU483" s="6"/>
      <c r="EV483" s="6"/>
      <c r="EW483" s="6"/>
      <c r="EX483" s="6"/>
      <c r="EY483" s="6"/>
      <c r="EZ483" s="6"/>
      <c r="FA483" s="6"/>
      <c r="FB483" s="6"/>
      <c r="FC483" s="6"/>
      <c r="FD483" s="6"/>
      <c r="FE483" s="6"/>
      <c r="FF483" s="6"/>
      <c r="FG483" s="6"/>
      <c r="FH483" s="6"/>
      <c r="FI483" s="6"/>
      <c r="FJ483" s="6"/>
      <c r="FK483" s="6"/>
      <c r="FL483" s="6"/>
      <c r="FM483" s="6"/>
      <c r="FN483" s="6"/>
      <c r="FO483" s="6"/>
      <c r="FP483" s="6"/>
      <c r="FQ483" s="6"/>
      <c r="FR483" s="6"/>
      <c r="FS483" s="6"/>
      <c r="FT483" s="6"/>
      <c r="FU483" s="6"/>
      <c r="FV483" s="6"/>
      <c r="FW483" s="6"/>
      <c r="FX483" s="6"/>
      <c r="FY483" s="6"/>
      <c r="FZ483" s="6"/>
      <c r="GA483" s="6"/>
      <c r="GB483" s="6"/>
      <c r="GC483" s="6"/>
      <c r="GD483" s="6"/>
      <c r="GE483" s="6"/>
      <c r="GF483" s="6"/>
      <c r="GG483" s="6"/>
      <c r="GH483" s="6"/>
      <c r="GI483" s="6"/>
      <c r="GJ483" s="6"/>
      <c r="GK483" s="6"/>
      <c r="GL483" s="6"/>
      <c r="GM483" s="6"/>
      <c r="GN483" s="6"/>
      <c r="GO483" s="6"/>
      <c r="GP483" s="6"/>
      <c r="GQ483" s="6"/>
      <c r="GR483" s="6"/>
      <c r="GS483" s="6"/>
      <c r="GT483" s="6"/>
      <c r="GU483" s="6"/>
      <c r="GV483" s="6"/>
      <c r="GW483" s="6"/>
      <c r="GX483" s="6"/>
      <c r="GY483" s="6"/>
      <c r="GZ483" s="6"/>
      <c r="HA483" s="6"/>
      <c r="HB483" s="6"/>
      <c r="HC483" s="6"/>
      <c r="HD483" s="6"/>
      <c r="HE483" s="6"/>
      <c r="HF483" s="6"/>
      <c r="HG483" s="6"/>
      <c r="HH483" s="6"/>
      <c r="HI483" s="6"/>
      <c r="HJ483" s="6"/>
      <c r="HK483" s="6"/>
      <c r="HL483" s="6"/>
      <c r="HM483" s="6"/>
      <c r="HN483" s="6"/>
      <c r="HO483" s="6"/>
      <c r="HP483" s="6"/>
      <c r="HQ483" s="6"/>
      <c r="HR483" s="6"/>
      <c r="HS483" s="6"/>
      <c r="HT483" s="6"/>
      <c r="HU483" s="6"/>
    </row>
    <row r="484" spans="9:229"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BV484" s="6"/>
      <c r="BW484" s="6"/>
      <c r="BX484" s="6"/>
      <c r="BY484" s="6"/>
      <c r="BZ484" s="6"/>
      <c r="CA484" s="6"/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  <c r="CP484" s="6"/>
      <c r="CQ484" s="6"/>
      <c r="CR484" s="6"/>
      <c r="CS484" s="6"/>
      <c r="CT484" s="6"/>
      <c r="CU484" s="6"/>
      <c r="CV484" s="6"/>
      <c r="CW484" s="6"/>
      <c r="CX484" s="6"/>
      <c r="CY484" s="6"/>
      <c r="CZ484" s="6"/>
      <c r="DA484" s="6"/>
      <c r="DB484" s="6"/>
      <c r="DC484" s="6"/>
      <c r="DD484" s="6"/>
      <c r="DE484" s="6"/>
      <c r="DF484" s="6"/>
      <c r="DG484" s="6"/>
      <c r="DH484" s="6"/>
      <c r="DI484" s="6"/>
      <c r="DJ484" s="6"/>
      <c r="DK484" s="6"/>
      <c r="DL484" s="6"/>
      <c r="DM484" s="6"/>
      <c r="DN484" s="6"/>
      <c r="DO484" s="6"/>
      <c r="DP484" s="6"/>
      <c r="DQ484" s="6"/>
      <c r="DR484" s="6"/>
      <c r="DS484" s="6"/>
      <c r="DT484" s="6"/>
      <c r="DU484" s="6"/>
      <c r="DV484" s="6"/>
      <c r="DW484" s="6"/>
      <c r="DX484" s="6"/>
      <c r="DY484" s="6"/>
      <c r="DZ484" s="6"/>
      <c r="EA484" s="6"/>
      <c r="EB484" s="6"/>
      <c r="EC484" s="6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  <c r="ER484" s="6"/>
      <c r="ES484" s="6"/>
      <c r="ET484" s="6"/>
      <c r="EU484" s="6"/>
      <c r="EV484" s="6"/>
      <c r="EW484" s="6"/>
      <c r="EX484" s="6"/>
      <c r="EY484" s="6"/>
      <c r="EZ484" s="6"/>
      <c r="FA484" s="6"/>
      <c r="FB484" s="6"/>
      <c r="FC484" s="6"/>
      <c r="FD484" s="6"/>
      <c r="FE484" s="6"/>
      <c r="FF484" s="6"/>
      <c r="FG484" s="6"/>
      <c r="FH484" s="6"/>
      <c r="FI484" s="6"/>
      <c r="FJ484" s="6"/>
      <c r="FK484" s="6"/>
      <c r="FL484" s="6"/>
      <c r="FM484" s="6"/>
      <c r="FN484" s="6"/>
      <c r="FO484" s="6"/>
      <c r="FP484" s="6"/>
      <c r="FQ484" s="6"/>
      <c r="FR484" s="6"/>
      <c r="FS484" s="6"/>
      <c r="FT484" s="6"/>
      <c r="FU484" s="6"/>
      <c r="FV484" s="6"/>
      <c r="FW484" s="6"/>
      <c r="FX484" s="6"/>
      <c r="FY484" s="6"/>
      <c r="FZ484" s="6"/>
      <c r="GA484" s="6"/>
      <c r="GB484" s="6"/>
      <c r="GC484" s="6"/>
      <c r="GD484" s="6"/>
      <c r="GE484" s="6"/>
      <c r="GF484" s="6"/>
      <c r="GG484" s="6"/>
      <c r="GH484" s="6"/>
      <c r="GI484" s="6"/>
      <c r="GJ484" s="6"/>
      <c r="GK484" s="6"/>
      <c r="GL484" s="6"/>
      <c r="GM484" s="6"/>
      <c r="GN484" s="6"/>
      <c r="GO484" s="6"/>
      <c r="GP484" s="6"/>
      <c r="GQ484" s="6"/>
      <c r="GR484" s="6"/>
      <c r="GS484" s="6"/>
      <c r="GT484" s="6"/>
      <c r="GU484" s="6"/>
      <c r="GV484" s="6"/>
      <c r="GW484" s="6"/>
      <c r="GX484" s="6"/>
      <c r="GY484" s="6"/>
      <c r="GZ484" s="6"/>
      <c r="HA484" s="6"/>
      <c r="HB484" s="6"/>
      <c r="HC484" s="6"/>
      <c r="HD484" s="6"/>
      <c r="HE484" s="6"/>
      <c r="HF484" s="6"/>
      <c r="HG484" s="6"/>
      <c r="HH484" s="6"/>
      <c r="HI484" s="6"/>
      <c r="HJ484" s="6"/>
      <c r="HK484" s="6"/>
      <c r="HL484" s="6"/>
      <c r="HM484" s="6"/>
      <c r="HN484" s="6"/>
      <c r="HO484" s="6"/>
      <c r="HP484" s="6"/>
      <c r="HQ484" s="6"/>
      <c r="HR484" s="6"/>
      <c r="HS484" s="6"/>
      <c r="HT484" s="6"/>
      <c r="HU484" s="6"/>
    </row>
    <row r="485" spans="9:229"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BV485" s="6"/>
      <c r="BW485" s="6"/>
      <c r="BX485" s="6"/>
      <c r="BY485" s="6"/>
      <c r="BZ485" s="6"/>
      <c r="CA485" s="6"/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  <c r="CP485" s="6"/>
      <c r="CQ485" s="6"/>
      <c r="CR485" s="6"/>
      <c r="CS485" s="6"/>
      <c r="CT485" s="6"/>
      <c r="CU485" s="6"/>
      <c r="CV485" s="6"/>
      <c r="CW485" s="6"/>
      <c r="CX485" s="6"/>
      <c r="CY485" s="6"/>
      <c r="CZ485" s="6"/>
      <c r="DA485" s="6"/>
      <c r="DB485" s="6"/>
      <c r="DC485" s="6"/>
      <c r="DD485" s="6"/>
      <c r="DE485" s="6"/>
      <c r="DF485" s="6"/>
      <c r="DG485" s="6"/>
      <c r="DH485" s="6"/>
      <c r="DI485" s="6"/>
      <c r="DJ485" s="6"/>
      <c r="DK485" s="6"/>
      <c r="DL485" s="6"/>
      <c r="DM485" s="6"/>
      <c r="DN485" s="6"/>
      <c r="DO485" s="6"/>
      <c r="DP485" s="6"/>
      <c r="DQ485" s="6"/>
      <c r="DR485" s="6"/>
      <c r="DS485" s="6"/>
      <c r="DT485" s="6"/>
      <c r="DU485" s="6"/>
      <c r="DV485" s="6"/>
      <c r="DW485" s="6"/>
      <c r="DX485" s="6"/>
      <c r="DY485" s="6"/>
      <c r="DZ485" s="6"/>
      <c r="EA485" s="6"/>
      <c r="EB485" s="6"/>
      <c r="EC485" s="6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  <c r="ER485" s="6"/>
      <c r="ES485" s="6"/>
      <c r="ET485" s="6"/>
      <c r="EU485" s="6"/>
      <c r="EV485" s="6"/>
      <c r="EW485" s="6"/>
      <c r="EX485" s="6"/>
      <c r="EY485" s="6"/>
      <c r="EZ485" s="6"/>
      <c r="FA485" s="6"/>
      <c r="FB485" s="6"/>
      <c r="FC485" s="6"/>
      <c r="FD485" s="6"/>
      <c r="FE485" s="6"/>
      <c r="FF485" s="6"/>
      <c r="FG485" s="6"/>
      <c r="FH485" s="6"/>
      <c r="FI485" s="6"/>
      <c r="FJ485" s="6"/>
      <c r="FK485" s="6"/>
      <c r="FL485" s="6"/>
      <c r="FM485" s="6"/>
      <c r="FN485" s="6"/>
      <c r="FO485" s="6"/>
      <c r="FP485" s="6"/>
      <c r="FQ485" s="6"/>
      <c r="FR485" s="6"/>
      <c r="FS485" s="6"/>
      <c r="FT485" s="6"/>
      <c r="FU485" s="6"/>
      <c r="FV485" s="6"/>
      <c r="FW485" s="6"/>
      <c r="FX485" s="6"/>
      <c r="FY485" s="6"/>
      <c r="FZ485" s="6"/>
      <c r="GA485" s="6"/>
      <c r="GB485" s="6"/>
      <c r="GC485" s="6"/>
      <c r="GD485" s="6"/>
      <c r="GE485" s="6"/>
      <c r="GF485" s="6"/>
      <c r="GG485" s="6"/>
      <c r="GH485" s="6"/>
      <c r="GI485" s="6"/>
      <c r="GJ485" s="6"/>
      <c r="GK485" s="6"/>
      <c r="GL485" s="6"/>
      <c r="GM485" s="6"/>
      <c r="GN485" s="6"/>
      <c r="GO485" s="6"/>
      <c r="GP485" s="6"/>
      <c r="GQ485" s="6"/>
      <c r="GR485" s="6"/>
      <c r="GS485" s="6"/>
      <c r="GT485" s="6"/>
      <c r="GU485" s="6"/>
      <c r="GV485" s="6"/>
      <c r="GW485" s="6"/>
      <c r="GX485" s="6"/>
      <c r="GY485" s="6"/>
      <c r="GZ485" s="6"/>
      <c r="HA485" s="6"/>
      <c r="HB485" s="6"/>
      <c r="HC485" s="6"/>
      <c r="HD485" s="6"/>
      <c r="HE485" s="6"/>
      <c r="HF485" s="6"/>
      <c r="HG485" s="6"/>
      <c r="HH485" s="6"/>
      <c r="HI485" s="6"/>
      <c r="HJ485" s="6"/>
      <c r="HK485" s="6"/>
      <c r="HL485" s="6"/>
      <c r="HM485" s="6"/>
      <c r="HN485" s="6"/>
      <c r="HO485" s="6"/>
      <c r="HP485" s="6"/>
      <c r="HQ485" s="6"/>
      <c r="HR485" s="6"/>
      <c r="HS485" s="6"/>
      <c r="HT485" s="6"/>
      <c r="HU485" s="6"/>
    </row>
    <row r="486" spans="9:229"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BV486" s="6"/>
      <c r="BW486" s="6"/>
      <c r="BX486" s="6"/>
      <c r="BY486" s="6"/>
      <c r="BZ486" s="6"/>
      <c r="CA486" s="6"/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  <c r="CP486" s="6"/>
      <c r="CQ486" s="6"/>
      <c r="CR486" s="6"/>
      <c r="CS486" s="6"/>
      <c r="CT486" s="6"/>
      <c r="CU486" s="6"/>
      <c r="CV486" s="6"/>
      <c r="CW486" s="6"/>
      <c r="CX486" s="6"/>
      <c r="CY486" s="6"/>
      <c r="CZ486" s="6"/>
      <c r="DA486" s="6"/>
      <c r="DB486" s="6"/>
      <c r="DC486" s="6"/>
      <c r="DD486" s="6"/>
      <c r="DE486" s="6"/>
      <c r="DF486" s="6"/>
      <c r="DG486" s="6"/>
      <c r="DH486" s="6"/>
      <c r="DI486" s="6"/>
      <c r="DJ486" s="6"/>
      <c r="DK486" s="6"/>
      <c r="DL486" s="6"/>
      <c r="DM486" s="6"/>
      <c r="DN486" s="6"/>
      <c r="DO486" s="6"/>
      <c r="DP486" s="6"/>
      <c r="DQ486" s="6"/>
      <c r="DR486" s="6"/>
      <c r="DS486" s="6"/>
      <c r="DT486" s="6"/>
      <c r="DU486" s="6"/>
      <c r="DV486" s="6"/>
      <c r="DW486" s="6"/>
      <c r="DX486" s="6"/>
      <c r="DY486" s="6"/>
      <c r="DZ486" s="6"/>
      <c r="EA486" s="6"/>
      <c r="EB486" s="6"/>
      <c r="EC486" s="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  <c r="ER486" s="6"/>
      <c r="ES486" s="6"/>
      <c r="ET486" s="6"/>
      <c r="EU486" s="6"/>
      <c r="EV486" s="6"/>
      <c r="EW486" s="6"/>
      <c r="EX486" s="6"/>
      <c r="EY486" s="6"/>
      <c r="EZ486" s="6"/>
      <c r="FA486" s="6"/>
      <c r="FB486" s="6"/>
      <c r="FC486" s="6"/>
      <c r="FD486" s="6"/>
      <c r="FE486" s="6"/>
      <c r="FF486" s="6"/>
      <c r="FG486" s="6"/>
      <c r="FH486" s="6"/>
      <c r="FI486" s="6"/>
      <c r="FJ486" s="6"/>
      <c r="FK486" s="6"/>
      <c r="FL486" s="6"/>
      <c r="FM486" s="6"/>
      <c r="FN486" s="6"/>
      <c r="FO486" s="6"/>
      <c r="FP486" s="6"/>
      <c r="FQ486" s="6"/>
      <c r="FR486" s="6"/>
      <c r="FS486" s="6"/>
      <c r="FT486" s="6"/>
      <c r="FU486" s="6"/>
      <c r="FV486" s="6"/>
      <c r="FW486" s="6"/>
      <c r="FX486" s="6"/>
      <c r="FY486" s="6"/>
      <c r="FZ486" s="6"/>
      <c r="GA486" s="6"/>
      <c r="GB486" s="6"/>
      <c r="GC486" s="6"/>
      <c r="GD486" s="6"/>
      <c r="GE486" s="6"/>
      <c r="GF486" s="6"/>
      <c r="GG486" s="6"/>
      <c r="GH486" s="6"/>
      <c r="GI486" s="6"/>
      <c r="GJ486" s="6"/>
      <c r="GK486" s="6"/>
      <c r="GL486" s="6"/>
      <c r="GM486" s="6"/>
      <c r="GN486" s="6"/>
      <c r="GO486" s="6"/>
      <c r="GP486" s="6"/>
      <c r="GQ486" s="6"/>
      <c r="GR486" s="6"/>
      <c r="GS486" s="6"/>
      <c r="GT486" s="6"/>
      <c r="GU486" s="6"/>
      <c r="GV486" s="6"/>
      <c r="GW486" s="6"/>
      <c r="GX486" s="6"/>
      <c r="GY486" s="6"/>
      <c r="GZ486" s="6"/>
      <c r="HA486" s="6"/>
      <c r="HB486" s="6"/>
      <c r="HC486" s="6"/>
      <c r="HD486" s="6"/>
      <c r="HE486" s="6"/>
      <c r="HF486" s="6"/>
      <c r="HG486" s="6"/>
      <c r="HH486" s="6"/>
      <c r="HI486" s="6"/>
      <c r="HJ486" s="6"/>
      <c r="HK486" s="6"/>
      <c r="HL486" s="6"/>
      <c r="HM486" s="6"/>
      <c r="HN486" s="6"/>
      <c r="HO486" s="6"/>
      <c r="HP486" s="6"/>
      <c r="HQ486" s="6"/>
      <c r="HR486" s="6"/>
      <c r="HS486" s="6"/>
      <c r="HT486" s="6"/>
      <c r="HU486" s="6"/>
    </row>
    <row r="487" spans="9:229"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BV487" s="6"/>
      <c r="BW487" s="6"/>
      <c r="BX487" s="6"/>
      <c r="BY487" s="6"/>
      <c r="BZ487" s="6"/>
      <c r="CA487" s="6"/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  <c r="CP487" s="6"/>
      <c r="CQ487" s="6"/>
      <c r="CR487" s="6"/>
      <c r="CS487" s="6"/>
      <c r="CT487" s="6"/>
      <c r="CU487" s="6"/>
      <c r="CV487" s="6"/>
      <c r="CW487" s="6"/>
      <c r="CX487" s="6"/>
      <c r="CY487" s="6"/>
      <c r="CZ487" s="6"/>
      <c r="DA487" s="6"/>
      <c r="DB487" s="6"/>
      <c r="DC487" s="6"/>
      <c r="DD487" s="6"/>
      <c r="DE487" s="6"/>
      <c r="DF487" s="6"/>
      <c r="DG487" s="6"/>
      <c r="DH487" s="6"/>
      <c r="DI487" s="6"/>
      <c r="DJ487" s="6"/>
      <c r="DK487" s="6"/>
      <c r="DL487" s="6"/>
      <c r="DM487" s="6"/>
      <c r="DN487" s="6"/>
      <c r="DO487" s="6"/>
      <c r="DP487" s="6"/>
      <c r="DQ487" s="6"/>
      <c r="DR487" s="6"/>
      <c r="DS487" s="6"/>
      <c r="DT487" s="6"/>
      <c r="DU487" s="6"/>
      <c r="DV487" s="6"/>
      <c r="DW487" s="6"/>
      <c r="DX487" s="6"/>
      <c r="DY487" s="6"/>
      <c r="DZ487" s="6"/>
      <c r="EA487" s="6"/>
      <c r="EB487" s="6"/>
      <c r="EC487" s="6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  <c r="ER487" s="6"/>
      <c r="ES487" s="6"/>
      <c r="ET487" s="6"/>
      <c r="EU487" s="6"/>
      <c r="EV487" s="6"/>
      <c r="EW487" s="6"/>
      <c r="EX487" s="6"/>
      <c r="EY487" s="6"/>
      <c r="EZ487" s="6"/>
      <c r="FA487" s="6"/>
      <c r="FB487" s="6"/>
      <c r="FC487" s="6"/>
      <c r="FD487" s="6"/>
      <c r="FE487" s="6"/>
      <c r="FF487" s="6"/>
      <c r="FG487" s="6"/>
      <c r="FH487" s="6"/>
      <c r="FI487" s="6"/>
      <c r="FJ487" s="6"/>
      <c r="FK487" s="6"/>
      <c r="FL487" s="6"/>
      <c r="FM487" s="6"/>
      <c r="FN487" s="6"/>
      <c r="FO487" s="6"/>
      <c r="FP487" s="6"/>
      <c r="FQ487" s="6"/>
      <c r="FR487" s="6"/>
      <c r="FS487" s="6"/>
      <c r="FT487" s="6"/>
      <c r="FU487" s="6"/>
      <c r="FV487" s="6"/>
      <c r="FW487" s="6"/>
      <c r="FX487" s="6"/>
      <c r="FY487" s="6"/>
      <c r="FZ487" s="6"/>
      <c r="GA487" s="6"/>
      <c r="GB487" s="6"/>
      <c r="GC487" s="6"/>
      <c r="GD487" s="6"/>
      <c r="GE487" s="6"/>
      <c r="GF487" s="6"/>
      <c r="GG487" s="6"/>
      <c r="GH487" s="6"/>
      <c r="GI487" s="6"/>
      <c r="GJ487" s="6"/>
      <c r="GK487" s="6"/>
      <c r="GL487" s="6"/>
      <c r="GM487" s="6"/>
      <c r="GN487" s="6"/>
      <c r="GO487" s="6"/>
      <c r="GP487" s="6"/>
      <c r="GQ487" s="6"/>
      <c r="GR487" s="6"/>
      <c r="GS487" s="6"/>
      <c r="GT487" s="6"/>
      <c r="GU487" s="6"/>
      <c r="GV487" s="6"/>
      <c r="GW487" s="6"/>
      <c r="GX487" s="6"/>
      <c r="GY487" s="6"/>
      <c r="GZ487" s="6"/>
      <c r="HA487" s="6"/>
      <c r="HB487" s="6"/>
      <c r="HC487" s="6"/>
      <c r="HD487" s="6"/>
      <c r="HE487" s="6"/>
      <c r="HF487" s="6"/>
      <c r="HG487" s="6"/>
      <c r="HH487" s="6"/>
      <c r="HI487" s="6"/>
      <c r="HJ487" s="6"/>
      <c r="HK487" s="6"/>
      <c r="HL487" s="6"/>
      <c r="HM487" s="6"/>
      <c r="HN487" s="6"/>
      <c r="HO487" s="6"/>
      <c r="HP487" s="6"/>
      <c r="HQ487" s="6"/>
      <c r="HR487" s="6"/>
      <c r="HS487" s="6"/>
      <c r="HT487" s="6"/>
      <c r="HU487" s="6"/>
    </row>
    <row r="488" spans="9:229"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BV488" s="6"/>
      <c r="BW488" s="6"/>
      <c r="BX488" s="6"/>
      <c r="BY488" s="6"/>
      <c r="BZ488" s="6"/>
      <c r="CA488" s="6"/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  <c r="CP488" s="6"/>
      <c r="CQ488" s="6"/>
      <c r="CR488" s="6"/>
      <c r="CS488" s="6"/>
      <c r="CT488" s="6"/>
      <c r="CU488" s="6"/>
      <c r="CV488" s="6"/>
      <c r="CW488" s="6"/>
      <c r="CX488" s="6"/>
      <c r="CY488" s="6"/>
      <c r="CZ488" s="6"/>
      <c r="DA488" s="6"/>
      <c r="DB488" s="6"/>
      <c r="DC488" s="6"/>
      <c r="DD488" s="6"/>
      <c r="DE488" s="6"/>
      <c r="DF488" s="6"/>
      <c r="DG488" s="6"/>
      <c r="DH488" s="6"/>
      <c r="DI488" s="6"/>
      <c r="DJ488" s="6"/>
      <c r="DK488" s="6"/>
      <c r="DL488" s="6"/>
      <c r="DM488" s="6"/>
      <c r="DN488" s="6"/>
      <c r="DO488" s="6"/>
      <c r="DP488" s="6"/>
      <c r="DQ488" s="6"/>
      <c r="DR488" s="6"/>
      <c r="DS488" s="6"/>
      <c r="DT488" s="6"/>
      <c r="DU488" s="6"/>
      <c r="DV488" s="6"/>
      <c r="DW488" s="6"/>
      <c r="DX488" s="6"/>
      <c r="DY488" s="6"/>
      <c r="DZ488" s="6"/>
      <c r="EA488" s="6"/>
      <c r="EB488" s="6"/>
      <c r="EC488" s="6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  <c r="ER488" s="6"/>
      <c r="ES488" s="6"/>
      <c r="ET488" s="6"/>
      <c r="EU488" s="6"/>
      <c r="EV488" s="6"/>
      <c r="EW488" s="6"/>
      <c r="EX488" s="6"/>
      <c r="EY488" s="6"/>
      <c r="EZ488" s="6"/>
      <c r="FA488" s="6"/>
      <c r="FB488" s="6"/>
      <c r="FC488" s="6"/>
      <c r="FD488" s="6"/>
      <c r="FE488" s="6"/>
      <c r="FF488" s="6"/>
      <c r="FG488" s="6"/>
      <c r="FH488" s="6"/>
      <c r="FI488" s="6"/>
      <c r="FJ488" s="6"/>
      <c r="FK488" s="6"/>
      <c r="FL488" s="6"/>
      <c r="FM488" s="6"/>
      <c r="FN488" s="6"/>
      <c r="FO488" s="6"/>
      <c r="FP488" s="6"/>
      <c r="FQ488" s="6"/>
      <c r="FR488" s="6"/>
      <c r="FS488" s="6"/>
      <c r="FT488" s="6"/>
      <c r="FU488" s="6"/>
      <c r="FV488" s="6"/>
      <c r="FW488" s="6"/>
      <c r="FX488" s="6"/>
      <c r="FY488" s="6"/>
      <c r="FZ488" s="6"/>
      <c r="GA488" s="6"/>
      <c r="GB488" s="6"/>
      <c r="GC488" s="6"/>
      <c r="GD488" s="6"/>
      <c r="GE488" s="6"/>
      <c r="GF488" s="6"/>
      <c r="GG488" s="6"/>
      <c r="GH488" s="6"/>
      <c r="GI488" s="6"/>
      <c r="GJ488" s="6"/>
      <c r="GK488" s="6"/>
      <c r="GL488" s="6"/>
      <c r="GM488" s="6"/>
      <c r="GN488" s="6"/>
      <c r="GO488" s="6"/>
      <c r="GP488" s="6"/>
      <c r="GQ488" s="6"/>
      <c r="GR488" s="6"/>
      <c r="GS488" s="6"/>
      <c r="GT488" s="6"/>
      <c r="GU488" s="6"/>
      <c r="GV488" s="6"/>
      <c r="GW488" s="6"/>
      <c r="GX488" s="6"/>
      <c r="GY488" s="6"/>
      <c r="GZ488" s="6"/>
      <c r="HA488" s="6"/>
      <c r="HB488" s="6"/>
      <c r="HC488" s="6"/>
      <c r="HD488" s="6"/>
      <c r="HE488" s="6"/>
      <c r="HF488" s="6"/>
      <c r="HG488" s="6"/>
      <c r="HH488" s="6"/>
      <c r="HI488" s="6"/>
      <c r="HJ488" s="6"/>
      <c r="HK488" s="6"/>
      <c r="HL488" s="6"/>
      <c r="HM488" s="6"/>
      <c r="HN488" s="6"/>
      <c r="HO488" s="6"/>
      <c r="HP488" s="6"/>
      <c r="HQ488" s="6"/>
      <c r="HR488" s="6"/>
      <c r="HS488" s="6"/>
      <c r="HT488" s="6"/>
      <c r="HU488" s="6"/>
    </row>
    <row r="489" spans="9:229"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  <c r="CP489" s="6"/>
      <c r="CQ489" s="6"/>
      <c r="CR489" s="6"/>
      <c r="CS489" s="6"/>
      <c r="CT489" s="6"/>
      <c r="CU489" s="6"/>
      <c r="CV489" s="6"/>
      <c r="CW489" s="6"/>
      <c r="CX489" s="6"/>
      <c r="CY489" s="6"/>
      <c r="CZ489" s="6"/>
      <c r="DA489" s="6"/>
      <c r="DB489" s="6"/>
      <c r="DC489" s="6"/>
      <c r="DD489" s="6"/>
      <c r="DE489" s="6"/>
      <c r="DF489" s="6"/>
      <c r="DG489" s="6"/>
      <c r="DH489" s="6"/>
      <c r="DI489" s="6"/>
      <c r="DJ489" s="6"/>
      <c r="DK489" s="6"/>
      <c r="DL489" s="6"/>
      <c r="DM489" s="6"/>
      <c r="DN489" s="6"/>
      <c r="DO489" s="6"/>
      <c r="DP489" s="6"/>
      <c r="DQ489" s="6"/>
      <c r="DR489" s="6"/>
      <c r="DS489" s="6"/>
      <c r="DT489" s="6"/>
      <c r="DU489" s="6"/>
      <c r="DV489" s="6"/>
      <c r="DW489" s="6"/>
      <c r="DX489" s="6"/>
      <c r="DY489" s="6"/>
      <c r="DZ489" s="6"/>
      <c r="EA489" s="6"/>
      <c r="EB489" s="6"/>
      <c r="EC489" s="6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  <c r="ER489" s="6"/>
      <c r="ES489" s="6"/>
      <c r="ET489" s="6"/>
      <c r="EU489" s="6"/>
      <c r="EV489" s="6"/>
      <c r="EW489" s="6"/>
      <c r="EX489" s="6"/>
      <c r="EY489" s="6"/>
      <c r="EZ489" s="6"/>
      <c r="FA489" s="6"/>
      <c r="FB489" s="6"/>
      <c r="FC489" s="6"/>
      <c r="FD489" s="6"/>
      <c r="FE489" s="6"/>
      <c r="FF489" s="6"/>
      <c r="FG489" s="6"/>
      <c r="FH489" s="6"/>
      <c r="FI489" s="6"/>
      <c r="FJ489" s="6"/>
      <c r="FK489" s="6"/>
      <c r="FL489" s="6"/>
      <c r="FM489" s="6"/>
      <c r="FN489" s="6"/>
      <c r="FO489" s="6"/>
      <c r="FP489" s="6"/>
      <c r="FQ489" s="6"/>
      <c r="FR489" s="6"/>
      <c r="FS489" s="6"/>
      <c r="FT489" s="6"/>
      <c r="FU489" s="6"/>
      <c r="FV489" s="6"/>
      <c r="FW489" s="6"/>
      <c r="FX489" s="6"/>
      <c r="FY489" s="6"/>
      <c r="FZ489" s="6"/>
      <c r="GA489" s="6"/>
      <c r="GB489" s="6"/>
      <c r="GC489" s="6"/>
      <c r="GD489" s="6"/>
      <c r="GE489" s="6"/>
      <c r="GF489" s="6"/>
      <c r="GG489" s="6"/>
      <c r="GH489" s="6"/>
      <c r="GI489" s="6"/>
      <c r="GJ489" s="6"/>
      <c r="GK489" s="6"/>
      <c r="GL489" s="6"/>
      <c r="GM489" s="6"/>
      <c r="GN489" s="6"/>
      <c r="GO489" s="6"/>
      <c r="GP489" s="6"/>
      <c r="GQ489" s="6"/>
      <c r="GR489" s="6"/>
      <c r="GS489" s="6"/>
      <c r="GT489" s="6"/>
      <c r="GU489" s="6"/>
      <c r="GV489" s="6"/>
      <c r="GW489" s="6"/>
      <c r="GX489" s="6"/>
      <c r="GY489" s="6"/>
      <c r="GZ489" s="6"/>
      <c r="HA489" s="6"/>
      <c r="HB489" s="6"/>
      <c r="HC489" s="6"/>
      <c r="HD489" s="6"/>
      <c r="HE489" s="6"/>
      <c r="HF489" s="6"/>
      <c r="HG489" s="6"/>
      <c r="HH489" s="6"/>
      <c r="HI489" s="6"/>
      <c r="HJ489" s="6"/>
      <c r="HK489" s="6"/>
      <c r="HL489" s="6"/>
      <c r="HM489" s="6"/>
      <c r="HN489" s="6"/>
      <c r="HO489" s="6"/>
      <c r="HP489" s="6"/>
      <c r="HQ489" s="6"/>
      <c r="HR489" s="6"/>
      <c r="HS489" s="6"/>
      <c r="HT489" s="6"/>
      <c r="HU489" s="6"/>
    </row>
    <row r="490" spans="9:229"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BV490" s="6"/>
      <c r="BW490" s="6"/>
      <c r="BX490" s="6"/>
      <c r="BY490" s="6"/>
      <c r="BZ490" s="6"/>
      <c r="CA490" s="6"/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  <c r="CP490" s="6"/>
      <c r="CQ490" s="6"/>
      <c r="CR490" s="6"/>
      <c r="CS490" s="6"/>
      <c r="CT490" s="6"/>
      <c r="CU490" s="6"/>
      <c r="CV490" s="6"/>
      <c r="CW490" s="6"/>
      <c r="CX490" s="6"/>
      <c r="CY490" s="6"/>
      <c r="CZ490" s="6"/>
      <c r="DA490" s="6"/>
      <c r="DB490" s="6"/>
      <c r="DC490" s="6"/>
      <c r="DD490" s="6"/>
      <c r="DE490" s="6"/>
      <c r="DF490" s="6"/>
      <c r="DG490" s="6"/>
      <c r="DH490" s="6"/>
      <c r="DI490" s="6"/>
      <c r="DJ490" s="6"/>
      <c r="DK490" s="6"/>
      <c r="DL490" s="6"/>
      <c r="DM490" s="6"/>
      <c r="DN490" s="6"/>
      <c r="DO490" s="6"/>
      <c r="DP490" s="6"/>
      <c r="DQ490" s="6"/>
      <c r="DR490" s="6"/>
      <c r="DS490" s="6"/>
      <c r="DT490" s="6"/>
      <c r="DU490" s="6"/>
      <c r="DV490" s="6"/>
      <c r="DW490" s="6"/>
      <c r="DX490" s="6"/>
      <c r="DY490" s="6"/>
      <c r="DZ490" s="6"/>
      <c r="EA490" s="6"/>
      <c r="EB490" s="6"/>
      <c r="EC490" s="6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  <c r="ER490" s="6"/>
      <c r="ES490" s="6"/>
      <c r="ET490" s="6"/>
      <c r="EU490" s="6"/>
      <c r="EV490" s="6"/>
      <c r="EW490" s="6"/>
      <c r="EX490" s="6"/>
      <c r="EY490" s="6"/>
      <c r="EZ490" s="6"/>
      <c r="FA490" s="6"/>
      <c r="FB490" s="6"/>
      <c r="FC490" s="6"/>
      <c r="FD490" s="6"/>
      <c r="FE490" s="6"/>
      <c r="FF490" s="6"/>
      <c r="FG490" s="6"/>
      <c r="FH490" s="6"/>
      <c r="FI490" s="6"/>
      <c r="FJ490" s="6"/>
      <c r="FK490" s="6"/>
      <c r="FL490" s="6"/>
      <c r="FM490" s="6"/>
      <c r="FN490" s="6"/>
      <c r="FO490" s="6"/>
      <c r="FP490" s="6"/>
      <c r="FQ490" s="6"/>
      <c r="FR490" s="6"/>
      <c r="FS490" s="6"/>
      <c r="FT490" s="6"/>
      <c r="FU490" s="6"/>
      <c r="FV490" s="6"/>
      <c r="FW490" s="6"/>
      <c r="FX490" s="6"/>
      <c r="FY490" s="6"/>
      <c r="FZ490" s="6"/>
      <c r="GA490" s="6"/>
      <c r="GB490" s="6"/>
      <c r="GC490" s="6"/>
      <c r="GD490" s="6"/>
      <c r="GE490" s="6"/>
      <c r="GF490" s="6"/>
      <c r="GG490" s="6"/>
      <c r="GH490" s="6"/>
      <c r="GI490" s="6"/>
      <c r="GJ490" s="6"/>
      <c r="GK490" s="6"/>
      <c r="GL490" s="6"/>
      <c r="GM490" s="6"/>
      <c r="GN490" s="6"/>
      <c r="GO490" s="6"/>
      <c r="GP490" s="6"/>
      <c r="GQ490" s="6"/>
      <c r="GR490" s="6"/>
      <c r="GS490" s="6"/>
      <c r="GT490" s="6"/>
      <c r="GU490" s="6"/>
      <c r="GV490" s="6"/>
      <c r="GW490" s="6"/>
      <c r="GX490" s="6"/>
      <c r="GY490" s="6"/>
      <c r="GZ490" s="6"/>
      <c r="HA490" s="6"/>
      <c r="HB490" s="6"/>
      <c r="HC490" s="6"/>
      <c r="HD490" s="6"/>
      <c r="HE490" s="6"/>
      <c r="HF490" s="6"/>
      <c r="HG490" s="6"/>
      <c r="HH490" s="6"/>
      <c r="HI490" s="6"/>
      <c r="HJ490" s="6"/>
      <c r="HK490" s="6"/>
      <c r="HL490" s="6"/>
      <c r="HM490" s="6"/>
      <c r="HN490" s="6"/>
      <c r="HO490" s="6"/>
      <c r="HP490" s="6"/>
      <c r="HQ490" s="6"/>
      <c r="HR490" s="6"/>
      <c r="HS490" s="6"/>
      <c r="HT490" s="6"/>
      <c r="HU490" s="6"/>
    </row>
    <row r="491" spans="9:229"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BV491" s="6"/>
      <c r="BW491" s="6"/>
      <c r="BX491" s="6"/>
      <c r="BY491" s="6"/>
      <c r="BZ491" s="6"/>
      <c r="CA491" s="6"/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  <c r="CP491" s="6"/>
      <c r="CQ491" s="6"/>
      <c r="CR491" s="6"/>
      <c r="CS491" s="6"/>
      <c r="CT491" s="6"/>
      <c r="CU491" s="6"/>
      <c r="CV491" s="6"/>
      <c r="CW491" s="6"/>
      <c r="CX491" s="6"/>
      <c r="CY491" s="6"/>
      <c r="CZ491" s="6"/>
      <c r="DA491" s="6"/>
      <c r="DB491" s="6"/>
      <c r="DC491" s="6"/>
      <c r="DD491" s="6"/>
      <c r="DE491" s="6"/>
      <c r="DF491" s="6"/>
      <c r="DG491" s="6"/>
      <c r="DH491" s="6"/>
      <c r="DI491" s="6"/>
      <c r="DJ491" s="6"/>
      <c r="DK491" s="6"/>
      <c r="DL491" s="6"/>
      <c r="DM491" s="6"/>
      <c r="DN491" s="6"/>
      <c r="DO491" s="6"/>
      <c r="DP491" s="6"/>
      <c r="DQ491" s="6"/>
      <c r="DR491" s="6"/>
      <c r="DS491" s="6"/>
      <c r="DT491" s="6"/>
      <c r="DU491" s="6"/>
      <c r="DV491" s="6"/>
      <c r="DW491" s="6"/>
      <c r="DX491" s="6"/>
      <c r="DY491" s="6"/>
      <c r="DZ491" s="6"/>
      <c r="EA491" s="6"/>
      <c r="EB491" s="6"/>
      <c r="EC491" s="6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  <c r="ER491" s="6"/>
      <c r="ES491" s="6"/>
      <c r="ET491" s="6"/>
      <c r="EU491" s="6"/>
      <c r="EV491" s="6"/>
      <c r="EW491" s="6"/>
      <c r="EX491" s="6"/>
      <c r="EY491" s="6"/>
      <c r="EZ491" s="6"/>
      <c r="FA491" s="6"/>
      <c r="FB491" s="6"/>
      <c r="FC491" s="6"/>
      <c r="FD491" s="6"/>
      <c r="FE491" s="6"/>
      <c r="FF491" s="6"/>
      <c r="FG491" s="6"/>
      <c r="FH491" s="6"/>
      <c r="FI491" s="6"/>
      <c r="FJ491" s="6"/>
      <c r="FK491" s="6"/>
      <c r="FL491" s="6"/>
      <c r="FM491" s="6"/>
      <c r="FN491" s="6"/>
      <c r="FO491" s="6"/>
      <c r="FP491" s="6"/>
      <c r="FQ491" s="6"/>
      <c r="FR491" s="6"/>
      <c r="FS491" s="6"/>
      <c r="FT491" s="6"/>
      <c r="FU491" s="6"/>
      <c r="FV491" s="6"/>
      <c r="FW491" s="6"/>
      <c r="FX491" s="6"/>
      <c r="FY491" s="6"/>
      <c r="FZ491" s="6"/>
      <c r="GA491" s="6"/>
      <c r="GB491" s="6"/>
      <c r="GC491" s="6"/>
      <c r="GD491" s="6"/>
      <c r="GE491" s="6"/>
      <c r="GF491" s="6"/>
      <c r="GG491" s="6"/>
      <c r="GH491" s="6"/>
      <c r="GI491" s="6"/>
      <c r="GJ491" s="6"/>
      <c r="GK491" s="6"/>
      <c r="GL491" s="6"/>
      <c r="GM491" s="6"/>
      <c r="GN491" s="6"/>
      <c r="GO491" s="6"/>
      <c r="GP491" s="6"/>
      <c r="GQ491" s="6"/>
      <c r="GR491" s="6"/>
      <c r="GS491" s="6"/>
      <c r="GT491" s="6"/>
      <c r="GU491" s="6"/>
      <c r="GV491" s="6"/>
      <c r="GW491" s="6"/>
      <c r="GX491" s="6"/>
      <c r="GY491" s="6"/>
      <c r="GZ491" s="6"/>
      <c r="HA491" s="6"/>
      <c r="HB491" s="6"/>
      <c r="HC491" s="6"/>
      <c r="HD491" s="6"/>
      <c r="HE491" s="6"/>
      <c r="HF491" s="6"/>
      <c r="HG491" s="6"/>
      <c r="HH491" s="6"/>
      <c r="HI491" s="6"/>
      <c r="HJ491" s="6"/>
      <c r="HK491" s="6"/>
      <c r="HL491" s="6"/>
      <c r="HM491" s="6"/>
      <c r="HN491" s="6"/>
      <c r="HO491" s="6"/>
      <c r="HP491" s="6"/>
      <c r="HQ491" s="6"/>
      <c r="HR491" s="6"/>
      <c r="HS491" s="6"/>
      <c r="HT491" s="6"/>
      <c r="HU491" s="6"/>
    </row>
    <row r="492" spans="9:229"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BV492" s="6"/>
      <c r="BW492" s="6"/>
      <c r="BX492" s="6"/>
      <c r="BY492" s="6"/>
      <c r="BZ492" s="6"/>
      <c r="CA492" s="6"/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  <c r="CP492" s="6"/>
      <c r="CQ492" s="6"/>
      <c r="CR492" s="6"/>
      <c r="CS492" s="6"/>
      <c r="CT492" s="6"/>
      <c r="CU492" s="6"/>
      <c r="CV492" s="6"/>
      <c r="CW492" s="6"/>
      <c r="CX492" s="6"/>
      <c r="CY492" s="6"/>
      <c r="CZ492" s="6"/>
      <c r="DA492" s="6"/>
      <c r="DB492" s="6"/>
      <c r="DC492" s="6"/>
      <c r="DD492" s="6"/>
      <c r="DE492" s="6"/>
      <c r="DF492" s="6"/>
      <c r="DG492" s="6"/>
      <c r="DH492" s="6"/>
      <c r="DI492" s="6"/>
      <c r="DJ492" s="6"/>
      <c r="DK492" s="6"/>
      <c r="DL492" s="6"/>
      <c r="DM492" s="6"/>
      <c r="DN492" s="6"/>
      <c r="DO492" s="6"/>
      <c r="DP492" s="6"/>
      <c r="DQ492" s="6"/>
      <c r="DR492" s="6"/>
      <c r="DS492" s="6"/>
      <c r="DT492" s="6"/>
      <c r="DU492" s="6"/>
      <c r="DV492" s="6"/>
      <c r="DW492" s="6"/>
      <c r="DX492" s="6"/>
      <c r="DY492" s="6"/>
      <c r="DZ492" s="6"/>
      <c r="EA492" s="6"/>
      <c r="EB492" s="6"/>
      <c r="EC492" s="6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  <c r="ER492" s="6"/>
      <c r="ES492" s="6"/>
      <c r="ET492" s="6"/>
      <c r="EU492" s="6"/>
      <c r="EV492" s="6"/>
      <c r="EW492" s="6"/>
      <c r="EX492" s="6"/>
      <c r="EY492" s="6"/>
      <c r="EZ492" s="6"/>
      <c r="FA492" s="6"/>
      <c r="FB492" s="6"/>
      <c r="FC492" s="6"/>
      <c r="FD492" s="6"/>
      <c r="FE492" s="6"/>
      <c r="FF492" s="6"/>
      <c r="FG492" s="6"/>
      <c r="FH492" s="6"/>
      <c r="FI492" s="6"/>
      <c r="FJ492" s="6"/>
      <c r="FK492" s="6"/>
      <c r="FL492" s="6"/>
      <c r="FM492" s="6"/>
      <c r="FN492" s="6"/>
      <c r="FO492" s="6"/>
      <c r="FP492" s="6"/>
      <c r="FQ492" s="6"/>
      <c r="FR492" s="6"/>
      <c r="FS492" s="6"/>
      <c r="FT492" s="6"/>
      <c r="FU492" s="6"/>
      <c r="FV492" s="6"/>
      <c r="FW492" s="6"/>
      <c r="FX492" s="6"/>
      <c r="FY492" s="6"/>
      <c r="FZ492" s="6"/>
      <c r="GA492" s="6"/>
      <c r="GB492" s="6"/>
      <c r="GC492" s="6"/>
      <c r="GD492" s="6"/>
      <c r="GE492" s="6"/>
      <c r="GF492" s="6"/>
      <c r="GG492" s="6"/>
      <c r="GH492" s="6"/>
      <c r="GI492" s="6"/>
      <c r="GJ492" s="6"/>
      <c r="GK492" s="6"/>
      <c r="GL492" s="6"/>
      <c r="GM492" s="6"/>
      <c r="GN492" s="6"/>
      <c r="GO492" s="6"/>
      <c r="GP492" s="6"/>
      <c r="GQ492" s="6"/>
      <c r="GR492" s="6"/>
      <c r="GS492" s="6"/>
      <c r="GT492" s="6"/>
      <c r="GU492" s="6"/>
      <c r="GV492" s="6"/>
      <c r="GW492" s="6"/>
      <c r="GX492" s="6"/>
      <c r="GY492" s="6"/>
      <c r="GZ492" s="6"/>
      <c r="HA492" s="6"/>
      <c r="HB492" s="6"/>
      <c r="HC492" s="6"/>
      <c r="HD492" s="6"/>
      <c r="HE492" s="6"/>
      <c r="HF492" s="6"/>
      <c r="HG492" s="6"/>
      <c r="HH492" s="6"/>
      <c r="HI492" s="6"/>
      <c r="HJ492" s="6"/>
      <c r="HK492" s="6"/>
      <c r="HL492" s="6"/>
      <c r="HM492" s="6"/>
      <c r="HN492" s="6"/>
      <c r="HO492" s="6"/>
      <c r="HP492" s="6"/>
      <c r="HQ492" s="6"/>
      <c r="HR492" s="6"/>
      <c r="HS492" s="6"/>
      <c r="HT492" s="6"/>
      <c r="HU492" s="6"/>
    </row>
    <row r="493" spans="9:229"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BV493" s="6"/>
      <c r="BW493" s="6"/>
      <c r="BX493" s="6"/>
      <c r="BY493" s="6"/>
      <c r="BZ493" s="6"/>
      <c r="CA493" s="6"/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  <c r="CP493" s="6"/>
      <c r="CQ493" s="6"/>
      <c r="CR493" s="6"/>
      <c r="CS493" s="6"/>
      <c r="CT493" s="6"/>
      <c r="CU493" s="6"/>
      <c r="CV493" s="6"/>
      <c r="CW493" s="6"/>
      <c r="CX493" s="6"/>
      <c r="CY493" s="6"/>
      <c r="CZ493" s="6"/>
      <c r="DA493" s="6"/>
      <c r="DB493" s="6"/>
      <c r="DC493" s="6"/>
      <c r="DD493" s="6"/>
      <c r="DE493" s="6"/>
      <c r="DF493" s="6"/>
      <c r="DG493" s="6"/>
      <c r="DH493" s="6"/>
      <c r="DI493" s="6"/>
      <c r="DJ493" s="6"/>
      <c r="DK493" s="6"/>
      <c r="DL493" s="6"/>
      <c r="DM493" s="6"/>
      <c r="DN493" s="6"/>
      <c r="DO493" s="6"/>
      <c r="DP493" s="6"/>
      <c r="DQ493" s="6"/>
      <c r="DR493" s="6"/>
      <c r="DS493" s="6"/>
      <c r="DT493" s="6"/>
      <c r="DU493" s="6"/>
      <c r="DV493" s="6"/>
      <c r="DW493" s="6"/>
      <c r="DX493" s="6"/>
      <c r="DY493" s="6"/>
      <c r="DZ493" s="6"/>
      <c r="EA493" s="6"/>
      <c r="EB493" s="6"/>
      <c r="EC493" s="6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  <c r="ER493" s="6"/>
      <c r="ES493" s="6"/>
      <c r="ET493" s="6"/>
      <c r="EU493" s="6"/>
      <c r="EV493" s="6"/>
      <c r="EW493" s="6"/>
      <c r="EX493" s="6"/>
      <c r="EY493" s="6"/>
      <c r="EZ493" s="6"/>
      <c r="FA493" s="6"/>
      <c r="FB493" s="6"/>
      <c r="FC493" s="6"/>
      <c r="FD493" s="6"/>
      <c r="FE493" s="6"/>
      <c r="FF493" s="6"/>
      <c r="FG493" s="6"/>
      <c r="FH493" s="6"/>
      <c r="FI493" s="6"/>
      <c r="FJ493" s="6"/>
      <c r="FK493" s="6"/>
      <c r="FL493" s="6"/>
      <c r="FM493" s="6"/>
      <c r="FN493" s="6"/>
      <c r="FO493" s="6"/>
      <c r="FP493" s="6"/>
      <c r="FQ493" s="6"/>
      <c r="FR493" s="6"/>
      <c r="FS493" s="6"/>
      <c r="FT493" s="6"/>
      <c r="FU493" s="6"/>
      <c r="FV493" s="6"/>
      <c r="FW493" s="6"/>
      <c r="FX493" s="6"/>
      <c r="FY493" s="6"/>
      <c r="FZ493" s="6"/>
      <c r="GA493" s="6"/>
      <c r="GB493" s="6"/>
      <c r="GC493" s="6"/>
      <c r="GD493" s="6"/>
      <c r="GE493" s="6"/>
      <c r="GF493" s="6"/>
      <c r="GG493" s="6"/>
      <c r="GH493" s="6"/>
      <c r="GI493" s="6"/>
      <c r="GJ493" s="6"/>
      <c r="GK493" s="6"/>
      <c r="GL493" s="6"/>
      <c r="GM493" s="6"/>
      <c r="GN493" s="6"/>
      <c r="GO493" s="6"/>
      <c r="GP493" s="6"/>
      <c r="GQ493" s="6"/>
      <c r="GR493" s="6"/>
      <c r="GS493" s="6"/>
      <c r="GT493" s="6"/>
      <c r="GU493" s="6"/>
      <c r="GV493" s="6"/>
      <c r="GW493" s="6"/>
      <c r="GX493" s="6"/>
      <c r="GY493" s="6"/>
      <c r="GZ493" s="6"/>
      <c r="HA493" s="6"/>
      <c r="HB493" s="6"/>
      <c r="HC493" s="6"/>
      <c r="HD493" s="6"/>
      <c r="HE493" s="6"/>
      <c r="HF493" s="6"/>
      <c r="HG493" s="6"/>
      <c r="HH493" s="6"/>
      <c r="HI493" s="6"/>
      <c r="HJ493" s="6"/>
      <c r="HK493" s="6"/>
      <c r="HL493" s="6"/>
      <c r="HM493" s="6"/>
      <c r="HN493" s="6"/>
      <c r="HO493" s="6"/>
      <c r="HP493" s="6"/>
      <c r="HQ493" s="6"/>
      <c r="HR493" s="6"/>
      <c r="HS493" s="6"/>
      <c r="HT493" s="6"/>
      <c r="HU493" s="6"/>
    </row>
    <row r="494" spans="9:229"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BV494" s="6"/>
      <c r="BW494" s="6"/>
      <c r="BX494" s="6"/>
      <c r="BY494" s="6"/>
      <c r="BZ494" s="6"/>
      <c r="CA494" s="6"/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  <c r="CP494" s="6"/>
      <c r="CQ494" s="6"/>
      <c r="CR494" s="6"/>
      <c r="CS494" s="6"/>
      <c r="CT494" s="6"/>
      <c r="CU494" s="6"/>
      <c r="CV494" s="6"/>
      <c r="CW494" s="6"/>
      <c r="CX494" s="6"/>
      <c r="CY494" s="6"/>
      <c r="CZ494" s="6"/>
      <c r="DA494" s="6"/>
      <c r="DB494" s="6"/>
      <c r="DC494" s="6"/>
      <c r="DD494" s="6"/>
      <c r="DE494" s="6"/>
      <c r="DF494" s="6"/>
      <c r="DG494" s="6"/>
      <c r="DH494" s="6"/>
      <c r="DI494" s="6"/>
      <c r="DJ494" s="6"/>
      <c r="DK494" s="6"/>
      <c r="DL494" s="6"/>
      <c r="DM494" s="6"/>
      <c r="DN494" s="6"/>
      <c r="DO494" s="6"/>
      <c r="DP494" s="6"/>
      <c r="DQ494" s="6"/>
      <c r="DR494" s="6"/>
      <c r="DS494" s="6"/>
      <c r="DT494" s="6"/>
      <c r="DU494" s="6"/>
      <c r="DV494" s="6"/>
      <c r="DW494" s="6"/>
      <c r="DX494" s="6"/>
      <c r="DY494" s="6"/>
      <c r="DZ494" s="6"/>
      <c r="EA494" s="6"/>
      <c r="EB494" s="6"/>
      <c r="EC494" s="6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  <c r="ER494" s="6"/>
      <c r="ES494" s="6"/>
      <c r="ET494" s="6"/>
      <c r="EU494" s="6"/>
      <c r="EV494" s="6"/>
      <c r="EW494" s="6"/>
      <c r="EX494" s="6"/>
      <c r="EY494" s="6"/>
      <c r="EZ494" s="6"/>
      <c r="FA494" s="6"/>
      <c r="FB494" s="6"/>
      <c r="FC494" s="6"/>
      <c r="FD494" s="6"/>
      <c r="FE494" s="6"/>
      <c r="FF494" s="6"/>
      <c r="FG494" s="6"/>
      <c r="FH494" s="6"/>
      <c r="FI494" s="6"/>
      <c r="FJ494" s="6"/>
      <c r="FK494" s="6"/>
      <c r="FL494" s="6"/>
      <c r="FM494" s="6"/>
      <c r="FN494" s="6"/>
      <c r="FO494" s="6"/>
      <c r="FP494" s="6"/>
      <c r="FQ494" s="6"/>
      <c r="FR494" s="6"/>
      <c r="FS494" s="6"/>
      <c r="FT494" s="6"/>
      <c r="FU494" s="6"/>
      <c r="FV494" s="6"/>
      <c r="FW494" s="6"/>
      <c r="FX494" s="6"/>
      <c r="FY494" s="6"/>
      <c r="FZ494" s="6"/>
      <c r="GA494" s="6"/>
      <c r="GB494" s="6"/>
      <c r="GC494" s="6"/>
      <c r="GD494" s="6"/>
      <c r="GE494" s="6"/>
      <c r="GF494" s="6"/>
      <c r="GG494" s="6"/>
      <c r="GH494" s="6"/>
      <c r="GI494" s="6"/>
      <c r="GJ494" s="6"/>
      <c r="GK494" s="6"/>
      <c r="GL494" s="6"/>
      <c r="GM494" s="6"/>
      <c r="GN494" s="6"/>
      <c r="GO494" s="6"/>
      <c r="GP494" s="6"/>
      <c r="GQ494" s="6"/>
      <c r="GR494" s="6"/>
      <c r="GS494" s="6"/>
      <c r="GT494" s="6"/>
      <c r="GU494" s="6"/>
      <c r="GV494" s="6"/>
      <c r="GW494" s="6"/>
      <c r="GX494" s="6"/>
      <c r="GY494" s="6"/>
      <c r="GZ494" s="6"/>
      <c r="HA494" s="6"/>
      <c r="HB494" s="6"/>
      <c r="HC494" s="6"/>
      <c r="HD494" s="6"/>
      <c r="HE494" s="6"/>
      <c r="HF494" s="6"/>
      <c r="HG494" s="6"/>
      <c r="HH494" s="6"/>
      <c r="HI494" s="6"/>
      <c r="HJ494" s="6"/>
      <c r="HK494" s="6"/>
      <c r="HL494" s="6"/>
      <c r="HM494" s="6"/>
      <c r="HN494" s="6"/>
      <c r="HO494" s="6"/>
      <c r="HP494" s="6"/>
      <c r="HQ494" s="6"/>
      <c r="HR494" s="6"/>
      <c r="HS494" s="6"/>
      <c r="HT494" s="6"/>
      <c r="HU494" s="6"/>
    </row>
    <row r="495" spans="9:229"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BV495" s="6"/>
      <c r="BW495" s="6"/>
      <c r="BX495" s="6"/>
      <c r="BY495" s="6"/>
      <c r="BZ495" s="6"/>
      <c r="CA495" s="6"/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  <c r="CP495" s="6"/>
      <c r="CQ495" s="6"/>
      <c r="CR495" s="6"/>
      <c r="CS495" s="6"/>
      <c r="CT495" s="6"/>
      <c r="CU495" s="6"/>
      <c r="CV495" s="6"/>
      <c r="CW495" s="6"/>
      <c r="CX495" s="6"/>
      <c r="CY495" s="6"/>
      <c r="CZ495" s="6"/>
      <c r="DA495" s="6"/>
      <c r="DB495" s="6"/>
      <c r="DC495" s="6"/>
      <c r="DD495" s="6"/>
      <c r="DE495" s="6"/>
      <c r="DF495" s="6"/>
      <c r="DG495" s="6"/>
      <c r="DH495" s="6"/>
      <c r="DI495" s="6"/>
      <c r="DJ495" s="6"/>
      <c r="DK495" s="6"/>
      <c r="DL495" s="6"/>
      <c r="DM495" s="6"/>
      <c r="DN495" s="6"/>
      <c r="DO495" s="6"/>
      <c r="DP495" s="6"/>
      <c r="DQ495" s="6"/>
      <c r="DR495" s="6"/>
      <c r="DS495" s="6"/>
      <c r="DT495" s="6"/>
      <c r="DU495" s="6"/>
      <c r="DV495" s="6"/>
      <c r="DW495" s="6"/>
      <c r="DX495" s="6"/>
      <c r="DY495" s="6"/>
      <c r="DZ495" s="6"/>
      <c r="EA495" s="6"/>
      <c r="EB495" s="6"/>
      <c r="EC495" s="6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  <c r="ER495" s="6"/>
      <c r="ES495" s="6"/>
      <c r="ET495" s="6"/>
      <c r="EU495" s="6"/>
      <c r="EV495" s="6"/>
      <c r="EW495" s="6"/>
      <c r="EX495" s="6"/>
      <c r="EY495" s="6"/>
      <c r="EZ495" s="6"/>
      <c r="FA495" s="6"/>
      <c r="FB495" s="6"/>
      <c r="FC495" s="6"/>
      <c r="FD495" s="6"/>
      <c r="FE495" s="6"/>
      <c r="FF495" s="6"/>
      <c r="FG495" s="6"/>
      <c r="FH495" s="6"/>
      <c r="FI495" s="6"/>
      <c r="FJ495" s="6"/>
      <c r="FK495" s="6"/>
      <c r="FL495" s="6"/>
      <c r="FM495" s="6"/>
      <c r="FN495" s="6"/>
      <c r="FO495" s="6"/>
      <c r="FP495" s="6"/>
      <c r="FQ495" s="6"/>
      <c r="FR495" s="6"/>
      <c r="FS495" s="6"/>
      <c r="FT495" s="6"/>
      <c r="FU495" s="6"/>
      <c r="FV495" s="6"/>
      <c r="FW495" s="6"/>
      <c r="FX495" s="6"/>
      <c r="FY495" s="6"/>
      <c r="FZ495" s="6"/>
      <c r="GA495" s="6"/>
      <c r="GB495" s="6"/>
      <c r="GC495" s="6"/>
      <c r="GD495" s="6"/>
      <c r="GE495" s="6"/>
      <c r="GF495" s="6"/>
      <c r="GG495" s="6"/>
      <c r="GH495" s="6"/>
      <c r="GI495" s="6"/>
      <c r="GJ495" s="6"/>
      <c r="GK495" s="6"/>
      <c r="GL495" s="6"/>
      <c r="GM495" s="6"/>
      <c r="GN495" s="6"/>
      <c r="GO495" s="6"/>
      <c r="GP495" s="6"/>
      <c r="GQ495" s="6"/>
      <c r="GR495" s="6"/>
      <c r="GS495" s="6"/>
      <c r="GT495" s="6"/>
      <c r="GU495" s="6"/>
      <c r="GV495" s="6"/>
      <c r="GW495" s="6"/>
      <c r="GX495" s="6"/>
      <c r="GY495" s="6"/>
      <c r="GZ495" s="6"/>
      <c r="HA495" s="6"/>
      <c r="HB495" s="6"/>
      <c r="HC495" s="6"/>
      <c r="HD495" s="6"/>
      <c r="HE495" s="6"/>
      <c r="HF495" s="6"/>
      <c r="HG495" s="6"/>
      <c r="HH495" s="6"/>
      <c r="HI495" s="6"/>
      <c r="HJ495" s="6"/>
      <c r="HK495" s="6"/>
      <c r="HL495" s="6"/>
      <c r="HM495" s="6"/>
      <c r="HN495" s="6"/>
      <c r="HO495" s="6"/>
      <c r="HP495" s="6"/>
      <c r="HQ495" s="6"/>
      <c r="HR495" s="6"/>
      <c r="HS495" s="6"/>
      <c r="HT495" s="6"/>
      <c r="HU495" s="6"/>
    </row>
    <row r="496" spans="9:229"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BV496" s="6"/>
      <c r="BW496" s="6"/>
      <c r="BX496" s="6"/>
      <c r="BY496" s="6"/>
      <c r="BZ496" s="6"/>
      <c r="CA496" s="6"/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  <c r="CP496" s="6"/>
      <c r="CQ496" s="6"/>
      <c r="CR496" s="6"/>
      <c r="CS496" s="6"/>
      <c r="CT496" s="6"/>
      <c r="CU496" s="6"/>
      <c r="CV496" s="6"/>
      <c r="CW496" s="6"/>
      <c r="CX496" s="6"/>
      <c r="CY496" s="6"/>
      <c r="CZ496" s="6"/>
      <c r="DA496" s="6"/>
      <c r="DB496" s="6"/>
      <c r="DC496" s="6"/>
      <c r="DD496" s="6"/>
      <c r="DE496" s="6"/>
      <c r="DF496" s="6"/>
      <c r="DG496" s="6"/>
      <c r="DH496" s="6"/>
      <c r="DI496" s="6"/>
      <c r="DJ496" s="6"/>
      <c r="DK496" s="6"/>
      <c r="DL496" s="6"/>
      <c r="DM496" s="6"/>
      <c r="DN496" s="6"/>
      <c r="DO496" s="6"/>
      <c r="DP496" s="6"/>
      <c r="DQ496" s="6"/>
      <c r="DR496" s="6"/>
      <c r="DS496" s="6"/>
      <c r="DT496" s="6"/>
      <c r="DU496" s="6"/>
      <c r="DV496" s="6"/>
      <c r="DW496" s="6"/>
      <c r="DX496" s="6"/>
      <c r="DY496" s="6"/>
      <c r="DZ496" s="6"/>
      <c r="EA496" s="6"/>
      <c r="EB496" s="6"/>
      <c r="EC496" s="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  <c r="ER496" s="6"/>
      <c r="ES496" s="6"/>
      <c r="ET496" s="6"/>
      <c r="EU496" s="6"/>
      <c r="EV496" s="6"/>
      <c r="EW496" s="6"/>
      <c r="EX496" s="6"/>
      <c r="EY496" s="6"/>
      <c r="EZ496" s="6"/>
      <c r="FA496" s="6"/>
      <c r="FB496" s="6"/>
      <c r="FC496" s="6"/>
      <c r="FD496" s="6"/>
      <c r="FE496" s="6"/>
      <c r="FF496" s="6"/>
      <c r="FG496" s="6"/>
      <c r="FH496" s="6"/>
      <c r="FI496" s="6"/>
      <c r="FJ496" s="6"/>
      <c r="FK496" s="6"/>
      <c r="FL496" s="6"/>
      <c r="FM496" s="6"/>
      <c r="FN496" s="6"/>
      <c r="FO496" s="6"/>
      <c r="FP496" s="6"/>
      <c r="FQ496" s="6"/>
      <c r="FR496" s="6"/>
      <c r="FS496" s="6"/>
      <c r="FT496" s="6"/>
      <c r="FU496" s="6"/>
      <c r="FV496" s="6"/>
      <c r="FW496" s="6"/>
      <c r="FX496" s="6"/>
      <c r="FY496" s="6"/>
      <c r="FZ496" s="6"/>
      <c r="GA496" s="6"/>
      <c r="GB496" s="6"/>
      <c r="GC496" s="6"/>
      <c r="GD496" s="6"/>
      <c r="GE496" s="6"/>
      <c r="GF496" s="6"/>
      <c r="GG496" s="6"/>
      <c r="GH496" s="6"/>
      <c r="GI496" s="6"/>
      <c r="GJ496" s="6"/>
      <c r="GK496" s="6"/>
      <c r="GL496" s="6"/>
      <c r="GM496" s="6"/>
      <c r="GN496" s="6"/>
      <c r="GO496" s="6"/>
      <c r="GP496" s="6"/>
      <c r="GQ496" s="6"/>
      <c r="GR496" s="6"/>
      <c r="GS496" s="6"/>
      <c r="GT496" s="6"/>
      <c r="GU496" s="6"/>
      <c r="GV496" s="6"/>
      <c r="GW496" s="6"/>
      <c r="GX496" s="6"/>
      <c r="GY496" s="6"/>
      <c r="GZ496" s="6"/>
      <c r="HA496" s="6"/>
      <c r="HB496" s="6"/>
      <c r="HC496" s="6"/>
      <c r="HD496" s="6"/>
      <c r="HE496" s="6"/>
      <c r="HF496" s="6"/>
      <c r="HG496" s="6"/>
      <c r="HH496" s="6"/>
      <c r="HI496" s="6"/>
      <c r="HJ496" s="6"/>
      <c r="HK496" s="6"/>
      <c r="HL496" s="6"/>
      <c r="HM496" s="6"/>
      <c r="HN496" s="6"/>
      <c r="HO496" s="6"/>
      <c r="HP496" s="6"/>
      <c r="HQ496" s="6"/>
      <c r="HR496" s="6"/>
      <c r="HS496" s="6"/>
      <c r="HT496" s="6"/>
      <c r="HU496" s="6"/>
    </row>
    <row r="497" spans="9:229"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BV497" s="6"/>
      <c r="BW497" s="6"/>
      <c r="BX497" s="6"/>
      <c r="BY497" s="6"/>
      <c r="BZ497" s="6"/>
      <c r="CA497" s="6"/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  <c r="CP497" s="6"/>
      <c r="CQ497" s="6"/>
      <c r="CR497" s="6"/>
      <c r="CS497" s="6"/>
      <c r="CT497" s="6"/>
      <c r="CU497" s="6"/>
      <c r="CV497" s="6"/>
      <c r="CW497" s="6"/>
      <c r="CX497" s="6"/>
      <c r="CY497" s="6"/>
      <c r="CZ497" s="6"/>
      <c r="DA497" s="6"/>
      <c r="DB497" s="6"/>
      <c r="DC497" s="6"/>
      <c r="DD497" s="6"/>
      <c r="DE497" s="6"/>
      <c r="DF497" s="6"/>
      <c r="DG497" s="6"/>
      <c r="DH497" s="6"/>
      <c r="DI497" s="6"/>
      <c r="DJ497" s="6"/>
      <c r="DK497" s="6"/>
      <c r="DL497" s="6"/>
      <c r="DM497" s="6"/>
      <c r="DN497" s="6"/>
      <c r="DO497" s="6"/>
      <c r="DP497" s="6"/>
      <c r="DQ497" s="6"/>
      <c r="DR497" s="6"/>
      <c r="DS497" s="6"/>
      <c r="DT497" s="6"/>
      <c r="DU497" s="6"/>
      <c r="DV497" s="6"/>
      <c r="DW497" s="6"/>
      <c r="DX497" s="6"/>
      <c r="DY497" s="6"/>
      <c r="DZ497" s="6"/>
      <c r="EA497" s="6"/>
      <c r="EB497" s="6"/>
      <c r="EC497" s="6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  <c r="ER497" s="6"/>
      <c r="ES497" s="6"/>
      <c r="ET497" s="6"/>
      <c r="EU497" s="6"/>
      <c r="EV497" s="6"/>
      <c r="EW497" s="6"/>
      <c r="EX497" s="6"/>
      <c r="EY497" s="6"/>
      <c r="EZ497" s="6"/>
      <c r="FA497" s="6"/>
      <c r="FB497" s="6"/>
      <c r="FC497" s="6"/>
      <c r="FD497" s="6"/>
      <c r="FE497" s="6"/>
      <c r="FF497" s="6"/>
      <c r="FG497" s="6"/>
      <c r="FH497" s="6"/>
      <c r="FI497" s="6"/>
      <c r="FJ497" s="6"/>
      <c r="FK497" s="6"/>
      <c r="FL497" s="6"/>
      <c r="FM497" s="6"/>
      <c r="FN497" s="6"/>
      <c r="FO497" s="6"/>
      <c r="FP497" s="6"/>
      <c r="FQ497" s="6"/>
      <c r="FR497" s="6"/>
      <c r="FS497" s="6"/>
      <c r="FT497" s="6"/>
      <c r="FU497" s="6"/>
      <c r="FV497" s="6"/>
      <c r="FW497" s="6"/>
      <c r="FX497" s="6"/>
      <c r="FY497" s="6"/>
      <c r="FZ497" s="6"/>
      <c r="GA497" s="6"/>
      <c r="GB497" s="6"/>
      <c r="GC497" s="6"/>
      <c r="GD497" s="6"/>
      <c r="GE497" s="6"/>
      <c r="GF497" s="6"/>
      <c r="GG497" s="6"/>
      <c r="GH497" s="6"/>
      <c r="GI497" s="6"/>
      <c r="GJ497" s="6"/>
      <c r="GK497" s="6"/>
      <c r="GL497" s="6"/>
      <c r="GM497" s="6"/>
      <c r="GN497" s="6"/>
      <c r="GO497" s="6"/>
      <c r="GP497" s="6"/>
      <c r="GQ497" s="6"/>
      <c r="GR497" s="6"/>
      <c r="GS497" s="6"/>
      <c r="GT497" s="6"/>
      <c r="GU497" s="6"/>
      <c r="GV497" s="6"/>
      <c r="GW497" s="6"/>
      <c r="GX497" s="6"/>
      <c r="GY497" s="6"/>
      <c r="GZ497" s="6"/>
      <c r="HA497" s="6"/>
      <c r="HB497" s="6"/>
      <c r="HC497" s="6"/>
      <c r="HD497" s="6"/>
      <c r="HE497" s="6"/>
      <c r="HF497" s="6"/>
      <c r="HG497" s="6"/>
      <c r="HH497" s="6"/>
      <c r="HI497" s="6"/>
      <c r="HJ497" s="6"/>
      <c r="HK497" s="6"/>
      <c r="HL497" s="6"/>
      <c r="HM497" s="6"/>
      <c r="HN497" s="6"/>
      <c r="HO497" s="6"/>
      <c r="HP497" s="6"/>
      <c r="HQ497" s="6"/>
      <c r="HR497" s="6"/>
      <c r="HS497" s="6"/>
      <c r="HT497" s="6"/>
      <c r="HU497" s="6"/>
    </row>
    <row r="498" spans="9:229"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BV498" s="6"/>
      <c r="BW498" s="6"/>
      <c r="BX498" s="6"/>
      <c r="BY498" s="6"/>
      <c r="BZ498" s="6"/>
      <c r="CA498" s="6"/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  <c r="CP498" s="6"/>
      <c r="CQ498" s="6"/>
      <c r="CR498" s="6"/>
      <c r="CS498" s="6"/>
      <c r="CT498" s="6"/>
      <c r="CU498" s="6"/>
      <c r="CV498" s="6"/>
      <c r="CW498" s="6"/>
      <c r="CX498" s="6"/>
      <c r="CY498" s="6"/>
      <c r="CZ498" s="6"/>
      <c r="DA498" s="6"/>
      <c r="DB498" s="6"/>
      <c r="DC498" s="6"/>
      <c r="DD498" s="6"/>
      <c r="DE498" s="6"/>
      <c r="DF498" s="6"/>
      <c r="DG498" s="6"/>
      <c r="DH498" s="6"/>
      <c r="DI498" s="6"/>
      <c r="DJ498" s="6"/>
      <c r="DK498" s="6"/>
      <c r="DL498" s="6"/>
      <c r="DM498" s="6"/>
      <c r="DN498" s="6"/>
      <c r="DO498" s="6"/>
      <c r="DP498" s="6"/>
      <c r="DQ498" s="6"/>
      <c r="DR498" s="6"/>
      <c r="DS498" s="6"/>
      <c r="DT498" s="6"/>
      <c r="DU498" s="6"/>
      <c r="DV498" s="6"/>
      <c r="DW498" s="6"/>
      <c r="DX498" s="6"/>
      <c r="DY498" s="6"/>
      <c r="DZ498" s="6"/>
      <c r="EA498" s="6"/>
      <c r="EB498" s="6"/>
      <c r="EC498" s="6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  <c r="ER498" s="6"/>
      <c r="ES498" s="6"/>
      <c r="ET498" s="6"/>
      <c r="EU498" s="6"/>
      <c r="EV498" s="6"/>
      <c r="EW498" s="6"/>
      <c r="EX498" s="6"/>
      <c r="EY498" s="6"/>
      <c r="EZ498" s="6"/>
      <c r="FA498" s="6"/>
      <c r="FB498" s="6"/>
      <c r="FC498" s="6"/>
      <c r="FD498" s="6"/>
      <c r="FE498" s="6"/>
      <c r="FF498" s="6"/>
      <c r="FG498" s="6"/>
      <c r="FH498" s="6"/>
      <c r="FI498" s="6"/>
      <c r="FJ498" s="6"/>
      <c r="FK498" s="6"/>
      <c r="FL498" s="6"/>
      <c r="FM498" s="6"/>
      <c r="FN498" s="6"/>
      <c r="FO498" s="6"/>
      <c r="FP498" s="6"/>
      <c r="FQ498" s="6"/>
      <c r="FR498" s="6"/>
      <c r="FS498" s="6"/>
      <c r="FT498" s="6"/>
      <c r="FU498" s="6"/>
      <c r="FV498" s="6"/>
      <c r="FW498" s="6"/>
      <c r="FX498" s="6"/>
      <c r="FY498" s="6"/>
      <c r="FZ498" s="6"/>
      <c r="GA498" s="6"/>
      <c r="GB498" s="6"/>
      <c r="GC498" s="6"/>
      <c r="GD498" s="6"/>
      <c r="GE498" s="6"/>
      <c r="GF498" s="6"/>
      <c r="GG498" s="6"/>
      <c r="GH498" s="6"/>
      <c r="GI498" s="6"/>
      <c r="GJ498" s="6"/>
      <c r="GK498" s="6"/>
      <c r="GL498" s="6"/>
      <c r="GM498" s="6"/>
      <c r="GN498" s="6"/>
      <c r="GO498" s="6"/>
      <c r="GP498" s="6"/>
      <c r="GQ498" s="6"/>
      <c r="GR498" s="6"/>
      <c r="GS498" s="6"/>
      <c r="GT498" s="6"/>
      <c r="GU498" s="6"/>
      <c r="GV498" s="6"/>
      <c r="GW498" s="6"/>
      <c r="GX498" s="6"/>
      <c r="GY498" s="6"/>
      <c r="GZ498" s="6"/>
      <c r="HA498" s="6"/>
      <c r="HB498" s="6"/>
      <c r="HC498" s="6"/>
      <c r="HD498" s="6"/>
      <c r="HE498" s="6"/>
      <c r="HF498" s="6"/>
      <c r="HG498" s="6"/>
      <c r="HH498" s="6"/>
      <c r="HI498" s="6"/>
      <c r="HJ498" s="6"/>
      <c r="HK498" s="6"/>
      <c r="HL498" s="6"/>
      <c r="HM498" s="6"/>
      <c r="HN498" s="6"/>
      <c r="HO498" s="6"/>
      <c r="HP498" s="6"/>
      <c r="HQ498" s="6"/>
      <c r="HR498" s="6"/>
      <c r="HS498" s="6"/>
      <c r="HT498" s="6"/>
      <c r="HU498" s="6"/>
    </row>
    <row r="499" spans="9:229"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BV499" s="6"/>
      <c r="BW499" s="6"/>
      <c r="BX499" s="6"/>
      <c r="BY499" s="6"/>
      <c r="BZ499" s="6"/>
      <c r="CA499" s="6"/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  <c r="CP499" s="6"/>
      <c r="CQ499" s="6"/>
      <c r="CR499" s="6"/>
      <c r="CS499" s="6"/>
      <c r="CT499" s="6"/>
      <c r="CU499" s="6"/>
      <c r="CV499" s="6"/>
      <c r="CW499" s="6"/>
      <c r="CX499" s="6"/>
      <c r="CY499" s="6"/>
      <c r="CZ499" s="6"/>
      <c r="DA499" s="6"/>
      <c r="DB499" s="6"/>
      <c r="DC499" s="6"/>
      <c r="DD499" s="6"/>
      <c r="DE499" s="6"/>
      <c r="DF499" s="6"/>
      <c r="DG499" s="6"/>
      <c r="DH499" s="6"/>
      <c r="DI499" s="6"/>
      <c r="DJ499" s="6"/>
      <c r="DK499" s="6"/>
      <c r="DL499" s="6"/>
      <c r="DM499" s="6"/>
      <c r="DN499" s="6"/>
      <c r="DO499" s="6"/>
      <c r="DP499" s="6"/>
      <c r="DQ499" s="6"/>
      <c r="DR499" s="6"/>
      <c r="DS499" s="6"/>
      <c r="DT499" s="6"/>
      <c r="DU499" s="6"/>
      <c r="DV499" s="6"/>
      <c r="DW499" s="6"/>
      <c r="DX499" s="6"/>
      <c r="DY499" s="6"/>
      <c r="DZ499" s="6"/>
      <c r="EA499" s="6"/>
      <c r="EB499" s="6"/>
      <c r="EC499" s="6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  <c r="ER499" s="6"/>
      <c r="ES499" s="6"/>
      <c r="ET499" s="6"/>
      <c r="EU499" s="6"/>
      <c r="EV499" s="6"/>
      <c r="EW499" s="6"/>
      <c r="EX499" s="6"/>
      <c r="EY499" s="6"/>
      <c r="EZ499" s="6"/>
      <c r="FA499" s="6"/>
      <c r="FB499" s="6"/>
      <c r="FC499" s="6"/>
      <c r="FD499" s="6"/>
      <c r="FE499" s="6"/>
      <c r="FF499" s="6"/>
      <c r="FG499" s="6"/>
      <c r="FH499" s="6"/>
      <c r="FI499" s="6"/>
      <c r="FJ499" s="6"/>
      <c r="FK499" s="6"/>
      <c r="FL499" s="6"/>
      <c r="FM499" s="6"/>
      <c r="FN499" s="6"/>
      <c r="FO499" s="6"/>
      <c r="FP499" s="6"/>
      <c r="FQ499" s="6"/>
      <c r="FR499" s="6"/>
      <c r="FS499" s="6"/>
      <c r="FT499" s="6"/>
      <c r="FU499" s="6"/>
      <c r="FV499" s="6"/>
      <c r="FW499" s="6"/>
      <c r="FX499" s="6"/>
      <c r="FY499" s="6"/>
      <c r="FZ499" s="6"/>
      <c r="GA499" s="6"/>
      <c r="GB499" s="6"/>
      <c r="GC499" s="6"/>
      <c r="GD499" s="6"/>
      <c r="GE499" s="6"/>
      <c r="GF499" s="6"/>
      <c r="GG499" s="6"/>
      <c r="GH499" s="6"/>
      <c r="GI499" s="6"/>
      <c r="GJ499" s="6"/>
      <c r="GK499" s="6"/>
      <c r="GL499" s="6"/>
      <c r="GM499" s="6"/>
      <c r="GN499" s="6"/>
      <c r="GO499" s="6"/>
      <c r="GP499" s="6"/>
      <c r="GQ499" s="6"/>
      <c r="GR499" s="6"/>
      <c r="GS499" s="6"/>
      <c r="GT499" s="6"/>
      <c r="GU499" s="6"/>
      <c r="GV499" s="6"/>
      <c r="GW499" s="6"/>
      <c r="GX499" s="6"/>
      <c r="GY499" s="6"/>
      <c r="GZ499" s="6"/>
      <c r="HA499" s="6"/>
      <c r="HB499" s="6"/>
      <c r="HC499" s="6"/>
      <c r="HD499" s="6"/>
      <c r="HE499" s="6"/>
      <c r="HF499" s="6"/>
      <c r="HG499" s="6"/>
      <c r="HH499" s="6"/>
      <c r="HI499" s="6"/>
      <c r="HJ499" s="6"/>
      <c r="HK499" s="6"/>
      <c r="HL499" s="6"/>
      <c r="HM499" s="6"/>
      <c r="HN499" s="6"/>
      <c r="HO499" s="6"/>
      <c r="HP499" s="6"/>
      <c r="HQ499" s="6"/>
      <c r="HR499" s="6"/>
      <c r="HS499" s="6"/>
      <c r="HT499" s="6"/>
      <c r="HU499" s="6"/>
    </row>
    <row r="500" spans="9:229"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BV500" s="6"/>
      <c r="BW500" s="6"/>
      <c r="BX500" s="6"/>
      <c r="BY500" s="6"/>
      <c r="BZ500" s="6"/>
      <c r="CA500" s="6"/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  <c r="CP500" s="6"/>
      <c r="CQ500" s="6"/>
      <c r="CR500" s="6"/>
      <c r="CS500" s="6"/>
      <c r="CT500" s="6"/>
      <c r="CU500" s="6"/>
      <c r="CV500" s="6"/>
      <c r="CW500" s="6"/>
      <c r="CX500" s="6"/>
      <c r="CY500" s="6"/>
      <c r="CZ500" s="6"/>
      <c r="DA500" s="6"/>
      <c r="DB500" s="6"/>
      <c r="DC500" s="6"/>
      <c r="DD500" s="6"/>
      <c r="DE500" s="6"/>
      <c r="DF500" s="6"/>
      <c r="DG500" s="6"/>
      <c r="DH500" s="6"/>
      <c r="DI500" s="6"/>
      <c r="DJ500" s="6"/>
      <c r="DK500" s="6"/>
      <c r="DL500" s="6"/>
      <c r="DM500" s="6"/>
      <c r="DN500" s="6"/>
      <c r="DO500" s="6"/>
      <c r="DP500" s="6"/>
      <c r="DQ500" s="6"/>
      <c r="DR500" s="6"/>
      <c r="DS500" s="6"/>
      <c r="DT500" s="6"/>
      <c r="DU500" s="6"/>
      <c r="DV500" s="6"/>
      <c r="DW500" s="6"/>
      <c r="DX500" s="6"/>
      <c r="DY500" s="6"/>
      <c r="DZ500" s="6"/>
      <c r="EA500" s="6"/>
      <c r="EB500" s="6"/>
      <c r="EC500" s="6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  <c r="ER500" s="6"/>
      <c r="ES500" s="6"/>
      <c r="ET500" s="6"/>
      <c r="EU500" s="6"/>
      <c r="EV500" s="6"/>
      <c r="EW500" s="6"/>
      <c r="EX500" s="6"/>
      <c r="EY500" s="6"/>
      <c r="EZ500" s="6"/>
      <c r="FA500" s="6"/>
      <c r="FB500" s="6"/>
      <c r="FC500" s="6"/>
      <c r="FD500" s="6"/>
      <c r="FE500" s="6"/>
      <c r="FF500" s="6"/>
      <c r="FG500" s="6"/>
      <c r="FH500" s="6"/>
      <c r="FI500" s="6"/>
      <c r="FJ500" s="6"/>
      <c r="FK500" s="6"/>
      <c r="FL500" s="6"/>
      <c r="FM500" s="6"/>
      <c r="FN500" s="6"/>
      <c r="FO500" s="6"/>
      <c r="FP500" s="6"/>
      <c r="FQ500" s="6"/>
      <c r="FR500" s="6"/>
      <c r="FS500" s="6"/>
      <c r="FT500" s="6"/>
      <c r="FU500" s="6"/>
      <c r="FV500" s="6"/>
      <c r="FW500" s="6"/>
      <c r="FX500" s="6"/>
      <c r="FY500" s="6"/>
      <c r="FZ500" s="6"/>
      <c r="GA500" s="6"/>
      <c r="GB500" s="6"/>
      <c r="GC500" s="6"/>
      <c r="GD500" s="6"/>
      <c r="GE500" s="6"/>
      <c r="GF500" s="6"/>
      <c r="GG500" s="6"/>
      <c r="GH500" s="6"/>
      <c r="GI500" s="6"/>
      <c r="GJ500" s="6"/>
      <c r="GK500" s="6"/>
      <c r="GL500" s="6"/>
      <c r="GM500" s="6"/>
      <c r="GN500" s="6"/>
      <c r="GO500" s="6"/>
      <c r="GP500" s="6"/>
      <c r="GQ500" s="6"/>
      <c r="GR500" s="6"/>
      <c r="GS500" s="6"/>
      <c r="GT500" s="6"/>
      <c r="GU500" s="6"/>
      <c r="GV500" s="6"/>
      <c r="GW500" s="6"/>
      <c r="GX500" s="6"/>
      <c r="GY500" s="6"/>
      <c r="GZ500" s="6"/>
      <c r="HA500" s="6"/>
      <c r="HB500" s="6"/>
      <c r="HC500" s="6"/>
      <c r="HD500" s="6"/>
      <c r="HE500" s="6"/>
      <c r="HF500" s="6"/>
      <c r="HG500" s="6"/>
      <c r="HH500" s="6"/>
      <c r="HI500" s="6"/>
      <c r="HJ500" s="6"/>
      <c r="HK500" s="6"/>
      <c r="HL500" s="6"/>
      <c r="HM500" s="6"/>
      <c r="HN500" s="6"/>
      <c r="HO500" s="6"/>
      <c r="HP500" s="6"/>
      <c r="HQ500" s="6"/>
      <c r="HR500" s="6"/>
      <c r="HS500" s="6"/>
      <c r="HT500" s="6"/>
      <c r="HU500" s="6"/>
    </row>
    <row r="501" spans="9:229"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  <c r="CP501" s="6"/>
      <c r="CQ501" s="6"/>
      <c r="CR501" s="6"/>
      <c r="CS501" s="6"/>
      <c r="CT501" s="6"/>
      <c r="CU501" s="6"/>
      <c r="CV501" s="6"/>
      <c r="CW501" s="6"/>
      <c r="CX501" s="6"/>
      <c r="CY501" s="6"/>
      <c r="CZ501" s="6"/>
      <c r="DA501" s="6"/>
      <c r="DB501" s="6"/>
      <c r="DC501" s="6"/>
      <c r="DD501" s="6"/>
      <c r="DE501" s="6"/>
      <c r="DF501" s="6"/>
      <c r="DG501" s="6"/>
      <c r="DH501" s="6"/>
      <c r="DI501" s="6"/>
      <c r="DJ501" s="6"/>
      <c r="DK501" s="6"/>
      <c r="DL501" s="6"/>
      <c r="DM501" s="6"/>
      <c r="DN501" s="6"/>
      <c r="DO501" s="6"/>
      <c r="DP501" s="6"/>
      <c r="DQ501" s="6"/>
      <c r="DR501" s="6"/>
      <c r="DS501" s="6"/>
      <c r="DT501" s="6"/>
      <c r="DU501" s="6"/>
      <c r="DV501" s="6"/>
      <c r="DW501" s="6"/>
      <c r="DX501" s="6"/>
      <c r="DY501" s="6"/>
      <c r="DZ501" s="6"/>
      <c r="EA501" s="6"/>
      <c r="EB501" s="6"/>
      <c r="EC501" s="6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  <c r="ER501" s="6"/>
      <c r="ES501" s="6"/>
      <c r="ET501" s="6"/>
      <c r="EU501" s="6"/>
      <c r="EV501" s="6"/>
      <c r="EW501" s="6"/>
      <c r="EX501" s="6"/>
      <c r="EY501" s="6"/>
      <c r="EZ501" s="6"/>
      <c r="FA501" s="6"/>
      <c r="FB501" s="6"/>
      <c r="FC501" s="6"/>
      <c r="FD501" s="6"/>
      <c r="FE501" s="6"/>
      <c r="FF501" s="6"/>
      <c r="FG501" s="6"/>
      <c r="FH501" s="6"/>
      <c r="FI501" s="6"/>
      <c r="FJ501" s="6"/>
      <c r="FK501" s="6"/>
      <c r="FL501" s="6"/>
      <c r="FM501" s="6"/>
      <c r="FN501" s="6"/>
      <c r="FO501" s="6"/>
      <c r="FP501" s="6"/>
      <c r="FQ501" s="6"/>
      <c r="FR501" s="6"/>
      <c r="FS501" s="6"/>
      <c r="FT501" s="6"/>
      <c r="FU501" s="6"/>
      <c r="FV501" s="6"/>
      <c r="FW501" s="6"/>
      <c r="FX501" s="6"/>
      <c r="FY501" s="6"/>
      <c r="FZ501" s="6"/>
      <c r="GA501" s="6"/>
      <c r="GB501" s="6"/>
      <c r="GC501" s="6"/>
      <c r="GD501" s="6"/>
      <c r="GE501" s="6"/>
      <c r="GF501" s="6"/>
      <c r="GG501" s="6"/>
      <c r="GH501" s="6"/>
      <c r="GI501" s="6"/>
      <c r="GJ501" s="6"/>
      <c r="GK501" s="6"/>
      <c r="GL501" s="6"/>
      <c r="GM501" s="6"/>
      <c r="GN501" s="6"/>
      <c r="GO501" s="6"/>
      <c r="GP501" s="6"/>
      <c r="GQ501" s="6"/>
      <c r="GR501" s="6"/>
      <c r="GS501" s="6"/>
      <c r="GT501" s="6"/>
      <c r="GU501" s="6"/>
      <c r="GV501" s="6"/>
      <c r="GW501" s="6"/>
      <c r="GX501" s="6"/>
      <c r="GY501" s="6"/>
      <c r="GZ501" s="6"/>
      <c r="HA501" s="6"/>
      <c r="HB501" s="6"/>
      <c r="HC501" s="6"/>
      <c r="HD501" s="6"/>
      <c r="HE501" s="6"/>
      <c r="HF501" s="6"/>
      <c r="HG501" s="6"/>
      <c r="HH501" s="6"/>
      <c r="HI501" s="6"/>
      <c r="HJ501" s="6"/>
      <c r="HK501" s="6"/>
      <c r="HL501" s="6"/>
      <c r="HM501" s="6"/>
      <c r="HN501" s="6"/>
      <c r="HO501" s="6"/>
      <c r="HP501" s="6"/>
      <c r="HQ501" s="6"/>
      <c r="HR501" s="6"/>
      <c r="HS501" s="6"/>
      <c r="HT501" s="6"/>
      <c r="HU501" s="6"/>
    </row>
    <row r="502" spans="9:229"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  <c r="CP502" s="6"/>
      <c r="CQ502" s="6"/>
      <c r="CR502" s="6"/>
      <c r="CS502" s="6"/>
      <c r="CT502" s="6"/>
      <c r="CU502" s="6"/>
      <c r="CV502" s="6"/>
      <c r="CW502" s="6"/>
      <c r="CX502" s="6"/>
      <c r="CY502" s="6"/>
      <c r="CZ502" s="6"/>
      <c r="DA502" s="6"/>
      <c r="DB502" s="6"/>
      <c r="DC502" s="6"/>
      <c r="DD502" s="6"/>
      <c r="DE502" s="6"/>
      <c r="DF502" s="6"/>
      <c r="DG502" s="6"/>
      <c r="DH502" s="6"/>
      <c r="DI502" s="6"/>
      <c r="DJ502" s="6"/>
      <c r="DK502" s="6"/>
      <c r="DL502" s="6"/>
      <c r="DM502" s="6"/>
      <c r="DN502" s="6"/>
      <c r="DO502" s="6"/>
      <c r="DP502" s="6"/>
      <c r="DQ502" s="6"/>
      <c r="DR502" s="6"/>
      <c r="DS502" s="6"/>
      <c r="DT502" s="6"/>
      <c r="DU502" s="6"/>
      <c r="DV502" s="6"/>
      <c r="DW502" s="6"/>
      <c r="DX502" s="6"/>
      <c r="DY502" s="6"/>
      <c r="DZ502" s="6"/>
      <c r="EA502" s="6"/>
      <c r="EB502" s="6"/>
      <c r="EC502" s="6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  <c r="ER502" s="6"/>
      <c r="ES502" s="6"/>
      <c r="ET502" s="6"/>
      <c r="EU502" s="6"/>
      <c r="EV502" s="6"/>
      <c r="EW502" s="6"/>
      <c r="EX502" s="6"/>
      <c r="EY502" s="6"/>
      <c r="EZ502" s="6"/>
      <c r="FA502" s="6"/>
      <c r="FB502" s="6"/>
      <c r="FC502" s="6"/>
      <c r="FD502" s="6"/>
      <c r="FE502" s="6"/>
      <c r="FF502" s="6"/>
      <c r="FG502" s="6"/>
      <c r="FH502" s="6"/>
      <c r="FI502" s="6"/>
      <c r="FJ502" s="6"/>
      <c r="FK502" s="6"/>
      <c r="FL502" s="6"/>
      <c r="FM502" s="6"/>
      <c r="FN502" s="6"/>
      <c r="FO502" s="6"/>
      <c r="FP502" s="6"/>
      <c r="FQ502" s="6"/>
      <c r="FR502" s="6"/>
      <c r="FS502" s="6"/>
      <c r="FT502" s="6"/>
      <c r="FU502" s="6"/>
      <c r="FV502" s="6"/>
      <c r="FW502" s="6"/>
      <c r="FX502" s="6"/>
      <c r="FY502" s="6"/>
      <c r="FZ502" s="6"/>
      <c r="GA502" s="6"/>
      <c r="GB502" s="6"/>
      <c r="GC502" s="6"/>
      <c r="GD502" s="6"/>
      <c r="GE502" s="6"/>
      <c r="GF502" s="6"/>
      <c r="GG502" s="6"/>
      <c r="GH502" s="6"/>
      <c r="GI502" s="6"/>
      <c r="GJ502" s="6"/>
      <c r="GK502" s="6"/>
      <c r="GL502" s="6"/>
      <c r="GM502" s="6"/>
      <c r="GN502" s="6"/>
      <c r="GO502" s="6"/>
      <c r="GP502" s="6"/>
      <c r="GQ502" s="6"/>
      <c r="GR502" s="6"/>
      <c r="GS502" s="6"/>
      <c r="GT502" s="6"/>
      <c r="GU502" s="6"/>
      <c r="GV502" s="6"/>
      <c r="GW502" s="6"/>
      <c r="GX502" s="6"/>
      <c r="GY502" s="6"/>
      <c r="GZ502" s="6"/>
      <c r="HA502" s="6"/>
      <c r="HB502" s="6"/>
      <c r="HC502" s="6"/>
      <c r="HD502" s="6"/>
      <c r="HE502" s="6"/>
      <c r="HF502" s="6"/>
      <c r="HG502" s="6"/>
      <c r="HH502" s="6"/>
      <c r="HI502" s="6"/>
      <c r="HJ502" s="6"/>
      <c r="HK502" s="6"/>
      <c r="HL502" s="6"/>
      <c r="HM502" s="6"/>
      <c r="HN502" s="6"/>
      <c r="HO502" s="6"/>
      <c r="HP502" s="6"/>
      <c r="HQ502" s="6"/>
      <c r="HR502" s="6"/>
      <c r="HS502" s="6"/>
      <c r="HT502" s="6"/>
      <c r="HU502" s="6"/>
    </row>
    <row r="503" spans="9:229"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BV503" s="6"/>
      <c r="BW503" s="6"/>
      <c r="BX503" s="6"/>
      <c r="BY503" s="6"/>
      <c r="BZ503" s="6"/>
      <c r="CA503" s="6"/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  <c r="CP503" s="6"/>
      <c r="CQ503" s="6"/>
      <c r="CR503" s="6"/>
      <c r="CS503" s="6"/>
      <c r="CT503" s="6"/>
      <c r="CU503" s="6"/>
      <c r="CV503" s="6"/>
      <c r="CW503" s="6"/>
      <c r="CX503" s="6"/>
      <c r="CY503" s="6"/>
      <c r="CZ503" s="6"/>
      <c r="DA503" s="6"/>
      <c r="DB503" s="6"/>
      <c r="DC503" s="6"/>
      <c r="DD503" s="6"/>
      <c r="DE503" s="6"/>
      <c r="DF503" s="6"/>
      <c r="DG503" s="6"/>
      <c r="DH503" s="6"/>
      <c r="DI503" s="6"/>
      <c r="DJ503" s="6"/>
      <c r="DK503" s="6"/>
      <c r="DL503" s="6"/>
      <c r="DM503" s="6"/>
      <c r="DN503" s="6"/>
      <c r="DO503" s="6"/>
      <c r="DP503" s="6"/>
      <c r="DQ503" s="6"/>
      <c r="DR503" s="6"/>
      <c r="DS503" s="6"/>
      <c r="DT503" s="6"/>
      <c r="DU503" s="6"/>
      <c r="DV503" s="6"/>
      <c r="DW503" s="6"/>
      <c r="DX503" s="6"/>
      <c r="DY503" s="6"/>
      <c r="DZ503" s="6"/>
      <c r="EA503" s="6"/>
      <c r="EB503" s="6"/>
      <c r="EC503" s="6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  <c r="ER503" s="6"/>
      <c r="ES503" s="6"/>
      <c r="ET503" s="6"/>
      <c r="EU503" s="6"/>
      <c r="EV503" s="6"/>
      <c r="EW503" s="6"/>
      <c r="EX503" s="6"/>
      <c r="EY503" s="6"/>
      <c r="EZ503" s="6"/>
      <c r="FA503" s="6"/>
      <c r="FB503" s="6"/>
      <c r="FC503" s="6"/>
      <c r="FD503" s="6"/>
      <c r="FE503" s="6"/>
      <c r="FF503" s="6"/>
      <c r="FG503" s="6"/>
      <c r="FH503" s="6"/>
      <c r="FI503" s="6"/>
      <c r="FJ503" s="6"/>
      <c r="FK503" s="6"/>
      <c r="FL503" s="6"/>
      <c r="FM503" s="6"/>
      <c r="FN503" s="6"/>
      <c r="FO503" s="6"/>
      <c r="FP503" s="6"/>
      <c r="FQ503" s="6"/>
      <c r="FR503" s="6"/>
      <c r="FS503" s="6"/>
      <c r="FT503" s="6"/>
      <c r="FU503" s="6"/>
      <c r="FV503" s="6"/>
      <c r="FW503" s="6"/>
      <c r="FX503" s="6"/>
      <c r="FY503" s="6"/>
      <c r="FZ503" s="6"/>
      <c r="GA503" s="6"/>
      <c r="GB503" s="6"/>
      <c r="GC503" s="6"/>
      <c r="GD503" s="6"/>
      <c r="GE503" s="6"/>
      <c r="GF503" s="6"/>
      <c r="GG503" s="6"/>
      <c r="GH503" s="6"/>
      <c r="GI503" s="6"/>
      <c r="GJ503" s="6"/>
      <c r="GK503" s="6"/>
      <c r="GL503" s="6"/>
      <c r="GM503" s="6"/>
      <c r="GN503" s="6"/>
      <c r="GO503" s="6"/>
      <c r="GP503" s="6"/>
      <c r="GQ503" s="6"/>
      <c r="GR503" s="6"/>
      <c r="GS503" s="6"/>
      <c r="GT503" s="6"/>
      <c r="GU503" s="6"/>
      <c r="GV503" s="6"/>
      <c r="GW503" s="6"/>
      <c r="GX503" s="6"/>
      <c r="GY503" s="6"/>
      <c r="GZ503" s="6"/>
      <c r="HA503" s="6"/>
      <c r="HB503" s="6"/>
      <c r="HC503" s="6"/>
      <c r="HD503" s="6"/>
      <c r="HE503" s="6"/>
      <c r="HF503" s="6"/>
      <c r="HG503" s="6"/>
      <c r="HH503" s="6"/>
      <c r="HI503" s="6"/>
      <c r="HJ503" s="6"/>
      <c r="HK503" s="6"/>
      <c r="HL503" s="6"/>
      <c r="HM503" s="6"/>
      <c r="HN503" s="6"/>
      <c r="HO503" s="6"/>
      <c r="HP503" s="6"/>
      <c r="HQ503" s="6"/>
      <c r="HR503" s="6"/>
      <c r="HS503" s="6"/>
      <c r="HT503" s="6"/>
      <c r="HU503" s="6"/>
    </row>
    <row r="504" spans="9:229"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BV504" s="6"/>
      <c r="BW504" s="6"/>
      <c r="BX504" s="6"/>
      <c r="BY504" s="6"/>
      <c r="BZ504" s="6"/>
      <c r="CA504" s="6"/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  <c r="CP504" s="6"/>
      <c r="CQ504" s="6"/>
      <c r="CR504" s="6"/>
      <c r="CS504" s="6"/>
      <c r="CT504" s="6"/>
      <c r="CU504" s="6"/>
      <c r="CV504" s="6"/>
      <c r="CW504" s="6"/>
      <c r="CX504" s="6"/>
      <c r="CY504" s="6"/>
      <c r="CZ504" s="6"/>
      <c r="DA504" s="6"/>
      <c r="DB504" s="6"/>
      <c r="DC504" s="6"/>
      <c r="DD504" s="6"/>
      <c r="DE504" s="6"/>
      <c r="DF504" s="6"/>
      <c r="DG504" s="6"/>
      <c r="DH504" s="6"/>
      <c r="DI504" s="6"/>
      <c r="DJ504" s="6"/>
      <c r="DK504" s="6"/>
      <c r="DL504" s="6"/>
      <c r="DM504" s="6"/>
      <c r="DN504" s="6"/>
      <c r="DO504" s="6"/>
      <c r="DP504" s="6"/>
      <c r="DQ504" s="6"/>
      <c r="DR504" s="6"/>
      <c r="DS504" s="6"/>
      <c r="DT504" s="6"/>
      <c r="DU504" s="6"/>
      <c r="DV504" s="6"/>
      <c r="DW504" s="6"/>
      <c r="DX504" s="6"/>
      <c r="DY504" s="6"/>
      <c r="DZ504" s="6"/>
      <c r="EA504" s="6"/>
      <c r="EB504" s="6"/>
      <c r="EC504" s="6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  <c r="ER504" s="6"/>
      <c r="ES504" s="6"/>
      <c r="ET504" s="6"/>
      <c r="EU504" s="6"/>
      <c r="EV504" s="6"/>
      <c r="EW504" s="6"/>
      <c r="EX504" s="6"/>
      <c r="EY504" s="6"/>
      <c r="EZ504" s="6"/>
      <c r="FA504" s="6"/>
      <c r="FB504" s="6"/>
      <c r="FC504" s="6"/>
      <c r="FD504" s="6"/>
      <c r="FE504" s="6"/>
      <c r="FF504" s="6"/>
      <c r="FG504" s="6"/>
      <c r="FH504" s="6"/>
      <c r="FI504" s="6"/>
      <c r="FJ504" s="6"/>
      <c r="FK504" s="6"/>
      <c r="FL504" s="6"/>
      <c r="FM504" s="6"/>
      <c r="FN504" s="6"/>
      <c r="FO504" s="6"/>
      <c r="FP504" s="6"/>
      <c r="FQ504" s="6"/>
      <c r="FR504" s="6"/>
      <c r="FS504" s="6"/>
      <c r="FT504" s="6"/>
      <c r="FU504" s="6"/>
      <c r="FV504" s="6"/>
      <c r="FW504" s="6"/>
      <c r="FX504" s="6"/>
      <c r="FY504" s="6"/>
      <c r="FZ504" s="6"/>
      <c r="GA504" s="6"/>
      <c r="GB504" s="6"/>
      <c r="GC504" s="6"/>
      <c r="GD504" s="6"/>
      <c r="GE504" s="6"/>
      <c r="GF504" s="6"/>
      <c r="GG504" s="6"/>
      <c r="GH504" s="6"/>
      <c r="GI504" s="6"/>
      <c r="GJ504" s="6"/>
      <c r="GK504" s="6"/>
      <c r="GL504" s="6"/>
      <c r="GM504" s="6"/>
      <c r="GN504" s="6"/>
      <c r="GO504" s="6"/>
      <c r="GP504" s="6"/>
      <c r="GQ504" s="6"/>
      <c r="GR504" s="6"/>
      <c r="GS504" s="6"/>
      <c r="GT504" s="6"/>
      <c r="GU504" s="6"/>
      <c r="GV504" s="6"/>
      <c r="GW504" s="6"/>
      <c r="GX504" s="6"/>
      <c r="GY504" s="6"/>
      <c r="GZ504" s="6"/>
      <c r="HA504" s="6"/>
      <c r="HB504" s="6"/>
      <c r="HC504" s="6"/>
      <c r="HD504" s="6"/>
      <c r="HE504" s="6"/>
      <c r="HF504" s="6"/>
      <c r="HG504" s="6"/>
      <c r="HH504" s="6"/>
      <c r="HI504" s="6"/>
      <c r="HJ504" s="6"/>
      <c r="HK504" s="6"/>
      <c r="HL504" s="6"/>
      <c r="HM504" s="6"/>
      <c r="HN504" s="6"/>
      <c r="HO504" s="6"/>
      <c r="HP504" s="6"/>
      <c r="HQ504" s="6"/>
      <c r="HR504" s="6"/>
      <c r="HS504" s="6"/>
      <c r="HT504" s="6"/>
      <c r="HU504" s="6"/>
    </row>
    <row r="505" spans="9:229"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BV505" s="6"/>
      <c r="BW505" s="6"/>
      <c r="BX505" s="6"/>
      <c r="BY505" s="6"/>
      <c r="BZ505" s="6"/>
      <c r="CA505" s="6"/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  <c r="CP505" s="6"/>
      <c r="CQ505" s="6"/>
      <c r="CR505" s="6"/>
      <c r="CS505" s="6"/>
      <c r="CT505" s="6"/>
      <c r="CU505" s="6"/>
      <c r="CV505" s="6"/>
      <c r="CW505" s="6"/>
      <c r="CX505" s="6"/>
      <c r="CY505" s="6"/>
      <c r="CZ505" s="6"/>
      <c r="DA505" s="6"/>
      <c r="DB505" s="6"/>
      <c r="DC505" s="6"/>
      <c r="DD505" s="6"/>
      <c r="DE505" s="6"/>
      <c r="DF505" s="6"/>
      <c r="DG505" s="6"/>
      <c r="DH505" s="6"/>
      <c r="DI505" s="6"/>
      <c r="DJ505" s="6"/>
      <c r="DK505" s="6"/>
      <c r="DL505" s="6"/>
      <c r="DM505" s="6"/>
      <c r="DN505" s="6"/>
      <c r="DO505" s="6"/>
      <c r="DP505" s="6"/>
      <c r="DQ505" s="6"/>
      <c r="DR505" s="6"/>
      <c r="DS505" s="6"/>
      <c r="DT505" s="6"/>
      <c r="DU505" s="6"/>
      <c r="DV505" s="6"/>
      <c r="DW505" s="6"/>
      <c r="DX505" s="6"/>
      <c r="DY505" s="6"/>
      <c r="DZ505" s="6"/>
      <c r="EA505" s="6"/>
      <c r="EB505" s="6"/>
      <c r="EC505" s="6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  <c r="ER505" s="6"/>
      <c r="ES505" s="6"/>
      <c r="ET505" s="6"/>
      <c r="EU505" s="6"/>
      <c r="EV505" s="6"/>
      <c r="EW505" s="6"/>
      <c r="EX505" s="6"/>
      <c r="EY505" s="6"/>
      <c r="EZ505" s="6"/>
      <c r="FA505" s="6"/>
      <c r="FB505" s="6"/>
      <c r="FC505" s="6"/>
      <c r="FD505" s="6"/>
      <c r="FE505" s="6"/>
      <c r="FF505" s="6"/>
      <c r="FG505" s="6"/>
      <c r="FH505" s="6"/>
      <c r="FI505" s="6"/>
      <c r="FJ505" s="6"/>
      <c r="FK505" s="6"/>
      <c r="FL505" s="6"/>
      <c r="FM505" s="6"/>
      <c r="FN505" s="6"/>
      <c r="FO505" s="6"/>
      <c r="FP505" s="6"/>
      <c r="FQ505" s="6"/>
      <c r="FR505" s="6"/>
      <c r="FS505" s="6"/>
      <c r="FT505" s="6"/>
      <c r="FU505" s="6"/>
      <c r="FV505" s="6"/>
      <c r="FW505" s="6"/>
      <c r="FX505" s="6"/>
      <c r="FY505" s="6"/>
      <c r="FZ505" s="6"/>
      <c r="GA505" s="6"/>
      <c r="GB505" s="6"/>
      <c r="GC505" s="6"/>
      <c r="GD505" s="6"/>
      <c r="GE505" s="6"/>
      <c r="GF505" s="6"/>
      <c r="GG505" s="6"/>
      <c r="GH505" s="6"/>
      <c r="GI505" s="6"/>
      <c r="GJ505" s="6"/>
      <c r="GK505" s="6"/>
      <c r="GL505" s="6"/>
      <c r="GM505" s="6"/>
      <c r="GN505" s="6"/>
      <c r="GO505" s="6"/>
      <c r="GP505" s="6"/>
      <c r="GQ505" s="6"/>
      <c r="GR505" s="6"/>
      <c r="GS505" s="6"/>
      <c r="GT505" s="6"/>
      <c r="GU505" s="6"/>
      <c r="GV505" s="6"/>
      <c r="GW505" s="6"/>
      <c r="GX505" s="6"/>
      <c r="GY505" s="6"/>
      <c r="GZ505" s="6"/>
      <c r="HA505" s="6"/>
      <c r="HB505" s="6"/>
      <c r="HC505" s="6"/>
      <c r="HD505" s="6"/>
      <c r="HE505" s="6"/>
      <c r="HF505" s="6"/>
      <c r="HG505" s="6"/>
      <c r="HH505" s="6"/>
      <c r="HI505" s="6"/>
      <c r="HJ505" s="6"/>
      <c r="HK505" s="6"/>
      <c r="HL505" s="6"/>
      <c r="HM505" s="6"/>
      <c r="HN505" s="6"/>
      <c r="HO505" s="6"/>
      <c r="HP505" s="6"/>
      <c r="HQ505" s="6"/>
      <c r="HR505" s="6"/>
      <c r="HS505" s="6"/>
      <c r="HT505" s="6"/>
      <c r="HU505" s="6"/>
    </row>
    <row r="506" spans="9:229"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BV506" s="6"/>
      <c r="BW506" s="6"/>
      <c r="BX506" s="6"/>
      <c r="BY506" s="6"/>
      <c r="BZ506" s="6"/>
      <c r="CA506" s="6"/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  <c r="CP506" s="6"/>
      <c r="CQ506" s="6"/>
      <c r="CR506" s="6"/>
      <c r="CS506" s="6"/>
      <c r="CT506" s="6"/>
      <c r="CU506" s="6"/>
      <c r="CV506" s="6"/>
      <c r="CW506" s="6"/>
      <c r="CX506" s="6"/>
      <c r="CY506" s="6"/>
      <c r="CZ506" s="6"/>
      <c r="DA506" s="6"/>
      <c r="DB506" s="6"/>
      <c r="DC506" s="6"/>
      <c r="DD506" s="6"/>
      <c r="DE506" s="6"/>
      <c r="DF506" s="6"/>
      <c r="DG506" s="6"/>
      <c r="DH506" s="6"/>
      <c r="DI506" s="6"/>
      <c r="DJ506" s="6"/>
      <c r="DK506" s="6"/>
      <c r="DL506" s="6"/>
      <c r="DM506" s="6"/>
      <c r="DN506" s="6"/>
      <c r="DO506" s="6"/>
      <c r="DP506" s="6"/>
      <c r="DQ506" s="6"/>
      <c r="DR506" s="6"/>
      <c r="DS506" s="6"/>
      <c r="DT506" s="6"/>
      <c r="DU506" s="6"/>
      <c r="DV506" s="6"/>
      <c r="DW506" s="6"/>
      <c r="DX506" s="6"/>
      <c r="DY506" s="6"/>
      <c r="DZ506" s="6"/>
      <c r="EA506" s="6"/>
      <c r="EB506" s="6"/>
      <c r="EC506" s="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  <c r="ER506" s="6"/>
      <c r="ES506" s="6"/>
      <c r="ET506" s="6"/>
      <c r="EU506" s="6"/>
      <c r="EV506" s="6"/>
      <c r="EW506" s="6"/>
      <c r="EX506" s="6"/>
      <c r="EY506" s="6"/>
      <c r="EZ506" s="6"/>
      <c r="FA506" s="6"/>
      <c r="FB506" s="6"/>
      <c r="FC506" s="6"/>
      <c r="FD506" s="6"/>
      <c r="FE506" s="6"/>
      <c r="FF506" s="6"/>
      <c r="FG506" s="6"/>
      <c r="FH506" s="6"/>
      <c r="FI506" s="6"/>
      <c r="FJ506" s="6"/>
      <c r="FK506" s="6"/>
      <c r="FL506" s="6"/>
      <c r="FM506" s="6"/>
      <c r="FN506" s="6"/>
      <c r="FO506" s="6"/>
      <c r="FP506" s="6"/>
      <c r="FQ506" s="6"/>
      <c r="FR506" s="6"/>
      <c r="FS506" s="6"/>
      <c r="FT506" s="6"/>
      <c r="FU506" s="6"/>
      <c r="FV506" s="6"/>
      <c r="FW506" s="6"/>
      <c r="FX506" s="6"/>
      <c r="FY506" s="6"/>
      <c r="FZ506" s="6"/>
      <c r="GA506" s="6"/>
      <c r="GB506" s="6"/>
      <c r="GC506" s="6"/>
      <c r="GD506" s="6"/>
      <c r="GE506" s="6"/>
      <c r="GF506" s="6"/>
      <c r="GG506" s="6"/>
      <c r="GH506" s="6"/>
      <c r="GI506" s="6"/>
      <c r="GJ506" s="6"/>
      <c r="GK506" s="6"/>
      <c r="GL506" s="6"/>
      <c r="GM506" s="6"/>
      <c r="GN506" s="6"/>
      <c r="GO506" s="6"/>
      <c r="GP506" s="6"/>
      <c r="GQ506" s="6"/>
      <c r="GR506" s="6"/>
      <c r="GS506" s="6"/>
      <c r="GT506" s="6"/>
      <c r="GU506" s="6"/>
      <c r="GV506" s="6"/>
      <c r="GW506" s="6"/>
      <c r="GX506" s="6"/>
      <c r="GY506" s="6"/>
      <c r="GZ506" s="6"/>
      <c r="HA506" s="6"/>
      <c r="HB506" s="6"/>
      <c r="HC506" s="6"/>
      <c r="HD506" s="6"/>
      <c r="HE506" s="6"/>
      <c r="HF506" s="6"/>
      <c r="HG506" s="6"/>
      <c r="HH506" s="6"/>
      <c r="HI506" s="6"/>
      <c r="HJ506" s="6"/>
      <c r="HK506" s="6"/>
      <c r="HL506" s="6"/>
      <c r="HM506" s="6"/>
      <c r="HN506" s="6"/>
      <c r="HO506" s="6"/>
      <c r="HP506" s="6"/>
      <c r="HQ506" s="6"/>
      <c r="HR506" s="6"/>
      <c r="HS506" s="6"/>
      <c r="HT506" s="6"/>
      <c r="HU506" s="6"/>
    </row>
    <row r="507" spans="9:229"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BV507" s="6"/>
      <c r="BW507" s="6"/>
      <c r="BX507" s="6"/>
      <c r="BY507" s="6"/>
      <c r="BZ507" s="6"/>
      <c r="CA507" s="6"/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  <c r="CP507" s="6"/>
      <c r="CQ507" s="6"/>
      <c r="CR507" s="6"/>
      <c r="CS507" s="6"/>
      <c r="CT507" s="6"/>
      <c r="CU507" s="6"/>
      <c r="CV507" s="6"/>
      <c r="CW507" s="6"/>
      <c r="CX507" s="6"/>
      <c r="CY507" s="6"/>
      <c r="CZ507" s="6"/>
      <c r="DA507" s="6"/>
      <c r="DB507" s="6"/>
      <c r="DC507" s="6"/>
      <c r="DD507" s="6"/>
      <c r="DE507" s="6"/>
      <c r="DF507" s="6"/>
      <c r="DG507" s="6"/>
      <c r="DH507" s="6"/>
      <c r="DI507" s="6"/>
      <c r="DJ507" s="6"/>
      <c r="DK507" s="6"/>
      <c r="DL507" s="6"/>
      <c r="DM507" s="6"/>
      <c r="DN507" s="6"/>
      <c r="DO507" s="6"/>
      <c r="DP507" s="6"/>
      <c r="DQ507" s="6"/>
      <c r="DR507" s="6"/>
      <c r="DS507" s="6"/>
      <c r="DT507" s="6"/>
      <c r="DU507" s="6"/>
      <c r="DV507" s="6"/>
      <c r="DW507" s="6"/>
      <c r="DX507" s="6"/>
      <c r="DY507" s="6"/>
      <c r="DZ507" s="6"/>
      <c r="EA507" s="6"/>
      <c r="EB507" s="6"/>
      <c r="EC507" s="6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  <c r="ER507" s="6"/>
      <c r="ES507" s="6"/>
      <c r="ET507" s="6"/>
      <c r="EU507" s="6"/>
      <c r="EV507" s="6"/>
      <c r="EW507" s="6"/>
      <c r="EX507" s="6"/>
      <c r="EY507" s="6"/>
      <c r="EZ507" s="6"/>
      <c r="FA507" s="6"/>
      <c r="FB507" s="6"/>
      <c r="FC507" s="6"/>
      <c r="FD507" s="6"/>
      <c r="FE507" s="6"/>
      <c r="FF507" s="6"/>
      <c r="FG507" s="6"/>
      <c r="FH507" s="6"/>
      <c r="FI507" s="6"/>
      <c r="FJ507" s="6"/>
      <c r="FK507" s="6"/>
      <c r="FL507" s="6"/>
      <c r="FM507" s="6"/>
      <c r="FN507" s="6"/>
      <c r="FO507" s="6"/>
      <c r="FP507" s="6"/>
      <c r="FQ507" s="6"/>
      <c r="FR507" s="6"/>
      <c r="FS507" s="6"/>
      <c r="FT507" s="6"/>
      <c r="FU507" s="6"/>
      <c r="FV507" s="6"/>
      <c r="FW507" s="6"/>
      <c r="FX507" s="6"/>
      <c r="FY507" s="6"/>
      <c r="FZ507" s="6"/>
      <c r="GA507" s="6"/>
      <c r="GB507" s="6"/>
      <c r="GC507" s="6"/>
      <c r="GD507" s="6"/>
      <c r="GE507" s="6"/>
      <c r="GF507" s="6"/>
      <c r="GG507" s="6"/>
      <c r="GH507" s="6"/>
      <c r="GI507" s="6"/>
      <c r="GJ507" s="6"/>
      <c r="GK507" s="6"/>
      <c r="GL507" s="6"/>
      <c r="GM507" s="6"/>
      <c r="GN507" s="6"/>
      <c r="GO507" s="6"/>
      <c r="GP507" s="6"/>
      <c r="GQ507" s="6"/>
      <c r="GR507" s="6"/>
      <c r="GS507" s="6"/>
      <c r="GT507" s="6"/>
      <c r="GU507" s="6"/>
      <c r="GV507" s="6"/>
      <c r="GW507" s="6"/>
      <c r="GX507" s="6"/>
      <c r="GY507" s="6"/>
      <c r="GZ507" s="6"/>
      <c r="HA507" s="6"/>
      <c r="HB507" s="6"/>
      <c r="HC507" s="6"/>
      <c r="HD507" s="6"/>
      <c r="HE507" s="6"/>
      <c r="HF507" s="6"/>
      <c r="HG507" s="6"/>
      <c r="HH507" s="6"/>
      <c r="HI507" s="6"/>
      <c r="HJ507" s="6"/>
      <c r="HK507" s="6"/>
      <c r="HL507" s="6"/>
      <c r="HM507" s="6"/>
      <c r="HN507" s="6"/>
      <c r="HO507" s="6"/>
      <c r="HP507" s="6"/>
      <c r="HQ507" s="6"/>
      <c r="HR507" s="6"/>
      <c r="HS507" s="6"/>
      <c r="HT507" s="6"/>
      <c r="HU507" s="6"/>
    </row>
    <row r="508" spans="9:229"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BV508" s="6"/>
      <c r="BW508" s="6"/>
      <c r="BX508" s="6"/>
      <c r="BY508" s="6"/>
      <c r="BZ508" s="6"/>
      <c r="CA508" s="6"/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  <c r="CP508" s="6"/>
      <c r="CQ508" s="6"/>
      <c r="CR508" s="6"/>
      <c r="CS508" s="6"/>
      <c r="CT508" s="6"/>
      <c r="CU508" s="6"/>
      <c r="CV508" s="6"/>
      <c r="CW508" s="6"/>
      <c r="CX508" s="6"/>
      <c r="CY508" s="6"/>
      <c r="CZ508" s="6"/>
      <c r="DA508" s="6"/>
      <c r="DB508" s="6"/>
      <c r="DC508" s="6"/>
      <c r="DD508" s="6"/>
      <c r="DE508" s="6"/>
      <c r="DF508" s="6"/>
      <c r="DG508" s="6"/>
      <c r="DH508" s="6"/>
      <c r="DI508" s="6"/>
      <c r="DJ508" s="6"/>
      <c r="DK508" s="6"/>
      <c r="DL508" s="6"/>
      <c r="DM508" s="6"/>
      <c r="DN508" s="6"/>
      <c r="DO508" s="6"/>
      <c r="DP508" s="6"/>
      <c r="DQ508" s="6"/>
      <c r="DR508" s="6"/>
      <c r="DS508" s="6"/>
      <c r="DT508" s="6"/>
      <c r="DU508" s="6"/>
      <c r="DV508" s="6"/>
      <c r="DW508" s="6"/>
      <c r="DX508" s="6"/>
      <c r="DY508" s="6"/>
      <c r="DZ508" s="6"/>
      <c r="EA508" s="6"/>
      <c r="EB508" s="6"/>
      <c r="EC508" s="6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  <c r="ER508" s="6"/>
      <c r="ES508" s="6"/>
      <c r="ET508" s="6"/>
      <c r="EU508" s="6"/>
      <c r="EV508" s="6"/>
      <c r="EW508" s="6"/>
      <c r="EX508" s="6"/>
      <c r="EY508" s="6"/>
      <c r="EZ508" s="6"/>
      <c r="FA508" s="6"/>
      <c r="FB508" s="6"/>
      <c r="FC508" s="6"/>
      <c r="FD508" s="6"/>
      <c r="FE508" s="6"/>
      <c r="FF508" s="6"/>
      <c r="FG508" s="6"/>
      <c r="FH508" s="6"/>
      <c r="FI508" s="6"/>
      <c r="FJ508" s="6"/>
      <c r="FK508" s="6"/>
      <c r="FL508" s="6"/>
      <c r="FM508" s="6"/>
      <c r="FN508" s="6"/>
      <c r="FO508" s="6"/>
      <c r="FP508" s="6"/>
      <c r="FQ508" s="6"/>
      <c r="FR508" s="6"/>
      <c r="FS508" s="6"/>
      <c r="FT508" s="6"/>
      <c r="FU508" s="6"/>
      <c r="FV508" s="6"/>
      <c r="FW508" s="6"/>
      <c r="FX508" s="6"/>
      <c r="FY508" s="6"/>
      <c r="FZ508" s="6"/>
      <c r="GA508" s="6"/>
      <c r="GB508" s="6"/>
      <c r="GC508" s="6"/>
      <c r="GD508" s="6"/>
      <c r="GE508" s="6"/>
      <c r="GF508" s="6"/>
      <c r="GG508" s="6"/>
      <c r="GH508" s="6"/>
      <c r="GI508" s="6"/>
      <c r="GJ508" s="6"/>
      <c r="GK508" s="6"/>
      <c r="GL508" s="6"/>
      <c r="GM508" s="6"/>
      <c r="GN508" s="6"/>
      <c r="GO508" s="6"/>
      <c r="GP508" s="6"/>
      <c r="GQ508" s="6"/>
      <c r="GR508" s="6"/>
      <c r="GS508" s="6"/>
      <c r="GT508" s="6"/>
      <c r="GU508" s="6"/>
      <c r="GV508" s="6"/>
      <c r="GW508" s="6"/>
      <c r="GX508" s="6"/>
      <c r="GY508" s="6"/>
      <c r="GZ508" s="6"/>
      <c r="HA508" s="6"/>
      <c r="HB508" s="6"/>
      <c r="HC508" s="6"/>
      <c r="HD508" s="6"/>
      <c r="HE508" s="6"/>
      <c r="HF508" s="6"/>
      <c r="HG508" s="6"/>
      <c r="HH508" s="6"/>
      <c r="HI508" s="6"/>
      <c r="HJ508" s="6"/>
      <c r="HK508" s="6"/>
      <c r="HL508" s="6"/>
      <c r="HM508" s="6"/>
      <c r="HN508" s="6"/>
      <c r="HO508" s="6"/>
      <c r="HP508" s="6"/>
      <c r="HQ508" s="6"/>
      <c r="HR508" s="6"/>
      <c r="HS508" s="6"/>
      <c r="HT508" s="6"/>
      <c r="HU508" s="6"/>
    </row>
    <row r="509" spans="9:229"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BV509" s="6"/>
      <c r="BW509" s="6"/>
      <c r="BX509" s="6"/>
      <c r="BY509" s="6"/>
      <c r="BZ509" s="6"/>
      <c r="CA509" s="6"/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  <c r="CP509" s="6"/>
      <c r="CQ509" s="6"/>
      <c r="CR509" s="6"/>
      <c r="CS509" s="6"/>
      <c r="CT509" s="6"/>
      <c r="CU509" s="6"/>
      <c r="CV509" s="6"/>
      <c r="CW509" s="6"/>
      <c r="CX509" s="6"/>
      <c r="CY509" s="6"/>
      <c r="CZ509" s="6"/>
      <c r="DA509" s="6"/>
      <c r="DB509" s="6"/>
      <c r="DC509" s="6"/>
      <c r="DD509" s="6"/>
      <c r="DE509" s="6"/>
      <c r="DF509" s="6"/>
      <c r="DG509" s="6"/>
      <c r="DH509" s="6"/>
      <c r="DI509" s="6"/>
      <c r="DJ509" s="6"/>
      <c r="DK509" s="6"/>
      <c r="DL509" s="6"/>
      <c r="DM509" s="6"/>
      <c r="DN509" s="6"/>
      <c r="DO509" s="6"/>
      <c r="DP509" s="6"/>
      <c r="DQ509" s="6"/>
      <c r="DR509" s="6"/>
      <c r="DS509" s="6"/>
      <c r="DT509" s="6"/>
      <c r="DU509" s="6"/>
      <c r="DV509" s="6"/>
      <c r="DW509" s="6"/>
      <c r="DX509" s="6"/>
      <c r="DY509" s="6"/>
      <c r="DZ509" s="6"/>
      <c r="EA509" s="6"/>
      <c r="EB509" s="6"/>
      <c r="EC509" s="6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  <c r="ER509" s="6"/>
      <c r="ES509" s="6"/>
      <c r="ET509" s="6"/>
      <c r="EU509" s="6"/>
      <c r="EV509" s="6"/>
      <c r="EW509" s="6"/>
      <c r="EX509" s="6"/>
      <c r="EY509" s="6"/>
      <c r="EZ509" s="6"/>
      <c r="FA509" s="6"/>
      <c r="FB509" s="6"/>
      <c r="FC509" s="6"/>
      <c r="FD509" s="6"/>
      <c r="FE509" s="6"/>
      <c r="FF509" s="6"/>
      <c r="FG509" s="6"/>
      <c r="FH509" s="6"/>
      <c r="FI509" s="6"/>
      <c r="FJ509" s="6"/>
      <c r="FK509" s="6"/>
      <c r="FL509" s="6"/>
      <c r="FM509" s="6"/>
      <c r="FN509" s="6"/>
      <c r="FO509" s="6"/>
      <c r="FP509" s="6"/>
      <c r="FQ509" s="6"/>
      <c r="FR509" s="6"/>
      <c r="FS509" s="6"/>
      <c r="FT509" s="6"/>
      <c r="FU509" s="6"/>
      <c r="FV509" s="6"/>
      <c r="FW509" s="6"/>
      <c r="FX509" s="6"/>
      <c r="FY509" s="6"/>
      <c r="FZ509" s="6"/>
      <c r="GA509" s="6"/>
      <c r="GB509" s="6"/>
      <c r="GC509" s="6"/>
      <c r="GD509" s="6"/>
      <c r="GE509" s="6"/>
      <c r="GF509" s="6"/>
      <c r="GG509" s="6"/>
      <c r="GH509" s="6"/>
      <c r="GI509" s="6"/>
      <c r="GJ509" s="6"/>
      <c r="GK509" s="6"/>
      <c r="GL509" s="6"/>
      <c r="GM509" s="6"/>
      <c r="GN509" s="6"/>
      <c r="GO509" s="6"/>
      <c r="GP509" s="6"/>
      <c r="GQ509" s="6"/>
      <c r="GR509" s="6"/>
      <c r="GS509" s="6"/>
      <c r="GT509" s="6"/>
      <c r="GU509" s="6"/>
      <c r="GV509" s="6"/>
      <c r="GW509" s="6"/>
      <c r="GX509" s="6"/>
      <c r="GY509" s="6"/>
      <c r="GZ509" s="6"/>
      <c r="HA509" s="6"/>
      <c r="HB509" s="6"/>
      <c r="HC509" s="6"/>
      <c r="HD509" s="6"/>
      <c r="HE509" s="6"/>
      <c r="HF509" s="6"/>
      <c r="HG509" s="6"/>
      <c r="HH509" s="6"/>
      <c r="HI509" s="6"/>
      <c r="HJ509" s="6"/>
      <c r="HK509" s="6"/>
      <c r="HL509" s="6"/>
      <c r="HM509" s="6"/>
      <c r="HN509" s="6"/>
      <c r="HO509" s="6"/>
      <c r="HP509" s="6"/>
      <c r="HQ509" s="6"/>
      <c r="HR509" s="6"/>
      <c r="HS509" s="6"/>
      <c r="HT509" s="6"/>
      <c r="HU509" s="6"/>
    </row>
    <row r="510" spans="9:229"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BV510" s="6"/>
      <c r="BW510" s="6"/>
      <c r="BX510" s="6"/>
      <c r="BY510" s="6"/>
      <c r="BZ510" s="6"/>
      <c r="CA510" s="6"/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  <c r="CP510" s="6"/>
      <c r="CQ510" s="6"/>
      <c r="CR510" s="6"/>
      <c r="CS510" s="6"/>
      <c r="CT510" s="6"/>
      <c r="CU510" s="6"/>
      <c r="CV510" s="6"/>
      <c r="CW510" s="6"/>
      <c r="CX510" s="6"/>
      <c r="CY510" s="6"/>
      <c r="CZ510" s="6"/>
      <c r="DA510" s="6"/>
      <c r="DB510" s="6"/>
      <c r="DC510" s="6"/>
      <c r="DD510" s="6"/>
      <c r="DE510" s="6"/>
      <c r="DF510" s="6"/>
      <c r="DG510" s="6"/>
      <c r="DH510" s="6"/>
      <c r="DI510" s="6"/>
      <c r="DJ510" s="6"/>
      <c r="DK510" s="6"/>
      <c r="DL510" s="6"/>
      <c r="DM510" s="6"/>
      <c r="DN510" s="6"/>
      <c r="DO510" s="6"/>
      <c r="DP510" s="6"/>
      <c r="DQ510" s="6"/>
      <c r="DR510" s="6"/>
      <c r="DS510" s="6"/>
      <c r="DT510" s="6"/>
      <c r="DU510" s="6"/>
      <c r="DV510" s="6"/>
      <c r="DW510" s="6"/>
      <c r="DX510" s="6"/>
      <c r="DY510" s="6"/>
      <c r="DZ510" s="6"/>
      <c r="EA510" s="6"/>
      <c r="EB510" s="6"/>
      <c r="EC510" s="6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  <c r="ER510" s="6"/>
      <c r="ES510" s="6"/>
      <c r="ET510" s="6"/>
      <c r="EU510" s="6"/>
      <c r="EV510" s="6"/>
      <c r="EW510" s="6"/>
      <c r="EX510" s="6"/>
      <c r="EY510" s="6"/>
      <c r="EZ510" s="6"/>
      <c r="FA510" s="6"/>
      <c r="FB510" s="6"/>
      <c r="FC510" s="6"/>
      <c r="FD510" s="6"/>
      <c r="FE510" s="6"/>
      <c r="FF510" s="6"/>
      <c r="FG510" s="6"/>
      <c r="FH510" s="6"/>
      <c r="FI510" s="6"/>
      <c r="FJ510" s="6"/>
      <c r="FK510" s="6"/>
      <c r="FL510" s="6"/>
      <c r="FM510" s="6"/>
      <c r="FN510" s="6"/>
      <c r="FO510" s="6"/>
      <c r="FP510" s="6"/>
      <c r="FQ510" s="6"/>
      <c r="FR510" s="6"/>
      <c r="FS510" s="6"/>
      <c r="FT510" s="6"/>
      <c r="FU510" s="6"/>
      <c r="FV510" s="6"/>
      <c r="FW510" s="6"/>
      <c r="FX510" s="6"/>
      <c r="FY510" s="6"/>
      <c r="FZ510" s="6"/>
      <c r="GA510" s="6"/>
      <c r="GB510" s="6"/>
      <c r="GC510" s="6"/>
      <c r="GD510" s="6"/>
      <c r="GE510" s="6"/>
      <c r="GF510" s="6"/>
      <c r="GG510" s="6"/>
      <c r="GH510" s="6"/>
      <c r="GI510" s="6"/>
      <c r="GJ510" s="6"/>
      <c r="GK510" s="6"/>
      <c r="GL510" s="6"/>
      <c r="GM510" s="6"/>
      <c r="GN510" s="6"/>
      <c r="GO510" s="6"/>
      <c r="GP510" s="6"/>
      <c r="GQ510" s="6"/>
      <c r="GR510" s="6"/>
      <c r="GS510" s="6"/>
      <c r="GT510" s="6"/>
      <c r="GU510" s="6"/>
      <c r="GV510" s="6"/>
      <c r="GW510" s="6"/>
      <c r="GX510" s="6"/>
      <c r="GY510" s="6"/>
      <c r="GZ510" s="6"/>
      <c r="HA510" s="6"/>
      <c r="HB510" s="6"/>
      <c r="HC510" s="6"/>
      <c r="HD510" s="6"/>
      <c r="HE510" s="6"/>
      <c r="HF510" s="6"/>
      <c r="HG510" s="6"/>
      <c r="HH510" s="6"/>
      <c r="HI510" s="6"/>
      <c r="HJ510" s="6"/>
      <c r="HK510" s="6"/>
      <c r="HL510" s="6"/>
      <c r="HM510" s="6"/>
      <c r="HN510" s="6"/>
      <c r="HO510" s="6"/>
      <c r="HP510" s="6"/>
      <c r="HQ510" s="6"/>
      <c r="HR510" s="6"/>
      <c r="HS510" s="6"/>
      <c r="HT510" s="6"/>
      <c r="HU510" s="6"/>
    </row>
    <row r="511" spans="9:229"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BV511" s="6"/>
      <c r="BW511" s="6"/>
      <c r="BX511" s="6"/>
      <c r="BY511" s="6"/>
      <c r="BZ511" s="6"/>
      <c r="CA511" s="6"/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  <c r="CP511" s="6"/>
      <c r="CQ511" s="6"/>
      <c r="CR511" s="6"/>
      <c r="CS511" s="6"/>
      <c r="CT511" s="6"/>
      <c r="CU511" s="6"/>
      <c r="CV511" s="6"/>
      <c r="CW511" s="6"/>
      <c r="CX511" s="6"/>
      <c r="CY511" s="6"/>
      <c r="CZ511" s="6"/>
      <c r="DA511" s="6"/>
      <c r="DB511" s="6"/>
      <c r="DC511" s="6"/>
      <c r="DD511" s="6"/>
      <c r="DE511" s="6"/>
      <c r="DF511" s="6"/>
      <c r="DG511" s="6"/>
      <c r="DH511" s="6"/>
      <c r="DI511" s="6"/>
      <c r="DJ511" s="6"/>
      <c r="DK511" s="6"/>
      <c r="DL511" s="6"/>
      <c r="DM511" s="6"/>
      <c r="DN511" s="6"/>
      <c r="DO511" s="6"/>
      <c r="DP511" s="6"/>
      <c r="DQ511" s="6"/>
      <c r="DR511" s="6"/>
      <c r="DS511" s="6"/>
      <c r="DT511" s="6"/>
      <c r="DU511" s="6"/>
      <c r="DV511" s="6"/>
      <c r="DW511" s="6"/>
      <c r="DX511" s="6"/>
      <c r="DY511" s="6"/>
      <c r="DZ511" s="6"/>
      <c r="EA511" s="6"/>
      <c r="EB511" s="6"/>
      <c r="EC511" s="6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  <c r="ER511" s="6"/>
      <c r="ES511" s="6"/>
      <c r="ET511" s="6"/>
      <c r="EU511" s="6"/>
      <c r="EV511" s="6"/>
      <c r="EW511" s="6"/>
      <c r="EX511" s="6"/>
      <c r="EY511" s="6"/>
      <c r="EZ511" s="6"/>
      <c r="FA511" s="6"/>
      <c r="FB511" s="6"/>
      <c r="FC511" s="6"/>
      <c r="FD511" s="6"/>
      <c r="FE511" s="6"/>
      <c r="FF511" s="6"/>
      <c r="FG511" s="6"/>
      <c r="FH511" s="6"/>
      <c r="FI511" s="6"/>
      <c r="FJ511" s="6"/>
      <c r="FK511" s="6"/>
      <c r="FL511" s="6"/>
      <c r="FM511" s="6"/>
      <c r="FN511" s="6"/>
      <c r="FO511" s="6"/>
      <c r="FP511" s="6"/>
      <c r="FQ511" s="6"/>
      <c r="FR511" s="6"/>
      <c r="FS511" s="6"/>
      <c r="FT511" s="6"/>
      <c r="FU511" s="6"/>
      <c r="FV511" s="6"/>
      <c r="FW511" s="6"/>
      <c r="FX511" s="6"/>
      <c r="FY511" s="6"/>
      <c r="FZ511" s="6"/>
      <c r="GA511" s="6"/>
      <c r="GB511" s="6"/>
      <c r="GC511" s="6"/>
      <c r="GD511" s="6"/>
      <c r="GE511" s="6"/>
      <c r="GF511" s="6"/>
      <c r="GG511" s="6"/>
      <c r="GH511" s="6"/>
      <c r="GI511" s="6"/>
      <c r="GJ511" s="6"/>
      <c r="GK511" s="6"/>
      <c r="GL511" s="6"/>
      <c r="GM511" s="6"/>
      <c r="GN511" s="6"/>
      <c r="GO511" s="6"/>
      <c r="GP511" s="6"/>
      <c r="GQ511" s="6"/>
      <c r="GR511" s="6"/>
      <c r="GS511" s="6"/>
      <c r="GT511" s="6"/>
      <c r="GU511" s="6"/>
      <c r="GV511" s="6"/>
      <c r="GW511" s="6"/>
      <c r="GX511" s="6"/>
      <c r="GY511" s="6"/>
      <c r="GZ511" s="6"/>
      <c r="HA511" s="6"/>
      <c r="HB511" s="6"/>
      <c r="HC511" s="6"/>
      <c r="HD511" s="6"/>
      <c r="HE511" s="6"/>
      <c r="HF511" s="6"/>
      <c r="HG511" s="6"/>
      <c r="HH511" s="6"/>
      <c r="HI511" s="6"/>
      <c r="HJ511" s="6"/>
      <c r="HK511" s="6"/>
      <c r="HL511" s="6"/>
      <c r="HM511" s="6"/>
      <c r="HN511" s="6"/>
      <c r="HO511" s="6"/>
      <c r="HP511" s="6"/>
      <c r="HQ511" s="6"/>
      <c r="HR511" s="6"/>
      <c r="HS511" s="6"/>
      <c r="HT511" s="6"/>
      <c r="HU511" s="6"/>
    </row>
    <row r="512" spans="9:229"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BV512" s="6"/>
      <c r="BW512" s="6"/>
      <c r="BX512" s="6"/>
      <c r="BY512" s="6"/>
      <c r="BZ512" s="6"/>
      <c r="CA512" s="6"/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  <c r="CP512" s="6"/>
      <c r="CQ512" s="6"/>
      <c r="CR512" s="6"/>
      <c r="CS512" s="6"/>
      <c r="CT512" s="6"/>
      <c r="CU512" s="6"/>
      <c r="CV512" s="6"/>
      <c r="CW512" s="6"/>
      <c r="CX512" s="6"/>
      <c r="CY512" s="6"/>
      <c r="CZ512" s="6"/>
      <c r="DA512" s="6"/>
      <c r="DB512" s="6"/>
      <c r="DC512" s="6"/>
      <c r="DD512" s="6"/>
      <c r="DE512" s="6"/>
      <c r="DF512" s="6"/>
      <c r="DG512" s="6"/>
      <c r="DH512" s="6"/>
      <c r="DI512" s="6"/>
      <c r="DJ512" s="6"/>
      <c r="DK512" s="6"/>
      <c r="DL512" s="6"/>
      <c r="DM512" s="6"/>
      <c r="DN512" s="6"/>
      <c r="DO512" s="6"/>
      <c r="DP512" s="6"/>
      <c r="DQ512" s="6"/>
      <c r="DR512" s="6"/>
      <c r="DS512" s="6"/>
      <c r="DT512" s="6"/>
      <c r="DU512" s="6"/>
      <c r="DV512" s="6"/>
      <c r="DW512" s="6"/>
      <c r="DX512" s="6"/>
      <c r="DY512" s="6"/>
      <c r="DZ512" s="6"/>
      <c r="EA512" s="6"/>
      <c r="EB512" s="6"/>
      <c r="EC512" s="6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  <c r="ER512" s="6"/>
      <c r="ES512" s="6"/>
      <c r="ET512" s="6"/>
      <c r="EU512" s="6"/>
      <c r="EV512" s="6"/>
      <c r="EW512" s="6"/>
      <c r="EX512" s="6"/>
      <c r="EY512" s="6"/>
      <c r="EZ512" s="6"/>
      <c r="FA512" s="6"/>
      <c r="FB512" s="6"/>
      <c r="FC512" s="6"/>
      <c r="FD512" s="6"/>
      <c r="FE512" s="6"/>
      <c r="FF512" s="6"/>
      <c r="FG512" s="6"/>
      <c r="FH512" s="6"/>
      <c r="FI512" s="6"/>
      <c r="FJ512" s="6"/>
      <c r="FK512" s="6"/>
      <c r="FL512" s="6"/>
      <c r="FM512" s="6"/>
      <c r="FN512" s="6"/>
      <c r="FO512" s="6"/>
      <c r="FP512" s="6"/>
      <c r="FQ512" s="6"/>
      <c r="FR512" s="6"/>
      <c r="FS512" s="6"/>
      <c r="FT512" s="6"/>
      <c r="FU512" s="6"/>
      <c r="FV512" s="6"/>
      <c r="FW512" s="6"/>
      <c r="FX512" s="6"/>
      <c r="FY512" s="6"/>
      <c r="FZ512" s="6"/>
      <c r="GA512" s="6"/>
      <c r="GB512" s="6"/>
      <c r="GC512" s="6"/>
      <c r="GD512" s="6"/>
      <c r="GE512" s="6"/>
      <c r="GF512" s="6"/>
      <c r="GG512" s="6"/>
      <c r="GH512" s="6"/>
      <c r="GI512" s="6"/>
      <c r="GJ512" s="6"/>
      <c r="GK512" s="6"/>
      <c r="GL512" s="6"/>
      <c r="GM512" s="6"/>
      <c r="GN512" s="6"/>
      <c r="GO512" s="6"/>
      <c r="GP512" s="6"/>
      <c r="GQ512" s="6"/>
      <c r="GR512" s="6"/>
      <c r="GS512" s="6"/>
      <c r="GT512" s="6"/>
      <c r="GU512" s="6"/>
      <c r="GV512" s="6"/>
      <c r="GW512" s="6"/>
      <c r="GX512" s="6"/>
      <c r="GY512" s="6"/>
      <c r="GZ512" s="6"/>
      <c r="HA512" s="6"/>
      <c r="HB512" s="6"/>
      <c r="HC512" s="6"/>
      <c r="HD512" s="6"/>
      <c r="HE512" s="6"/>
      <c r="HF512" s="6"/>
      <c r="HG512" s="6"/>
      <c r="HH512" s="6"/>
      <c r="HI512" s="6"/>
      <c r="HJ512" s="6"/>
      <c r="HK512" s="6"/>
      <c r="HL512" s="6"/>
      <c r="HM512" s="6"/>
      <c r="HN512" s="6"/>
      <c r="HO512" s="6"/>
      <c r="HP512" s="6"/>
      <c r="HQ512" s="6"/>
      <c r="HR512" s="6"/>
      <c r="HS512" s="6"/>
      <c r="HT512" s="6"/>
      <c r="HU512" s="6"/>
    </row>
    <row r="513" spans="9:229"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BV513" s="6"/>
      <c r="BW513" s="6"/>
      <c r="BX513" s="6"/>
      <c r="BY513" s="6"/>
      <c r="BZ513" s="6"/>
      <c r="CA513" s="6"/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  <c r="CP513" s="6"/>
      <c r="CQ513" s="6"/>
      <c r="CR513" s="6"/>
      <c r="CS513" s="6"/>
      <c r="CT513" s="6"/>
      <c r="CU513" s="6"/>
      <c r="CV513" s="6"/>
      <c r="CW513" s="6"/>
      <c r="CX513" s="6"/>
      <c r="CY513" s="6"/>
      <c r="CZ513" s="6"/>
      <c r="DA513" s="6"/>
      <c r="DB513" s="6"/>
      <c r="DC513" s="6"/>
      <c r="DD513" s="6"/>
      <c r="DE513" s="6"/>
      <c r="DF513" s="6"/>
      <c r="DG513" s="6"/>
      <c r="DH513" s="6"/>
      <c r="DI513" s="6"/>
      <c r="DJ513" s="6"/>
      <c r="DK513" s="6"/>
      <c r="DL513" s="6"/>
      <c r="DM513" s="6"/>
      <c r="DN513" s="6"/>
      <c r="DO513" s="6"/>
      <c r="DP513" s="6"/>
      <c r="DQ513" s="6"/>
      <c r="DR513" s="6"/>
      <c r="DS513" s="6"/>
      <c r="DT513" s="6"/>
      <c r="DU513" s="6"/>
      <c r="DV513" s="6"/>
      <c r="DW513" s="6"/>
      <c r="DX513" s="6"/>
      <c r="DY513" s="6"/>
      <c r="DZ513" s="6"/>
      <c r="EA513" s="6"/>
      <c r="EB513" s="6"/>
      <c r="EC513" s="6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  <c r="ER513" s="6"/>
      <c r="ES513" s="6"/>
      <c r="ET513" s="6"/>
      <c r="EU513" s="6"/>
      <c r="EV513" s="6"/>
      <c r="EW513" s="6"/>
      <c r="EX513" s="6"/>
      <c r="EY513" s="6"/>
      <c r="EZ513" s="6"/>
      <c r="FA513" s="6"/>
      <c r="FB513" s="6"/>
      <c r="FC513" s="6"/>
      <c r="FD513" s="6"/>
      <c r="FE513" s="6"/>
      <c r="FF513" s="6"/>
      <c r="FG513" s="6"/>
      <c r="FH513" s="6"/>
      <c r="FI513" s="6"/>
      <c r="FJ513" s="6"/>
      <c r="FK513" s="6"/>
      <c r="FL513" s="6"/>
      <c r="FM513" s="6"/>
      <c r="FN513" s="6"/>
      <c r="FO513" s="6"/>
      <c r="FP513" s="6"/>
      <c r="FQ513" s="6"/>
      <c r="FR513" s="6"/>
      <c r="FS513" s="6"/>
      <c r="FT513" s="6"/>
      <c r="FU513" s="6"/>
      <c r="FV513" s="6"/>
      <c r="FW513" s="6"/>
      <c r="FX513" s="6"/>
      <c r="FY513" s="6"/>
      <c r="FZ513" s="6"/>
      <c r="GA513" s="6"/>
      <c r="GB513" s="6"/>
      <c r="GC513" s="6"/>
      <c r="GD513" s="6"/>
      <c r="GE513" s="6"/>
      <c r="GF513" s="6"/>
      <c r="GG513" s="6"/>
      <c r="GH513" s="6"/>
      <c r="GI513" s="6"/>
      <c r="GJ513" s="6"/>
      <c r="GK513" s="6"/>
      <c r="GL513" s="6"/>
      <c r="GM513" s="6"/>
      <c r="GN513" s="6"/>
      <c r="GO513" s="6"/>
      <c r="GP513" s="6"/>
      <c r="GQ513" s="6"/>
      <c r="GR513" s="6"/>
      <c r="GS513" s="6"/>
      <c r="GT513" s="6"/>
      <c r="GU513" s="6"/>
      <c r="GV513" s="6"/>
      <c r="GW513" s="6"/>
      <c r="GX513" s="6"/>
      <c r="GY513" s="6"/>
      <c r="GZ513" s="6"/>
      <c r="HA513" s="6"/>
      <c r="HB513" s="6"/>
      <c r="HC513" s="6"/>
      <c r="HD513" s="6"/>
      <c r="HE513" s="6"/>
      <c r="HF513" s="6"/>
      <c r="HG513" s="6"/>
      <c r="HH513" s="6"/>
      <c r="HI513" s="6"/>
      <c r="HJ513" s="6"/>
      <c r="HK513" s="6"/>
      <c r="HL513" s="6"/>
      <c r="HM513" s="6"/>
      <c r="HN513" s="6"/>
      <c r="HO513" s="6"/>
      <c r="HP513" s="6"/>
      <c r="HQ513" s="6"/>
      <c r="HR513" s="6"/>
      <c r="HS513" s="6"/>
      <c r="HT513" s="6"/>
      <c r="HU513" s="6"/>
    </row>
    <row r="514" spans="9:229"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BV514" s="6"/>
      <c r="BW514" s="6"/>
      <c r="BX514" s="6"/>
      <c r="BY514" s="6"/>
      <c r="BZ514" s="6"/>
      <c r="CA514" s="6"/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  <c r="CP514" s="6"/>
      <c r="CQ514" s="6"/>
      <c r="CR514" s="6"/>
      <c r="CS514" s="6"/>
      <c r="CT514" s="6"/>
      <c r="CU514" s="6"/>
      <c r="CV514" s="6"/>
      <c r="CW514" s="6"/>
      <c r="CX514" s="6"/>
      <c r="CY514" s="6"/>
      <c r="CZ514" s="6"/>
      <c r="DA514" s="6"/>
      <c r="DB514" s="6"/>
      <c r="DC514" s="6"/>
      <c r="DD514" s="6"/>
      <c r="DE514" s="6"/>
      <c r="DF514" s="6"/>
      <c r="DG514" s="6"/>
      <c r="DH514" s="6"/>
      <c r="DI514" s="6"/>
      <c r="DJ514" s="6"/>
      <c r="DK514" s="6"/>
      <c r="DL514" s="6"/>
      <c r="DM514" s="6"/>
      <c r="DN514" s="6"/>
      <c r="DO514" s="6"/>
      <c r="DP514" s="6"/>
      <c r="DQ514" s="6"/>
      <c r="DR514" s="6"/>
      <c r="DS514" s="6"/>
      <c r="DT514" s="6"/>
      <c r="DU514" s="6"/>
      <c r="DV514" s="6"/>
      <c r="DW514" s="6"/>
      <c r="DX514" s="6"/>
      <c r="DY514" s="6"/>
      <c r="DZ514" s="6"/>
      <c r="EA514" s="6"/>
      <c r="EB514" s="6"/>
      <c r="EC514" s="6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  <c r="ER514" s="6"/>
      <c r="ES514" s="6"/>
      <c r="ET514" s="6"/>
      <c r="EU514" s="6"/>
      <c r="EV514" s="6"/>
      <c r="EW514" s="6"/>
      <c r="EX514" s="6"/>
      <c r="EY514" s="6"/>
      <c r="EZ514" s="6"/>
      <c r="FA514" s="6"/>
      <c r="FB514" s="6"/>
      <c r="FC514" s="6"/>
      <c r="FD514" s="6"/>
      <c r="FE514" s="6"/>
      <c r="FF514" s="6"/>
      <c r="FG514" s="6"/>
      <c r="FH514" s="6"/>
      <c r="FI514" s="6"/>
      <c r="FJ514" s="6"/>
      <c r="FK514" s="6"/>
      <c r="FL514" s="6"/>
      <c r="FM514" s="6"/>
      <c r="FN514" s="6"/>
      <c r="FO514" s="6"/>
      <c r="FP514" s="6"/>
      <c r="FQ514" s="6"/>
      <c r="FR514" s="6"/>
      <c r="FS514" s="6"/>
      <c r="FT514" s="6"/>
      <c r="FU514" s="6"/>
      <c r="FV514" s="6"/>
      <c r="FW514" s="6"/>
      <c r="FX514" s="6"/>
      <c r="FY514" s="6"/>
      <c r="FZ514" s="6"/>
      <c r="GA514" s="6"/>
      <c r="GB514" s="6"/>
      <c r="GC514" s="6"/>
      <c r="GD514" s="6"/>
      <c r="GE514" s="6"/>
      <c r="GF514" s="6"/>
      <c r="GG514" s="6"/>
      <c r="GH514" s="6"/>
      <c r="GI514" s="6"/>
      <c r="GJ514" s="6"/>
      <c r="GK514" s="6"/>
      <c r="GL514" s="6"/>
      <c r="GM514" s="6"/>
      <c r="GN514" s="6"/>
      <c r="GO514" s="6"/>
      <c r="GP514" s="6"/>
      <c r="GQ514" s="6"/>
      <c r="GR514" s="6"/>
      <c r="GS514" s="6"/>
      <c r="GT514" s="6"/>
      <c r="GU514" s="6"/>
      <c r="GV514" s="6"/>
      <c r="GW514" s="6"/>
      <c r="GX514" s="6"/>
      <c r="GY514" s="6"/>
      <c r="GZ514" s="6"/>
      <c r="HA514" s="6"/>
      <c r="HB514" s="6"/>
      <c r="HC514" s="6"/>
      <c r="HD514" s="6"/>
      <c r="HE514" s="6"/>
      <c r="HF514" s="6"/>
      <c r="HG514" s="6"/>
      <c r="HH514" s="6"/>
      <c r="HI514" s="6"/>
      <c r="HJ514" s="6"/>
      <c r="HK514" s="6"/>
      <c r="HL514" s="6"/>
      <c r="HM514" s="6"/>
      <c r="HN514" s="6"/>
      <c r="HO514" s="6"/>
      <c r="HP514" s="6"/>
      <c r="HQ514" s="6"/>
      <c r="HR514" s="6"/>
      <c r="HS514" s="6"/>
      <c r="HT514" s="6"/>
      <c r="HU514" s="6"/>
    </row>
    <row r="515" spans="9:229"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BV515" s="6"/>
      <c r="BW515" s="6"/>
      <c r="BX515" s="6"/>
      <c r="BY515" s="6"/>
      <c r="BZ515" s="6"/>
      <c r="CA515" s="6"/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  <c r="CP515" s="6"/>
      <c r="CQ515" s="6"/>
      <c r="CR515" s="6"/>
      <c r="CS515" s="6"/>
      <c r="CT515" s="6"/>
      <c r="CU515" s="6"/>
      <c r="CV515" s="6"/>
      <c r="CW515" s="6"/>
      <c r="CX515" s="6"/>
      <c r="CY515" s="6"/>
      <c r="CZ515" s="6"/>
      <c r="DA515" s="6"/>
      <c r="DB515" s="6"/>
      <c r="DC515" s="6"/>
      <c r="DD515" s="6"/>
      <c r="DE515" s="6"/>
      <c r="DF515" s="6"/>
      <c r="DG515" s="6"/>
      <c r="DH515" s="6"/>
      <c r="DI515" s="6"/>
      <c r="DJ515" s="6"/>
      <c r="DK515" s="6"/>
      <c r="DL515" s="6"/>
      <c r="DM515" s="6"/>
      <c r="DN515" s="6"/>
      <c r="DO515" s="6"/>
      <c r="DP515" s="6"/>
      <c r="DQ515" s="6"/>
      <c r="DR515" s="6"/>
      <c r="DS515" s="6"/>
      <c r="DT515" s="6"/>
      <c r="DU515" s="6"/>
      <c r="DV515" s="6"/>
      <c r="DW515" s="6"/>
      <c r="DX515" s="6"/>
      <c r="DY515" s="6"/>
      <c r="DZ515" s="6"/>
      <c r="EA515" s="6"/>
      <c r="EB515" s="6"/>
      <c r="EC515" s="6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  <c r="ER515" s="6"/>
      <c r="ES515" s="6"/>
      <c r="ET515" s="6"/>
      <c r="EU515" s="6"/>
      <c r="EV515" s="6"/>
      <c r="EW515" s="6"/>
      <c r="EX515" s="6"/>
      <c r="EY515" s="6"/>
      <c r="EZ515" s="6"/>
      <c r="FA515" s="6"/>
      <c r="FB515" s="6"/>
      <c r="FC515" s="6"/>
      <c r="FD515" s="6"/>
      <c r="FE515" s="6"/>
      <c r="FF515" s="6"/>
      <c r="FG515" s="6"/>
      <c r="FH515" s="6"/>
      <c r="FI515" s="6"/>
      <c r="FJ515" s="6"/>
      <c r="FK515" s="6"/>
      <c r="FL515" s="6"/>
      <c r="FM515" s="6"/>
      <c r="FN515" s="6"/>
      <c r="FO515" s="6"/>
      <c r="FP515" s="6"/>
      <c r="FQ515" s="6"/>
      <c r="FR515" s="6"/>
      <c r="FS515" s="6"/>
      <c r="FT515" s="6"/>
      <c r="FU515" s="6"/>
      <c r="FV515" s="6"/>
      <c r="FW515" s="6"/>
      <c r="FX515" s="6"/>
      <c r="FY515" s="6"/>
      <c r="FZ515" s="6"/>
      <c r="GA515" s="6"/>
      <c r="GB515" s="6"/>
      <c r="GC515" s="6"/>
      <c r="GD515" s="6"/>
      <c r="GE515" s="6"/>
      <c r="GF515" s="6"/>
      <c r="GG515" s="6"/>
      <c r="GH515" s="6"/>
      <c r="GI515" s="6"/>
      <c r="GJ515" s="6"/>
      <c r="GK515" s="6"/>
      <c r="GL515" s="6"/>
      <c r="GM515" s="6"/>
      <c r="GN515" s="6"/>
      <c r="GO515" s="6"/>
      <c r="GP515" s="6"/>
      <c r="GQ515" s="6"/>
      <c r="GR515" s="6"/>
      <c r="GS515" s="6"/>
      <c r="GT515" s="6"/>
      <c r="GU515" s="6"/>
      <c r="GV515" s="6"/>
      <c r="GW515" s="6"/>
      <c r="GX515" s="6"/>
      <c r="GY515" s="6"/>
      <c r="GZ515" s="6"/>
      <c r="HA515" s="6"/>
      <c r="HB515" s="6"/>
      <c r="HC515" s="6"/>
      <c r="HD515" s="6"/>
      <c r="HE515" s="6"/>
      <c r="HF515" s="6"/>
      <c r="HG515" s="6"/>
      <c r="HH515" s="6"/>
      <c r="HI515" s="6"/>
      <c r="HJ515" s="6"/>
      <c r="HK515" s="6"/>
      <c r="HL515" s="6"/>
      <c r="HM515" s="6"/>
      <c r="HN515" s="6"/>
      <c r="HO515" s="6"/>
      <c r="HP515" s="6"/>
      <c r="HQ515" s="6"/>
      <c r="HR515" s="6"/>
      <c r="HS515" s="6"/>
      <c r="HT515" s="6"/>
      <c r="HU515" s="6"/>
    </row>
    <row r="516" spans="9:229"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BV516" s="6"/>
      <c r="BW516" s="6"/>
      <c r="BX516" s="6"/>
      <c r="BY516" s="6"/>
      <c r="BZ516" s="6"/>
      <c r="CA516" s="6"/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  <c r="CP516" s="6"/>
      <c r="CQ516" s="6"/>
      <c r="CR516" s="6"/>
      <c r="CS516" s="6"/>
      <c r="CT516" s="6"/>
      <c r="CU516" s="6"/>
      <c r="CV516" s="6"/>
      <c r="CW516" s="6"/>
      <c r="CX516" s="6"/>
      <c r="CY516" s="6"/>
      <c r="CZ516" s="6"/>
      <c r="DA516" s="6"/>
      <c r="DB516" s="6"/>
      <c r="DC516" s="6"/>
      <c r="DD516" s="6"/>
      <c r="DE516" s="6"/>
      <c r="DF516" s="6"/>
      <c r="DG516" s="6"/>
      <c r="DH516" s="6"/>
      <c r="DI516" s="6"/>
      <c r="DJ516" s="6"/>
      <c r="DK516" s="6"/>
      <c r="DL516" s="6"/>
      <c r="DM516" s="6"/>
      <c r="DN516" s="6"/>
      <c r="DO516" s="6"/>
      <c r="DP516" s="6"/>
      <c r="DQ516" s="6"/>
      <c r="DR516" s="6"/>
      <c r="DS516" s="6"/>
      <c r="DT516" s="6"/>
      <c r="DU516" s="6"/>
      <c r="DV516" s="6"/>
      <c r="DW516" s="6"/>
      <c r="DX516" s="6"/>
      <c r="DY516" s="6"/>
      <c r="DZ516" s="6"/>
      <c r="EA516" s="6"/>
      <c r="EB516" s="6"/>
      <c r="EC516" s="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  <c r="ER516" s="6"/>
      <c r="ES516" s="6"/>
      <c r="ET516" s="6"/>
      <c r="EU516" s="6"/>
      <c r="EV516" s="6"/>
      <c r="EW516" s="6"/>
      <c r="EX516" s="6"/>
      <c r="EY516" s="6"/>
      <c r="EZ516" s="6"/>
      <c r="FA516" s="6"/>
      <c r="FB516" s="6"/>
      <c r="FC516" s="6"/>
      <c r="FD516" s="6"/>
      <c r="FE516" s="6"/>
      <c r="FF516" s="6"/>
      <c r="FG516" s="6"/>
      <c r="FH516" s="6"/>
      <c r="FI516" s="6"/>
      <c r="FJ516" s="6"/>
      <c r="FK516" s="6"/>
      <c r="FL516" s="6"/>
      <c r="FM516" s="6"/>
      <c r="FN516" s="6"/>
      <c r="FO516" s="6"/>
      <c r="FP516" s="6"/>
      <c r="FQ516" s="6"/>
      <c r="FR516" s="6"/>
      <c r="FS516" s="6"/>
      <c r="FT516" s="6"/>
      <c r="FU516" s="6"/>
      <c r="FV516" s="6"/>
      <c r="FW516" s="6"/>
      <c r="FX516" s="6"/>
      <c r="FY516" s="6"/>
      <c r="FZ516" s="6"/>
      <c r="GA516" s="6"/>
      <c r="GB516" s="6"/>
      <c r="GC516" s="6"/>
      <c r="GD516" s="6"/>
      <c r="GE516" s="6"/>
      <c r="GF516" s="6"/>
      <c r="GG516" s="6"/>
      <c r="GH516" s="6"/>
      <c r="GI516" s="6"/>
      <c r="GJ516" s="6"/>
      <c r="GK516" s="6"/>
      <c r="GL516" s="6"/>
      <c r="GM516" s="6"/>
      <c r="GN516" s="6"/>
      <c r="GO516" s="6"/>
      <c r="GP516" s="6"/>
      <c r="GQ516" s="6"/>
      <c r="GR516" s="6"/>
      <c r="GS516" s="6"/>
      <c r="GT516" s="6"/>
      <c r="GU516" s="6"/>
      <c r="GV516" s="6"/>
      <c r="GW516" s="6"/>
      <c r="GX516" s="6"/>
      <c r="GY516" s="6"/>
      <c r="GZ516" s="6"/>
      <c r="HA516" s="6"/>
      <c r="HB516" s="6"/>
      <c r="HC516" s="6"/>
      <c r="HD516" s="6"/>
      <c r="HE516" s="6"/>
      <c r="HF516" s="6"/>
      <c r="HG516" s="6"/>
      <c r="HH516" s="6"/>
      <c r="HI516" s="6"/>
      <c r="HJ516" s="6"/>
      <c r="HK516" s="6"/>
      <c r="HL516" s="6"/>
      <c r="HM516" s="6"/>
      <c r="HN516" s="6"/>
      <c r="HO516" s="6"/>
      <c r="HP516" s="6"/>
      <c r="HQ516" s="6"/>
      <c r="HR516" s="6"/>
      <c r="HS516" s="6"/>
      <c r="HT516" s="6"/>
      <c r="HU516" s="6"/>
    </row>
    <row r="517" spans="9:229"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BV517" s="6"/>
      <c r="BW517" s="6"/>
      <c r="BX517" s="6"/>
      <c r="BY517" s="6"/>
      <c r="BZ517" s="6"/>
      <c r="CA517" s="6"/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  <c r="CP517" s="6"/>
      <c r="CQ517" s="6"/>
      <c r="CR517" s="6"/>
      <c r="CS517" s="6"/>
      <c r="CT517" s="6"/>
      <c r="CU517" s="6"/>
      <c r="CV517" s="6"/>
      <c r="CW517" s="6"/>
      <c r="CX517" s="6"/>
      <c r="CY517" s="6"/>
      <c r="CZ517" s="6"/>
      <c r="DA517" s="6"/>
      <c r="DB517" s="6"/>
      <c r="DC517" s="6"/>
      <c r="DD517" s="6"/>
      <c r="DE517" s="6"/>
      <c r="DF517" s="6"/>
      <c r="DG517" s="6"/>
      <c r="DH517" s="6"/>
      <c r="DI517" s="6"/>
      <c r="DJ517" s="6"/>
      <c r="DK517" s="6"/>
      <c r="DL517" s="6"/>
      <c r="DM517" s="6"/>
      <c r="DN517" s="6"/>
      <c r="DO517" s="6"/>
      <c r="DP517" s="6"/>
      <c r="DQ517" s="6"/>
      <c r="DR517" s="6"/>
      <c r="DS517" s="6"/>
      <c r="DT517" s="6"/>
      <c r="DU517" s="6"/>
      <c r="DV517" s="6"/>
      <c r="DW517" s="6"/>
      <c r="DX517" s="6"/>
      <c r="DY517" s="6"/>
      <c r="DZ517" s="6"/>
      <c r="EA517" s="6"/>
      <c r="EB517" s="6"/>
      <c r="EC517" s="6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  <c r="ER517" s="6"/>
      <c r="ES517" s="6"/>
      <c r="ET517" s="6"/>
      <c r="EU517" s="6"/>
      <c r="EV517" s="6"/>
      <c r="EW517" s="6"/>
      <c r="EX517" s="6"/>
      <c r="EY517" s="6"/>
      <c r="EZ517" s="6"/>
      <c r="FA517" s="6"/>
      <c r="FB517" s="6"/>
      <c r="FC517" s="6"/>
      <c r="FD517" s="6"/>
      <c r="FE517" s="6"/>
      <c r="FF517" s="6"/>
      <c r="FG517" s="6"/>
      <c r="FH517" s="6"/>
      <c r="FI517" s="6"/>
      <c r="FJ517" s="6"/>
      <c r="FK517" s="6"/>
      <c r="FL517" s="6"/>
      <c r="FM517" s="6"/>
      <c r="FN517" s="6"/>
      <c r="FO517" s="6"/>
      <c r="FP517" s="6"/>
      <c r="FQ517" s="6"/>
      <c r="FR517" s="6"/>
      <c r="FS517" s="6"/>
      <c r="FT517" s="6"/>
      <c r="FU517" s="6"/>
      <c r="FV517" s="6"/>
      <c r="FW517" s="6"/>
      <c r="FX517" s="6"/>
      <c r="FY517" s="6"/>
      <c r="FZ517" s="6"/>
      <c r="GA517" s="6"/>
      <c r="GB517" s="6"/>
      <c r="GC517" s="6"/>
      <c r="GD517" s="6"/>
      <c r="GE517" s="6"/>
      <c r="GF517" s="6"/>
      <c r="GG517" s="6"/>
      <c r="GH517" s="6"/>
      <c r="GI517" s="6"/>
      <c r="GJ517" s="6"/>
      <c r="GK517" s="6"/>
      <c r="GL517" s="6"/>
      <c r="GM517" s="6"/>
      <c r="GN517" s="6"/>
      <c r="GO517" s="6"/>
      <c r="GP517" s="6"/>
      <c r="GQ517" s="6"/>
      <c r="GR517" s="6"/>
      <c r="GS517" s="6"/>
      <c r="GT517" s="6"/>
      <c r="GU517" s="6"/>
      <c r="GV517" s="6"/>
      <c r="GW517" s="6"/>
      <c r="GX517" s="6"/>
      <c r="GY517" s="6"/>
      <c r="GZ517" s="6"/>
      <c r="HA517" s="6"/>
      <c r="HB517" s="6"/>
      <c r="HC517" s="6"/>
      <c r="HD517" s="6"/>
      <c r="HE517" s="6"/>
      <c r="HF517" s="6"/>
      <c r="HG517" s="6"/>
      <c r="HH517" s="6"/>
      <c r="HI517" s="6"/>
      <c r="HJ517" s="6"/>
      <c r="HK517" s="6"/>
      <c r="HL517" s="6"/>
      <c r="HM517" s="6"/>
      <c r="HN517" s="6"/>
      <c r="HO517" s="6"/>
      <c r="HP517" s="6"/>
      <c r="HQ517" s="6"/>
      <c r="HR517" s="6"/>
      <c r="HS517" s="6"/>
      <c r="HT517" s="6"/>
      <c r="HU517" s="6"/>
    </row>
    <row r="518" spans="9:229"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BV518" s="6"/>
      <c r="BW518" s="6"/>
      <c r="BX518" s="6"/>
      <c r="BY518" s="6"/>
      <c r="BZ518" s="6"/>
      <c r="CA518" s="6"/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  <c r="CP518" s="6"/>
      <c r="CQ518" s="6"/>
      <c r="CR518" s="6"/>
      <c r="CS518" s="6"/>
      <c r="CT518" s="6"/>
      <c r="CU518" s="6"/>
      <c r="CV518" s="6"/>
      <c r="CW518" s="6"/>
      <c r="CX518" s="6"/>
      <c r="CY518" s="6"/>
      <c r="CZ518" s="6"/>
      <c r="DA518" s="6"/>
      <c r="DB518" s="6"/>
      <c r="DC518" s="6"/>
      <c r="DD518" s="6"/>
      <c r="DE518" s="6"/>
      <c r="DF518" s="6"/>
      <c r="DG518" s="6"/>
      <c r="DH518" s="6"/>
      <c r="DI518" s="6"/>
      <c r="DJ518" s="6"/>
      <c r="DK518" s="6"/>
      <c r="DL518" s="6"/>
      <c r="DM518" s="6"/>
      <c r="DN518" s="6"/>
      <c r="DO518" s="6"/>
      <c r="DP518" s="6"/>
      <c r="DQ518" s="6"/>
      <c r="DR518" s="6"/>
      <c r="DS518" s="6"/>
      <c r="DT518" s="6"/>
      <c r="DU518" s="6"/>
      <c r="DV518" s="6"/>
      <c r="DW518" s="6"/>
      <c r="DX518" s="6"/>
      <c r="DY518" s="6"/>
      <c r="DZ518" s="6"/>
      <c r="EA518" s="6"/>
      <c r="EB518" s="6"/>
      <c r="EC518" s="6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  <c r="ER518" s="6"/>
      <c r="ES518" s="6"/>
      <c r="ET518" s="6"/>
      <c r="EU518" s="6"/>
      <c r="EV518" s="6"/>
      <c r="EW518" s="6"/>
      <c r="EX518" s="6"/>
      <c r="EY518" s="6"/>
      <c r="EZ518" s="6"/>
      <c r="FA518" s="6"/>
      <c r="FB518" s="6"/>
      <c r="FC518" s="6"/>
      <c r="FD518" s="6"/>
      <c r="FE518" s="6"/>
      <c r="FF518" s="6"/>
      <c r="FG518" s="6"/>
      <c r="FH518" s="6"/>
      <c r="FI518" s="6"/>
      <c r="FJ518" s="6"/>
      <c r="FK518" s="6"/>
      <c r="FL518" s="6"/>
      <c r="FM518" s="6"/>
      <c r="FN518" s="6"/>
      <c r="FO518" s="6"/>
      <c r="FP518" s="6"/>
      <c r="FQ518" s="6"/>
      <c r="FR518" s="6"/>
      <c r="FS518" s="6"/>
      <c r="FT518" s="6"/>
      <c r="FU518" s="6"/>
      <c r="FV518" s="6"/>
      <c r="FW518" s="6"/>
      <c r="FX518" s="6"/>
      <c r="FY518" s="6"/>
      <c r="FZ518" s="6"/>
      <c r="GA518" s="6"/>
      <c r="GB518" s="6"/>
      <c r="GC518" s="6"/>
      <c r="GD518" s="6"/>
      <c r="GE518" s="6"/>
      <c r="GF518" s="6"/>
      <c r="GG518" s="6"/>
      <c r="GH518" s="6"/>
      <c r="GI518" s="6"/>
      <c r="GJ518" s="6"/>
      <c r="GK518" s="6"/>
      <c r="GL518" s="6"/>
      <c r="GM518" s="6"/>
      <c r="GN518" s="6"/>
      <c r="GO518" s="6"/>
      <c r="GP518" s="6"/>
      <c r="GQ518" s="6"/>
      <c r="GR518" s="6"/>
      <c r="GS518" s="6"/>
      <c r="GT518" s="6"/>
      <c r="GU518" s="6"/>
      <c r="GV518" s="6"/>
      <c r="GW518" s="6"/>
      <c r="GX518" s="6"/>
      <c r="GY518" s="6"/>
      <c r="GZ518" s="6"/>
      <c r="HA518" s="6"/>
      <c r="HB518" s="6"/>
      <c r="HC518" s="6"/>
      <c r="HD518" s="6"/>
      <c r="HE518" s="6"/>
      <c r="HF518" s="6"/>
      <c r="HG518" s="6"/>
      <c r="HH518" s="6"/>
      <c r="HI518" s="6"/>
      <c r="HJ518" s="6"/>
      <c r="HK518" s="6"/>
      <c r="HL518" s="6"/>
      <c r="HM518" s="6"/>
      <c r="HN518" s="6"/>
      <c r="HO518" s="6"/>
      <c r="HP518" s="6"/>
      <c r="HQ518" s="6"/>
      <c r="HR518" s="6"/>
      <c r="HS518" s="6"/>
      <c r="HT518" s="6"/>
      <c r="HU518" s="6"/>
    </row>
    <row r="519" spans="9:229"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BV519" s="6"/>
      <c r="BW519" s="6"/>
      <c r="BX519" s="6"/>
      <c r="BY519" s="6"/>
      <c r="BZ519" s="6"/>
      <c r="CA519" s="6"/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  <c r="CP519" s="6"/>
      <c r="CQ519" s="6"/>
      <c r="CR519" s="6"/>
      <c r="CS519" s="6"/>
      <c r="CT519" s="6"/>
      <c r="CU519" s="6"/>
      <c r="CV519" s="6"/>
      <c r="CW519" s="6"/>
      <c r="CX519" s="6"/>
      <c r="CY519" s="6"/>
      <c r="CZ519" s="6"/>
      <c r="DA519" s="6"/>
      <c r="DB519" s="6"/>
      <c r="DC519" s="6"/>
      <c r="DD519" s="6"/>
      <c r="DE519" s="6"/>
      <c r="DF519" s="6"/>
      <c r="DG519" s="6"/>
      <c r="DH519" s="6"/>
      <c r="DI519" s="6"/>
      <c r="DJ519" s="6"/>
      <c r="DK519" s="6"/>
      <c r="DL519" s="6"/>
      <c r="DM519" s="6"/>
      <c r="DN519" s="6"/>
      <c r="DO519" s="6"/>
      <c r="DP519" s="6"/>
      <c r="DQ519" s="6"/>
      <c r="DR519" s="6"/>
      <c r="DS519" s="6"/>
      <c r="DT519" s="6"/>
      <c r="DU519" s="6"/>
      <c r="DV519" s="6"/>
      <c r="DW519" s="6"/>
      <c r="DX519" s="6"/>
      <c r="DY519" s="6"/>
      <c r="DZ519" s="6"/>
      <c r="EA519" s="6"/>
      <c r="EB519" s="6"/>
      <c r="EC519" s="6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  <c r="ER519" s="6"/>
      <c r="ES519" s="6"/>
      <c r="ET519" s="6"/>
      <c r="EU519" s="6"/>
      <c r="EV519" s="6"/>
      <c r="EW519" s="6"/>
      <c r="EX519" s="6"/>
      <c r="EY519" s="6"/>
      <c r="EZ519" s="6"/>
      <c r="FA519" s="6"/>
      <c r="FB519" s="6"/>
      <c r="FC519" s="6"/>
      <c r="FD519" s="6"/>
      <c r="FE519" s="6"/>
      <c r="FF519" s="6"/>
      <c r="FG519" s="6"/>
      <c r="FH519" s="6"/>
      <c r="FI519" s="6"/>
      <c r="FJ519" s="6"/>
      <c r="FK519" s="6"/>
      <c r="FL519" s="6"/>
      <c r="FM519" s="6"/>
      <c r="FN519" s="6"/>
      <c r="FO519" s="6"/>
      <c r="FP519" s="6"/>
      <c r="FQ519" s="6"/>
      <c r="FR519" s="6"/>
      <c r="FS519" s="6"/>
      <c r="FT519" s="6"/>
      <c r="FU519" s="6"/>
      <c r="FV519" s="6"/>
      <c r="FW519" s="6"/>
      <c r="FX519" s="6"/>
      <c r="FY519" s="6"/>
      <c r="FZ519" s="6"/>
      <c r="GA519" s="6"/>
      <c r="GB519" s="6"/>
      <c r="GC519" s="6"/>
      <c r="GD519" s="6"/>
      <c r="GE519" s="6"/>
      <c r="GF519" s="6"/>
      <c r="GG519" s="6"/>
      <c r="GH519" s="6"/>
      <c r="GI519" s="6"/>
      <c r="GJ519" s="6"/>
      <c r="GK519" s="6"/>
      <c r="GL519" s="6"/>
      <c r="GM519" s="6"/>
      <c r="GN519" s="6"/>
      <c r="GO519" s="6"/>
      <c r="GP519" s="6"/>
      <c r="GQ519" s="6"/>
      <c r="GR519" s="6"/>
      <c r="GS519" s="6"/>
      <c r="GT519" s="6"/>
      <c r="GU519" s="6"/>
      <c r="GV519" s="6"/>
      <c r="GW519" s="6"/>
      <c r="GX519" s="6"/>
      <c r="GY519" s="6"/>
      <c r="GZ519" s="6"/>
      <c r="HA519" s="6"/>
      <c r="HB519" s="6"/>
      <c r="HC519" s="6"/>
      <c r="HD519" s="6"/>
      <c r="HE519" s="6"/>
      <c r="HF519" s="6"/>
      <c r="HG519" s="6"/>
      <c r="HH519" s="6"/>
      <c r="HI519" s="6"/>
      <c r="HJ519" s="6"/>
      <c r="HK519" s="6"/>
      <c r="HL519" s="6"/>
      <c r="HM519" s="6"/>
      <c r="HN519" s="6"/>
      <c r="HO519" s="6"/>
      <c r="HP519" s="6"/>
      <c r="HQ519" s="6"/>
      <c r="HR519" s="6"/>
      <c r="HS519" s="6"/>
      <c r="HT519" s="6"/>
      <c r="HU519" s="6"/>
    </row>
    <row r="520" spans="9:229"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BV520" s="6"/>
      <c r="BW520" s="6"/>
      <c r="BX520" s="6"/>
      <c r="BY520" s="6"/>
      <c r="BZ520" s="6"/>
      <c r="CA520" s="6"/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  <c r="CP520" s="6"/>
      <c r="CQ520" s="6"/>
      <c r="CR520" s="6"/>
      <c r="CS520" s="6"/>
      <c r="CT520" s="6"/>
      <c r="CU520" s="6"/>
      <c r="CV520" s="6"/>
      <c r="CW520" s="6"/>
      <c r="CX520" s="6"/>
      <c r="CY520" s="6"/>
      <c r="CZ520" s="6"/>
      <c r="DA520" s="6"/>
      <c r="DB520" s="6"/>
      <c r="DC520" s="6"/>
      <c r="DD520" s="6"/>
      <c r="DE520" s="6"/>
      <c r="DF520" s="6"/>
      <c r="DG520" s="6"/>
      <c r="DH520" s="6"/>
      <c r="DI520" s="6"/>
      <c r="DJ520" s="6"/>
      <c r="DK520" s="6"/>
      <c r="DL520" s="6"/>
      <c r="DM520" s="6"/>
      <c r="DN520" s="6"/>
      <c r="DO520" s="6"/>
      <c r="DP520" s="6"/>
      <c r="DQ520" s="6"/>
      <c r="DR520" s="6"/>
      <c r="DS520" s="6"/>
      <c r="DT520" s="6"/>
      <c r="DU520" s="6"/>
      <c r="DV520" s="6"/>
      <c r="DW520" s="6"/>
      <c r="DX520" s="6"/>
      <c r="DY520" s="6"/>
      <c r="DZ520" s="6"/>
      <c r="EA520" s="6"/>
      <c r="EB520" s="6"/>
      <c r="EC520" s="6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  <c r="ER520" s="6"/>
      <c r="ES520" s="6"/>
      <c r="ET520" s="6"/>
      <c r="EU520" s="6"/>
      <c r="EV520" s="6"/>
      <c r="EW520" s="6"/>
      <c r="EX520" s="6"/>
      <c r="EY520" s="6"/>
      <c r="EZ520" s="6"/>
      <c r="FA520" s="6"/>
      <c r="FB520" s="6"/>
      <c r="FC520" s="6"/>
      <c r="FD520" s="6"/>
      <c r="FE520" s="6"/>
      <c r="FF520" s="6"/>
      <c r="FG520" s="6"/>
      <c r="FH520" s="6"/>
      <c r="FI520" s="6"/>
      <c r="FJ520" s="6"/>
      <c r="FK520" s="6"/>
      <c r="FL520" s="6"/>
      <c r="FM520" s="6"/>
      <c r="FN520" s="6"/>
      <c r="FO520" s="6"/>
      <c r="FP520" s="6"/>
      <c r="FQ520" s="6"/>
      <c r="FR520" s="6"/>
      <c r="FS520" s="6"/>
      <c r="FT520" s="6"/>
      <c r="FU520" s="6"/>
      <c r="FV520" s="6"/>
      <c r="FW520" s="6"/>
      <c r="FX520" s="6"/>
      <c r="FY520" s="6"/>
      <c r="FZ520" s="6"/>
      <c r="GA520" s="6"/>
      <c r="GB520" s="6"/>
      <c r="GC520" s="6"/>
      <c r="GD520" s="6"/>
      <c r="GE520" s="6"/>
      <c r="GF520" s="6"/>
      <c r="GG520" s="6"/>
      <c r="GH520" s="6"/>
      <c r="GI520" s="6"/>
      <c r="GJ520" s="6"/>
      <c r="GK520" s="6"/>
      <c r="GL520" s="6"/>
      <c r="GM520" s="6"/>
      <c r="GN520" s="6"/>
      <c r="GO520" s="6"/>
      <c r="GP520" s="6"/>
      <c r="GQ520" s="6"/>
      <c r="GR520" s="6"/>
      <c r="GS520" s="6"/>
      <c r="GT520" s="6"/>
      <c r="GU520" s="6"/>
      <c r="GV520" s="6"/>
      <c r="GW520" s="6"/>
      <c r="GX520" s="6"/>
      <c r="GY520" s="6"/>
      <c r="GZ520" s="6"/>
      <c r="HA520" s="6"/>
      <c r="HB520" s="6"/>
      <c r="HC520" s="6"/>
      <c r="HD520" s="6"/>
      <c r="HE520" s="6"/>
      <c r="HF520" s="6"/>
      <c r="HG520" s="6"/>
      <c r="HH520" s="6"/>
      <c r="HI520" s="6"/>
      <c r="HJ520" s="6"/>
      <c r="HK520" s="6"/>
      <c r="HL520" s="6"/>
      <c r="HM520" s="6"/>
      <c r="HN520" s="6"/>
      <c r="HO520" s="6"/>
      <c r="HP520" s="6"/>
      <c r="HQ520" s="6"/>
      <c r="HR520" s="6"/>
      <c r="HS520" s="6"/>
      <c r="HT520" s="6"/>
      <c r="HU520" s="6"/>
    </row>
    <row r="521" spans="9:229"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BV521" s="6"/>
      <c r="BW521" s="6"/>
      <c r="BX521" s="6"/>
      <c r="BY521" s="6"/>
      <c r="BZ521" s="6"/>
      <c r="CA521" s="6"/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  <c r="CP521" s="6"/>
      <c r="CQ521" s="6"/>
      <c r="CR521" s="6"/>
      <c r="CS521" s="6"/>
      <c r="CT521" s="6"/>
      <c r="CU521" s="6"/>
      <c r="CV521" s="6"/>
      <c r="CW521" s="6"/>
      <c r="CX521" s="6"/>
      <c r="CY521" s="6"/>
      <c r="CZ521" s="6"/>
      <c r="DA521" s="6"/>
      <c r="DB521" s="6"/>
      <c r="DC521" s="6"/>
      <c r="DD521" s="6"/>
      <c r="DE521" s="6"/>
      <c r="DF521" s="6"/>
      <c r="DG521" s="6"/>
      <c r="DH521" s="6"/>
      <c r="DI521" s="6"/>
      <c r="DJ521" s="6"/>
      <c r="DK521" s="6"/>
      <c r="DL521" s="6"/>
      <c r="DM521" s="6"/>
      <c r="DN521" s="6"/>
      <c r="DO521" s="6"/>
      <c r="DP521" s="6"/>
      <c r="DQ521" s="6"/>
      <c r="DR521" s="6"/>
      <c r="DS521" s="6"/>
      <c r="DT521" s="6"/>
      <c r="DU521" s="6"/>
      <c r="DV521" s="6"/>
      <c r="DW521" s="6"/>
      <c r="DX521" s="6"/>
      <c r="DY521" s="6"/>
      <c r="DZ521" s="6"/>
      <c r="EA521" s="6"/>
      <c r="EB521" s="6"/>
      <c r="EC521" s="6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  <c r="ER521" s="6"/>
      <c r="ES521" s="6"/>
      <c r="ET521" s="6"/>
      <c r="EU521" s="6"/>
      <c r="EV521" s="6"/>
      <c r="EW521" s="6"/>
      <c r="EX521" s="6"/>
      <c r="EY521" s="6"/>
      <c r="EZ521" s="6"/>
      <c r="FA521" s="6"/>
      <c r="FB521" s="6"/>
      <c r="FC521" s="6"/>
      <c r="FD521" s="6"/>
      <c r="FE521" s="6"/>
      <c r="FF521" s="6"/>
      <c r="FG521" s="6"/>
      <c r="FH521" s="6"/>
      <c r="FI521" s="6"/>
      <c r="FJ521" s="6"/>
      <c r="FK521" s="6"/>
      <c r="FL521" s="6"/>
      <c r="FM521" s="6"/>
      <c r="FN521" s="6"/>
      <c r="FO521" s="6"/>
      <c r="FP521" s="6"/>
      <c r="FQ521" s="6"/>
      <c r="FR521" s="6"/>
      <c r="FS521" s="6"/>
      <c r="FT521" s="6"/>
      <c r="FU521" s="6"/>
      <c r="FV521" s="6"/>
      <c r="FW521" s="6"/>
      <c r="FX521" s="6"/>
      <c r="FY521" s="6"/>
      <c r="FZ521" s="6"/>
      <c r="GA521" s="6"/>
      <c r="GB521" s="6"/>
      <c r="GC521" s="6"/>
      <c r="GD521" s="6"/>
      <c r="GE521" s="6"/>
      <c r="GF521" s="6"/>
      <c r="GG521" s="6"/>
      <c r="GH521" s="6"/>
      <c r="GI521" s="6"/>
      <c r="GJ521" s="6"/>
      <c r="GK521" s="6"/>
      <c r="GL521" s="6"/>
      <c r="GM521" s="6"/>
      <c r="GN521" s="6"/>
      <c r="GO521" s="6"/>
      <c r="GP521" s="6"/>
      <c r="GQ521" s="6"/>
      <c r="GR521" s="6"/>
      <c r="GS521" s="6"/>
      <c r="GT521" s="6"/>
      <c r="GU521" s="6"/>
      <c r="GV521" s="6"/>
      <c r="GW521" s="6"/>
      <c r="GX521" s="6"/>
      <c r="GY521" s="6"/>
      <c r="GZ521" s="6"/>
      <c r="HA521" s="6"/>
      <c r="HB521" s="6"/>
      <c r="HC521" s="6"/>
      <c r="HD521" s="6"/>
      <c r="HE521" s="6"/>
      <c r="HF521" s="6"/>
      <c r="HG521" s="6"/>
      <c r="HH521" s="6"/>
      <c r="HI521" s="6"/>
      <c r="HJ521" s="6"/>
      <c r="HK521" s="6"/>
      <c r="HL521" s="6"/>
      <c r="HM521" s="6"/>
      <c r="HN521" s="6"/>
      <c r="HO521" s="6"/>
      <c r="HP521" s="6"/>
      <c r="HQ521" s="6"/>
      <c r="HR521" s="6"/>
      <c r="HS521" s="6"/>
      <c r="HT521" s="6"/>
      <c r="HU521" s="6"/>
    </row>
    <row r="522" spans="9:229"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BV522" s="6"/>
      <c r="BW522" s="6"/>
      <c r="BX522" s="6"/>
      <c r="BY522" s="6"/>
      <c r="BZ522" s="6"/>
      <c r="CA522" s="6"/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  <c r="CP522" s="6"/>
      <c r="CQ522" s="6"/>
      <c r="CR522" s="6"/>
      <c r="CS522" s="6"/>
      <c r="CT522" s="6"/>
      <c r="CU522" s="6"/>
      <c r="CV522" s="6"/>
      <c r="CW522" s="6"/>
      <c r="CX522" s="6"/>
      <c r="CY522" s="6"/>
      <c r="CZ522" s="6"/>
      <c r="DA522" s="6"/>
      <c r="DB522" s="6"/>
      <c r="DC522" s="6"/>
      <c r="DD522" s="6"/>
      <c r="DE522" s="6"/>
      <c r="DF522" s="6"/>
      <c r="DG522" s="6"/>
      <c r="DH522" s="6"/>
      <c r="DI522" s="6"/>
      <c r="DJ522" s="6"/>
      <c r="DK522" s="6"/>
      <c r="DL522" s="6"/>
      <c r="DM522" s="6"/>
      <c r="DN522" s="6"/>
      <c r="DO522" s="6"/>
      <c r="DP522" s="6"/>
      <c r="DQ522" s="6"/>
      <c r="DR522" s="6"/>
      <c r="DS522" s="6"/>
      <c r="DT522" s="6"/>
      <c r="DU522" s="6"/>
      <c r="DV522" s="6"/>
      <c r="DW522" s="6"/>
      <c r="DX522" s="6"/>
      <c r="DY522" s="6"/>
      <c r="DZ522" s="6"/>
      <c r="EA522" s="6"/>
      <c r="EB522" s="6"/>
      <c r="EC522" s="6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  <c r="ER522" s="6"/>
      <c r="ES522" s="6"/>
      <c r="ET522" s="6"/>
      <c r="EU522" s="6"/>
      <c r="EV522" s="6"/>
      <c r="EW522" s="6"/>
      <c r="EX522" s="6"/>
      <c r="EY522" s="6"/>
      <c r="EZ522" s="6"/>
      <c r="FA522" s="6"/>
      <c r="FB522" s="6"/>
      <c r="FC522" s="6"/>
      <c r="FD522" s="6"/>
      <c r="FE522" s="6"/>
      <c r="FF522" s="6"/>
      <c r="FG522" s="6"/>
      <c r="FH522" s="6"/>
      <c r="FI522" s="6"/>
      <c r="FJ522" s="6"/>
      <c r="FK522" s="6"/>
      <c r="FL522" s="6"/>
      <c r="FM522" s="6"/>
      <c r="FN522" s="6"/>
      <c r="FO522" s="6"/>
      <c r="FP522" s="6"/>
      <c r="FQ522" s="6"/>
      <c r="FR522" s="6"/>
      <c r="FS522" s="6"/>
      <c r="FT522" s="6"/>
      <c r="FU522" s="6"/>
      <c r="FV522" s="6"/>
      <c r="FW522" s="6"/>
      <c r="FX522" s="6"/>
      <c r="FY522" s="6"/>
      <c r="FZ522" s="6"/>
      <c r="GA522" s="6"/>
      <c r="GB522" s="6"/>
      <c r="GC522" s="6"/>
      <c r="GD522" s="6"/>
      <c r="GE522" s="6"/>
      <c r="GF522" s="6"/>
      <c r="GG522" s="6"/>
      <c r="GH522" s="6"/>
      <c r="GI522" s="6"/>
      <c r="GJ522" s="6"/>
      <c r="GK522" s="6"/>
      <c r="GL522" s="6"/>
      <c r="GM522" s="6"/>
      <c r="GN522" s="6"/>
      <c r="GO522" s="6"/>
      <c r="GP522" s="6"/>
      <c r="GQ522" s="6"/>
      <c r="GR522" s="6"/>
      <c r="GS522" s="6"/>
      <c r="GT522" s="6"/>
      <c r="GU522" s="6"/>
      <c r="GV522" s="6"/>
      <c r="GW522" s="6"/>
      <c r="GX522" s="6"/>
      <c r="GY522" s="6"/>
      <c r="GZ522" s="6"/>
      <c r="HA522" s="6"/>
      <c r="HB522" s="6"/>
      <c r="HC522" s="6"/>
      <c r="HD522" s="6"/>
      <c r="HE522" s="6"/>
      <c r="HF522" s="6"/>
      <c r="HG522" s="6"/>
      <c r="HH522" s="6"/>
      <c r="HI522" s="6"/>
      <c r="HJ522" s="6"/>
      <c r="HK522" s="6"/>
      <c r="HL522" s="6"/>
      <c r="HM522" s="6"/>
      <c r="HN522" s="6"/>
      <c r="HO522" s="6"/>
      <c r="HP522" s="6"/>
      <c r="HQ522" s="6"/>
      <c r="HR522" s="6"/>
      <c r="HS522" s="6"/>
      <c r="HT522" s="6"/>
      <c r="HU522" s="6"/>
    </row>
    <row r="523" spans="9:229"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BV523" s="6"/>
      <c r="BW523" s="6"/>
      <c r="BX523" s="6"/>
      <c r="BY523" s="6"/>
      <c r="BZ523" s="6"/>
      <c r="CA523" s="6"/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  <c r="CP523" s="6"/>
      <c r="CQ523" s="6"/>
      <c r="CR523" s="6"/>
      <c r="CS523" s="6"/>
      <c r="CT523" s="6"/>
      <c r="CU523" s="6"/>
      <c r="CV523" s="6"/>
      <c r="CW523" s="6"/>
      <c r="CX523" s="6"/>
      <c r="CY523" s="6"/>
      <c r="CZ523" s="6"/>
      <c r="DA523" s="6"/>
      <c r="DB523" s="6"/>
      <c r="DC523" s="6"/>
      <c r="DD523" s="6"/>
      <c r="DE523" s="6"/>
      <c r="DF523" s="6"/>
      <c r="DG523" s="6"/>
      <c r="DH523" s="6"/>
      <c r="DI523" s="6"/>
      <c r="DJ523" s="6"/>
      <c r="DK523" s="6"/>
      <c r="DL523" s="6"/>
      <c r="DM523" s="6"/>
      <c r="DN523" s="6"/>
      <c r="DO523" s="6"/>
      <c r="DP523" s="6"/>
      <c r="DQ523" s="6"/>
      <c r="DR523" s="6"/>
      <c r="DS523" s="6"/>
      <c r="DT523" s="6"/>
      <c r="DU523" s="6"/>
      <c r="DV523" s="6"/>
      <c r="DW523" s="6"/>
      <c r="DX523" s="6"/>
      <c r="DY523" s="6"/>
      <c r="DZ523" s="6"/>
      <c r="EA523" s="6"/>
      <c r="EB523" s="6"/>
      <c r="EC523" s="6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  <c r="ER523" s="6"/>
      <c r="ES523" s="6"/>
      <c r="ET523" s="6"/>
      <c r="EU523" s="6"/>
      <c r="EV523" s="6"/>
      <c r="EW523" s="6"/>
      <c r="EX523" s="6"/>
      <c r="EY523" s="6"/>
      <c r="EZ523" s="6"/>
      <c r="FA523" s="6"/>
      <c r="FB523" s="6"/>
      <c r="FC523" s="6"/>
      <c r="FD523" s="6"/>
      <c r="FE523" s="6"/>
      <c r="FF523" s="6"/>
      <c r="FG523" s="6"/>
      <c r="FH523" s="6"/>
      <c r="FI523" s="6"/>
      <c r="FJ523" s="6"/>
      <c r="FK523" s="6"/>
      <c r="FL523" s="6"/>
      <c r="FM523" s="6"/>
      <c r="FN523" s="6"/>
      <c r="FO523" s="6"/>
      <c r="FP523" s="6"/>
      <c r="FQ523" s="6"/>
      <c r="FR523" s="6"/>
      <c r="FS523" s="6"/>
      <c r="FT523" s="6"/>
      <c r="FU523" s="6"/>
      <c r="FV523" s="6"/>
      <c r="FW523" s="6"/>
      <c r="FX523" s="6"/>
      <c r="FY523" s="6"/>
      <c r="FZ523" s="6"/>
      <c r="GA523" s="6"/>
      <c r="GB523" s="6"/>
      <c r="GC523" s="6"/>
      <c r="GD523" s="6"/>
      <c r="GE523" s="6"/>
      <c r="GF523" s="6"/>
      <c r="GG523" s="6"/>
      <c r="GH523" s="6"/>
      <c r="GI523" s="6"/>
      <c r="GJ523" s="6"/>
      <c r="GK523" s="6"/>
      <c r="GL523" s="6"/>
      <c r="GM523" s="6"/>
      <c r="GN523" s="6"/>
      <c r="GO523" s="6"/>
      <c r="GP523" s="6"/>
      <c r="GQ523" s="6"/>
      <c r="GR523" s="6"/>
      <c r="GS523" s="6"/>
      <c r="GT523" s="6"/>
      <c r="GU523" s="6"/>
      <c r="GV523" s="6"/>
      <c r="GW523" s="6"/>
      <c r="GX523" s="6"/>
      <c r="GY523" s="6"/>
      <c r="GZ523" s="6"/>
      <c r="HA523" s="6"/>
      <c r="HB523" s="6"/>
      <c r="HC523" s="6"/>
      <c r="HD523" s="6"/>
      <c r="HE523" s="6"/>
      <c r="HF523" s="6"/>
      <c r="HG523" s="6"/>
      <c r="HH523" s="6"/>
      <c r="HI523" s="6"/>
      <c r="HJ523" s="6"/>
      <c r="HK523" s="6"/>
      <c r="HL523" s="6"/>
      <c r="HM523" s="6"/>
      <c r="HN523" s="6"/>
      <c r="HO523" s="6"/>
      <c r="HP523" s="6"/>
      <c r="HQ523" s="6"/>
      <c r="HR523" s="6"/>
      <c r="HS523" s="6"/>
      <c r="HT523" s="6"/>
      <c r="HU523" s="6"/>
    </row>
    <row r="524" spans="9:229"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  <c r="CP524" s="6"/>
      <c r="CQ524" s="6"/>
      <c r="CR524" s="6"/>
      <c r="CS524" s="6"/>
      <c r="CT524" s="6"/>
      <c r="CU524" s="6"/>
      <c r="CV524" s="6"/>
      <c r="CW524" s="6"/>
      <c r="CX524" s="6"/>
      <c r="CY524" s="6"/>
      <c r="CZ524" s="6"/>
      <c r="DA524" s="6"/>
      <c r="DB524" s="6"/>
      <c r="DC524" s="6"/>
      <c r="DD524" s="6"/>
      <c r="DE524" s="6"/>
      <c r="DF524" s="6"/>
      <c r="DG524" s="6"/>
      <c r="DH524" s="6"/>
      <c r="DI524" s="6"/>
      <c r="DJ524" s="6"/>
      <c r="DK524" s="6"/>
      <c r="DL524" s="6"/>
      <c r="DM524" s="6"/>
      <c r="DN524" s="6"/>
      <c r="DO524" s="6"/>
      <c r="DP524" s="6"/>
      <c r="DQ524" s="6"/>
      <c r="DR524" s="6"/>
      <c r="DS524" s="6"/>
      <c r="DT524" s="6"/>
      <c r="DU524" s="6"/>
      <c r="DV524" s="6"/>
      <c r="DW524" s="6"/>
      <c r="DX524" s="6"/>
      <c r="DY524" s="6"/>
      <c r="DZ524" s="6"/>
      <c r="EA524" s="6"/>
      <c r="EB524" s="6"/>
      <c r="EC524" s="6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  <c r="ER524" s="6"/>
      <c r="ES524" s="6"/>
      <c r="ET524" s="6"/>
      <c r="EU524" s="6"/>
      <c r="EV524" s="6"/>
      <c r="EW524" s="6"/>
      <c r="EX524" s="6"/>
      <c r="EY524" s="6"/>
      <c r="EZ524" s="6"/>
      <c r="FA524" s="6"/>
      <c r="FB524" s="6"/>
      <c r="FC524" s="6"/>
      <c r="FD524" s="6"/>
      <c r="FE524" s="6"/>
      <c r="FF524" s="6"/>
      <c r="FG524" s="6"/>
      <c r="FH524" s="6"/>
      <c r="FI524" s="6"/>
      <c r="FJ524" s="6"/>
      <c r="FK524" s="6"/>
      <c r="FL524" s="6"/>
      <c r="FM524" s="6"/>
      <c r="FN524" s="6"/>
      <c r="FO524" s="6"/>
      <c r="FP524" s="6"/>
      <c r="FQ524" s="6"/>
      <c r="FR524" s="6"/>
      <c r="FS524" s="6"/>
      <c r="FT524" s="6"/>
      <c r="FU524" s="6"/>
      <c r="FV524" s="6"/>
      <c r="FW524" s="6"/>
      <c r="FX524" s="6"/>
      <c r="FY524" s="6"/>
      <c r="FZ524" s="6"/>
      <c r="GA524" s="6"/>
      <c r="GB524" s="6"/>
      <c r="GC524" s="6"/>
      <c r="GD524" s="6"/>
      <c r="GE524" s="6"/>
      <c r="GF524" s="6"/>
      <c r="GG524" s="6"/>
      <c r="GH524" s="6"/>
      <c r="GI524" s="6"/>
      <c r="GJ524" s="6"/>
      <c r="GK524" s="6"/>
      <c r="GL524" s="6"/>
      <c r="GM524" s="6"/>
      <c r="GN524" s="6"/>
      <c r="GO524" s="6"/>
      <c r="GP524" s="6"/>
      <c r="GQ524" s="6"/>
      <c r="GR524" s="6"/>
      <c r="GS524" s="6"/>
      <c r="GT524" s="6"/>
      <c r="GU524" s="6"/>
      <c r="GV524" s="6"/>
      <c r="GW524" s="6"/>
      <c r="GX524" s="6"/>
      <c r="GY524" s="6"/>
      <c r="GZ524" s="6"/>
      <c r="HA524" s="6"/>
      <c r="HB524" s="6"/>
      <c r="HC524" s="6"/>
      <c r="HD524" s="6"/>
      <c r="HE524" s="6"/>
      <c r="HF524" s="6"/>
      <c r="HG524" s="6"/>
      <c r="HH524" s="6"/>
      <c r="HI524" s="6"/>
      <c r="HJ524" s="6"/>
      <c r="HK524" s="6"/>
      <c r="HL524" s="6"/>
      <c r="HM524" s="6"/>
      <c r="HN524" s="6"/>
      <c r="HO524" s="6"/>
      <c r="HP524" s="6"/>
      <c r="HQ524" s="6"/>
      <c r="HR524" s="6"/>
      <c r="HS524" s="6"/>
      <c r="HT524" s="6"/>
      <c r="HU524" s="6"/>
    </row>
    <row r="525" spans="9:229"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BV525" s="6"/>
      <c r="BW525" s="6"/>
      <c r="BX525" s="6"/>
      <c r="BY525" s="6"/>
      <c r="BZ525" s="6"/>
      <c r="CA525" s="6"/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  <c r="CP525" s="6"/>
      <c r="CQ525" s="6"/>
      <c r="CR525" s="6"/>
      <c r="CS525" s="6"/>
      <c r="CT525" s="6"/>
      <c r="CU525" s="6"/>
      <c r="CV525" s="6"/>
      <c r="CW525" s="6"/>
      <c r="CX525" s="6"/>
      <c r="CY525" s="6"/>
      <c r="CZ525" s="6"/>
      <c r="DA525" s="6"/>
      <c r="DB525" s="6"/>
      <c r="DC525" s="6"/>
      <c r="DD525" s="6"/>
      <c r="DE525" s="6"/>
      <c r="DF525" s="6"/>
      <c r="DG525" s="6"/>
      <c r="DH525" s="6"/>
      <c r="DI525" s="6"/>
      <c r="DJ525" s="6"/>
      <c r="DK525" s="6"/>
      <c r="DL525" s="6"/>
      <c r="DM525" s="6"/>
      <c r="DN525" s="6"/>
      <c r="DO525" s="6"/>
      <c r="DP525" s="6"/>
      <c r="DQ525" s="6"/>
      <c r="DR525" s="6"/>
      <c r="DS525" s="6"/>
      <c r="DT525" s="6"/>
      <c r="DU525" s="6"/>
      <c r="DV525" s="6"/>
      <c r="DW525" s="6"/>
      <c r="DX525" s="6"/>
      <c r="DY525" s="6"/>
      <c r="DZ525" s="6"/>
      <c r="EA525" s="6"/>
      <c r="EB525" s="6"/>
      <c r="EC525" s="6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  <c r="ER525" s="6"/>
      <c r="ES525" s="6"/>
      <c r="ET525" s="6"/>
      <c r="EU525" s="6"/>
      <c r="EV525" s="6"/>
      <c r="EW525" s="6"/>
      <c r="EX525" s="6"/>
      <c r="EY525" s="6"/>
      <c r="EZ525" s="6"/>
      <c r="FA525" s="6"/>
      <c r="FB525" s="6"/>
      <c r="FC525" s="6"/>
      <c r="FD525" s="6"/>
      <c r="FE525" s="6"/>
      <c r="FF525" s="6"/>
      <c r="FG525" s="6"/>
      <c r="FH525" s="6"/>
      <c r="FI525" s="6"/>
      <c r="FJ525" s="6"/>
      <c r="FK525" s="6"/>
      <c r="FL525" s="6"/>
      <c r="FM525" s="6"/>
      <c r="FN525" s="6"/>
      <c r="FO525" s="6"/>
      <c r="FP525" s="6"/>
      <c r="FQ525" s="6"/>
      <c r="FR525" s="6"/>
      <c r="FS525" s="6"/>
      <c r="FT525" s="6"/>
      <c r="FU525" s="6"/>
      <c r="FV525" s="6"/>
      <c r="FW525" s="6"/>
      <c r="FX525" s="6"/>
      <c r="FY525" s="6"/>
      <c r="FZ525" s="6"/>
      <c r="GA525" s="6"/>
      <c r="GB525" s="6"/>
      <c r="GC525" s="6"/>
      <c r="GD525" s="6"/>
      <c r="GE525" s="6"/>
      <c r="GF525" s="6"/>
      <c r="GG525" s="6"/>
      <c r="GH525" s="6"/>
      <c r="GI525" s="6"/>
      <c r="GJ525" s="6"/>
      <c r="GK525" s="6"/>
      <c r="GL525" s="6"/>
      <c r="GM525" s="6"/>
      <c r="GN525" s="6"/>
      <c r="GO525" s="6"/>
      <c r="GP525" s="6"/>
      <c r="GQ525" s="6"/>
      <c r="GR525" s="6"/>
      <c r="GS525" s="6"/>
      <c r="GT525" s="6"/>
      <c r="GU525" s="6"/>
      <c r="GV525" s="6"/>
      <c r="GW525" s="6"/>
      <c r="GX525" s="6"/>
      <c r="GY525" s="6"/>
      <c r="GZ525" s="6"/>
      <c r="HA525" s="6"/>
      <c r="HB525" s="6"/>
      <c r="HC525" s="6"/>
      <c r="HD525" s="6"/>
      <c r="HE525" s="6"/>
      <c r="HF525" s="6"/>
      <c r="HG525" s="6"/>
      <c r="HH525" s="6"/>
      <c r="HI525" s="6"/>
      <c r="HJ525" s="6"/>
      <c r="HK525" s="6"/>
      <c r="HL525" s="6"/>
      <c r="HM525" s="6"/>
      <c r="HN525" s="6"/>
      <c r="HO525" s="6"/>
      <c r="HP525" s="6"/>
      <c r="HQ525" s="6"/>
      <c r="HR525" s="6"/>
      <c r="HS525" s="6"/>
      <c r="HT525" s="6"/>
      <c r="HU525" s="6"/>
    </row>
    <row r="526" spans="9:229"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BV526" s="6"/>
      <c r="BW526" s="6"/>
      <c r="BX526" s="6"/>
      <c r="BY526" s="6"/>
      <c r="BZ526" s="6"/>
      <c r="CA526" s="6"/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  <c r="CP526" s="6"/>
      <c r="CQ526" s="6"/>
      <c r="CR526" s="6"/>
      <c r="CS526" s="6"/>
      <c r="CT526" s="6"/>
      <c r="CU526" s="6"/>
      <c r="CV526" s="6"/>
      <c r="CW526" s="6"/>
      <c r="CX526" s="6"/>
      <c r="CY526" s="6"/>
      <c r="CZ526" s="6"/>
      <c r="DA526" s="6"/>
      <c r="DB526" s="6"/>
      <c r="DC526" s="6"/>
      <c r="DD526" s="6"/>
      <c r="DE526" s="6"/>
      <c r="DF526" s="6"/>
      <c r="DG526" s="6"/>
      <c r="DH526" s="6"/>
      <c r="DI526" s="6"/>
      <c r="DJ526" s="6"/>
      <c r="DK526" s="6"/>
      <c r="DL526" s="6"/>
      <c r="DM526" s="6"/>
      <c r="DN526" s="6"/>
      <c r="DO526" s="6"/>
      <c r="DP526" s="6"/>
      <c r="DQ526" s="6"/>
      <c r="DR526" s="6"/>
      <c r="DS526" s="6"/>
      <c r="DT526" s="6"/>
      <c r="DU526" s="6"/>
      <c r="DV526" s="6"/>
      <c r="DW526" s="6"/>
      <c r="DX526" s="6"/>
      <c r="DY526" s="6"/>
      <c r="DZ526" s="6"/>
      <c r="EA526" s="6"/>
      <c r="EB526" s="6"/>
      <c r="EC526" s="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  <c r="ER526" s="6"/>
      <c r="ES526" s="6"/>
      <c r="ET526" s="6"/>
      <c r="EU526" s="6"/>
      <c r="EV526" s="6"/>
      <c r="EW526" s="6"/>
      <c r="EX526" s="6"/>
      <c r="EY526" s="6"/>
      <c r="EZ526" s="6"/>
      <c r="FA526" s="6"/>
      <c r="FB526" s="6"/>
      <c r="FC526" s="6"/>
      <c r="FD526" s="6"/>
      <c r="FE526" s="6"/>
      <c r="FF526" s="6"/>
      <c r="FG526" s="6"/>
      <c r="FH526" s="6"/>
      <c r="FI526" s="6"/>
      <c r="FJ526" s="6"/>
      <c r="FK526" s="6"/>
      <c r="FL526" s="6"/>
      <c r="FM526" s="6"/>
      <c r="FN526" s="6"/>
      <c r="FO526" s="6"/>
      <c r="FP526" s="6"/>
      <c r="FQ526" s="6"/>
      <c r="FR526" s="6"/>
      <c r="FS526" s="6"/>
      <c r="FT526" s="6"/>
      <c r="FU526" s="6"/>
      <c r="FV526" s="6"/>
      <c r="FW526" s="6"/>
      <c r="FX526" s="6"/>
      <c r="FY526" s="6"/>
      <c r="FZ526" s="6"/>
      <c r="GA526" s="6"/>
      <c r="GB526" s="6"/>
      <c r="GC526" s="6"/>
      <c r="GD526" s="6"/>
      <c r="GE526" s="6"/>
      <c r="GF526" s="6"/>
      <c r="GG526" s="6"/>
      <c r="GH526" s="6"/>
      <c r="GI526" s="6"/>
      <c r="GJ526" s="6"/>
      <c r="GK526" s="6"/>
      <c r="GL526" s="6"/>
      <c r="GM526" s="6"/>
      <c r="GN526" s="6"/>
      <c r="GO526" s="6"/>
      <c r="GP526" s="6"/>
      <c r="GQ526" s="6"/>
      <c r="GR526" s="6"/>
      <c r="GS526" s="6"/>
      <c r="GT526" s="6"/>
      <c r="GU526" s="6"/>
      <c r="GV526" s="6"/>
      <c r="GW526" s="6"/>
      <c r="GX526" s="6"/>
      <c r="GY526" s="6"/>
      <c r="GZ526" s="6"/>
      <c r="HA526" s="6"/>
      <c r="HB526" s="6"/>
      <c r="HC526" s="6"/>
      <c r="HD526" s="6"/>
      <c r="HE526" s="6"/>
      <c r="HF526" s="6"/>
      <c r="HG526" s="6"/>
      <c r="HH526" s="6"/>
      <c r="HI526" s="6"/>
      <c r="HJ526" s="6"/>
      <c r="HK526" s="6"/>
      <c r="HL526" s="6"/>
      <c r="HM526" s="6"/>
      <c r="HN526" s="6"/>
      <c r="HO526" s="6"/>
      <c r="HP526" s="6"/>
      <c r="HQ526" s="6"/>
      <c r="HR526" s="6"/>
      <c r="HS526" s="6"/>
      <c r="HT526" s="6"/>
      <c r="HU526" s="6"/>
    </row>
    <row r="527" spans="9:229"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BV527" s="6"/>
      <c r="BW527" s="6"/>
      <c r="BX527" s="6"/>
      <c r="BY527" s="6"/>
      <c r="BZ527" s="6"/>
      <c r="CA527" s="6"/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  <c r="CP527" s="6"/>
      <c r="CQ527" s="6"/>
      <c r="CR527" s="6"/>
      <c r="CS527" s="6"/>
      <c r="CT527" s="6"/>
      <c r="CU527" s="6"/>
      <c r="CV527" s="6"/>
      <c r="CW527" s="6"/>
      <c r="CX527" s="6"/>
      <c r="CY527" s="6"/>
      <c r="CZ527" s="6"/>
      <c r="DA527" s="6"/>
      <c r="DB527" s="6"/>
      <c r="DC527" s="6"/>
      <c r="DD527" s="6"/>
      <c r="DE527" s="6"/>
      <c r="DF527" s="6"/>
      <c r="DG527" s="6"/>
      <c r="DH527" s="6"/>
      <c r="DI527" s="6"/>
      <c r="DJ527" s="6"/>
      <c r="DK527" s="6"/>
      <c r="DL527" s="6"/>
      <c r="DM527" s="6"/>
      <c r="DN527" s="6"/>
      <c r="DO527" s="6"/>
      <c r="DP527" s="6"/>
      <c r="DQ527" s="6"/>
      <c r="DR527" s="6"/>
      <c r="DS527" s="6"/>
      <c r="DT527" s="6"/>
      <c r="DU527" s="6"/>
      <c r="DV527" s="6"/>
      <c r="DW527" s="6"/>
      <c r="DX527" s="6"/>
      <c r="DY527" s="6"/>
      <c r="DZ527" s="6"/>
      <c r="EA527" s="6"/>
      <c r="EB527" s="6"/>
      <c r="EC527" s="6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  <c r="ER527" s="6"/>
      <c r="ES527" s="6"/>
      <c r="ET527" s="6"/>
      <c r="EU527" s="6"/>
      <c r="EV527" s="6"/>
      <c r="EW527" s="6"/>
      <c r="EX527" s="6"/>
      <c r="EY527" s="6"/>
      <c r="EZ527" s="6"/>
      <c r="FA527" s="6"/>
      <c r="FB527" s="6"/>
      <c r="FC527" s="6"/>
      <c r="FD527" s="6"/>
      <c r="FE527" s="6"/>
      <c r="FF527" s="6"/>
      <c r="FG527" s="6"/>
      <c r="FH527" s="6"/>
      <c r="FI527" s="6"/>
      <c r="FJ527" s="6"/>
      <c r="FK527" s="6"/>
      <c r="FL527" s="6"/>
      <c r="FM527" s="6"/>
      <c r="FN527" s="6"/>
      <c r="FO527" s="6"/>
      <c r="FP527" s="6"/>
      <c r="FQ527" s="6"/>
      <c r="FR527" s="6"/>
      <c r="FS527" s="6"/>
      <c r="FT527" s="6"/>
      <c r="FU527" s="6"/>
      <c r="FV527" s="6"/>
      <c r="FW527" s="6"/>
      <c r="FX527" s="6"/>
      <c r="FY527" s="6"/>
      <c r="FZ527" s="6"/>
      <c r="GA527" s="6"/>
      <c r="GB527" s="6"/>
      <c r="GC527" s="6"/>
      <c r="GD527" s="6"/>
      <c r="GE527" s="6"/>
      <c r="GF527" s="6"/>
      <c r="GG527" s="6"/>
      <c r="GH527" s="6"/>
      <c r="GI527" s="6"/>
      <c r="GJ527" s="6"/>
      <c r="GK527" s="6"/>
      <c r="GL527" s="6"/>
      <c r="GM527" s="6"/>
      <c r="GN527" s="6"/>
      <c r="GO527" s="6"/>
      <c r="GP527" s="6"/>
      <c r="GQ527" s="6"/>
      <c r="GR527" s="6"/>
      <c r="GS527" s="6"/>
      <c r="GT527" s="6"/>
      <c r="GU527" s="6"/>
      <c r="GV527" s="6"/>
      <c r="GW527" s="6"/>
      <c r="GX527" s="6"/>
      <c r="GY527" s="6"/>
      <c r="GZ527" s="6"/>
      <c r="HA527" s="6"/>
      <c r="HB527" s="6"/>
      <c r="HC527" s="6"/>
      <c r="HD527" s="6"/>
      <c r="HE527" s="6"/>
      <c r="HF527" s="6"/>
      <c r="HG527" s="6"/>
      <c r="HH527" s="6"/>
      <c r="HI527" s="6"/>
      <c r="HJ527" s="6"/>
      <c r="HK527" s="6"/>
      <c r="HL527" s="6"/>
      <c r="HM527" s="6"/>
      <c r="HN527" s="6"/>
      <c r="HO527" s="6"/>
      <c r="HP527" s="6"/>
      <c r="HQ527" s="6"/>
      <c r="HR527" s="6"/>
      <c r="HS527" s="6"/>
      <c r="HT527" s="6"/>
      <c r="HU527" s="6"/>
    </row>
    <row r="528" spans="9:229"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BV528" s="6"/>
      <c r="BW528" s="6"/>
      <c r="BX528" s="6"/>
      <c r="BY528" s="6"/>
      <c r="BZ528" s="6"/>
      <c r="CA528" s="6"/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  <c r="CP528" s="6"/>
      <c r="CQ528" s="6"/>
      <c r="CR528" s="6"/>
      <c r="CS528" s="6"/>
      <c r="CT528" s="6"/>
      <c r="CU528" s="6"/>
      <c r="CV528" s="6"/>
      <c r="CW528" s="6"/>
      <c r="CX528" s="6"/>
      <c r="CY528" s="6"/>
      <c r="CZ528" s="6"/>
      <c r="DA528" s="6"/>
      <c r="DB528" s="6"/>
      <c r="DC528" s="6"/>
      <c r="DD528" s="6"/>
      <c r="DE528" s="6"/>
      <c r="DF528" s="6"/>
      <c r="DG528" s="6"/>
      <c r="DH528" s="6"/>
      <c r="DI528" s="6"/>
      <c r="DJ528" s="6"/>
      <c r="DK528" s="6"/>
      <c r="DL528" s="6"/>
      <c r="DM528" s="6"/>
      <c r="DN528" s="6"/>
      <c r="DO528" s="6"/>
      <c r="DP528" s="6"/>
      <c r="DQ528" s="6"/>
      <c r="DR528" s="6"/>
      <c r="DS528" s="6"/>
      <c r="DT528" s="6"/>
      <c r="DU528" s="6"/>
      <c r="DV528" s="6"/>
      <c r="DW528" s="6"/>
      <c r="DX528" s="6"/>
      <c r="DY528" s="6"/>
      <c r="DZ528" s="6"/>
      <c r="EA528" s="6"/>
      <c r="EB528" s="6"/>
      <c r="EC528" s="6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  <c r="ER528" s="6"/>
      <c r="ES528" s="6"/>
      <c r="ET528" s="6"/>
      <c r="EU528" s="6"/>
      <c r="EV528" s="6"/>
      <c r="EW528" s="6"/>
      <c r="EX528" s="6"/>
      <c r="EY528" s="6"/>
      <c r="EZ528" s="6"/>
      <c r="FA528" s="6"/>
      <c r="FB528" s="6"/>
      <c r="FC528" s="6"/>
      <c r="FD528" s="6"/>
      <c r="FE528" s="6"/>
      <c r="FF528" s="6"/>
      <c r="FG528" s="6"/>
      <c r="FH528" s="6"/>
      <c r="FI528" s="6"/>
      <c r="FJ528" s="6"/>
      <c r="FK528" s="6"/>
      <c r="FL528" s="6"/>
      <c r="FM528" s="6"/>
      <c r="FN528" s="6"/>
      <c r="FO528" s="6"/>
      <c r="FP528" s="6"/>
      <c r="FQ528" s="6"/>
      <c r="FR528" s="6"/>
      <c r="FS528" s="6"/>
      <c r="FT528" s="6"/>
      <c r="FU528" s="6"/>
      <c r="FV528" s="6"/>
      <c r="FW528" s="6"/>
      <c r="FX528" s="6"/>
      <c r="FY528" s="6"/>
      <c r="FZ528" s="6"/>
      <c r="GA528" s="6"/>
      <c r="GB528" s="6"/>
      <c r="GC528" s="6"/>
      <c r="GD528" s="6"/>
      <c r="GE528" s="6"/>
      <c r="GF528" s="6"/>
      <c r="GG528" s="6"/>
      <c r="GH528" s="6"/>
      <c r="GI528" s="6"/>
      <c r="GJ528" s="6"/>
      <c r="GK528" s="6"/>
      <c r="GL528" s="6"/>
      <c r="GM528" s="6"/>
      <c r="GN528" s="6"/>
      <c r="GO528" s="6"/>
      <c r="GP528" s="6"/>
      <c r="GQ528" s="6"/>
      <c r="GR528" s="6"/>
      <c r="GS528" s="6"/>
      <c r="GT528" s="6"/>
      <c r="GU528" s="6"/>
      <c r="GV528" s="6"/>
      <c r="GW528" s="6"/>
      <c r="GX528" s="6"/>
      <c r="GY528" s="6"/>
      <c r="GZ528" s="6"/>
      <c r="HA528" s="6"/>
      <c r="HB528" s="6"/>
      <c r="HC528" s="6"/>
      <c r="HD528" s="6"/>
      <c r="HE528" s="6"/>
      <c r="HF528" s="6"/>
      <c r="HG528" s="6"/>
      <c r="HH528" s="6"/>
      <c r="HI528" s="6"/>
      <c r="HJ528" s="6"/>
      <c r="HK528" s="6"/>
      <c r="HL528" s="6"/>
      <c r="HM528" s="6"/>
      <c r="HN528" s="6"/>
      <c r="HO528" s="6"/>
      <c r="HP528" s="6"/>
      <c r="HQ528" s="6"/>
      <c r="HR528" s="6"/>
      <c r="HS528" s="6"/>
      <c r="HT528" s="6"/>
      <c r="HU528" s="6"/>
    </row>
    <row r="529" spans="9:229"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BV529" s="6"/>
      <c r="BW529" s="6"/>
      <c r="BX529" s="6"/>
      <c r="BY529" s="6"/>
      <c r="BZ529" s="6"/>
      <c r="CA529" s="6"/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  <c r="CP529" s="6"/>
      <c r="CQ529" s="6"/>
      <c r="CR529" s="6"/>
      <c r="CS529" s="6"/>
      <c r="CT529" s="6"/>
      <c r="CU529" s="6"/>
      <c r="CV529" s="6"/>
      <c r="CW529" s="6"/>
      <c r="CX529" s="6"/>
      <c r="CY529" s="6"/>
      <c r="CZ529" s="6"/>
      <c r="DA529" s="6"/>
      <c r="DB529" s="6"/>
      <c r="DC529" s="6"/>
      <c r="DD529" s="6"/>
      <c r="DE529" s="6"/>
      <c r="DF529" s="6"/>
      <c r="DG529" s="6"/>
      <c r="DH529" s="6"/>
      <c r="DI529" s="6"/>
      <c r="DJ529" s="6"/>
      <c r="DK529" s="6"/>
      <c r="DL529" s="6"/>
      <c r="DM529" s="6"/>
      <c r="DN529" s="6"/>
      <c r="DO529" s="6"/>
      <c r="DP529" s="6"/>
      <c r="DQ529" s="6"/>
      <c r="DR529" s="6"/>
      <c r="DS529" s="6"/>
      <c r="DT529" s="6"/>
      <c r="DU529" s="6"/>
      <c r="DV529" s="6"/>
      <c r="DW529" s="6"/>
      <c r="DX529" s="6"/>
      <c r="DY529" s="6"/>
      <c r="DZ529" s="6"/>
      <c r="EA529" s="6"/>
      <c r="EB529" s="6"/>
      <c r="EC529" s="6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  <c r="ER529" s="6"/>
      <c r="ES529" s="6"/>
      <c r="ET529" s="6"/>
      <c r="EU529" s="6"/>
      <c r="EV529" s="6"/>
      <c r="EW529" s="6"/>
      <c r="EX529" s="6"/>
      <c r="EY529" s="6"/>
      <c r="EZ529" s="6"/>
      <c r="FA529" s="6"/>
      <c r="FB529" s="6"/>
      <c r="FC529" s="6"/>
      <c r="FD529" s="6"/>
      <c r="FE529" s="6"/>
      <c r="FF529" s="6"/>
      <c r="FG529" s="6"/>
      <c r="FH529" s="6"/>
      <c r="FI529" s="6"/>
      <c r="FJ529" s="6"/>
      <c r="FK529" s="6"/>
      <c r="FL529" s="6"/>
      <c r="FM529" s="6"/>
      <c r="FN529" s="6"/>
      <c r="FO529" s="6"/>
      <c r="FP529" s="6"/>
      <c r="FQ529" s="6"/>
      <c r="FR529" s="6"/>
      <c r="FS529" s="6"/>
      <c r="FT529" s="6"/>
      <c r="FU529" s="6"/>
      <c r="FV529" s="6"/>
      <c r="FW529" s="6"/>
      <c r="FX529" s="6"/>
      <c r="FY529" s="6"/>
      <c r="FZ529" s="6"/>
      <c r="GA529" s="6"/>
      <c r="GB529" s="6"/>
      <c r="GC529" s="6"/>
      <c r="GD529" s="6"/>
      <c r="GE529" s="6"/>
      <c r="GF529" s="6"/>
      <c r="GG529" s="6"/>
      <c r="GH529" s="6"/>
      <c r="GI529" s="6"/>
      <c r="GJ529" s="6"/>
      <c r="GK529" s="6"/>
      <c r="GL529" s="6"/>
      <c r="GM529" s="6"/>
      <c r="GN529" s="6"/>
      <c r="GO529" s="6"/>
      <c r="GP529" s="6"/>
      <c r="GQ529" s="6"/>
      <c r="GR529" s="6"/>
      <c r="GS529" s="6"/>
      <c r="GT529" s="6"/>
      <c r="GU529" s="6"/>
      <c r="GV529" s="6"/>
      <c r="GW529" s="6"/>
      <c r="GX529" s="6"/>
      <c r="GY529" s="6"/>
      <c r="GZ529" s="6"/>
      <c r="HA529" s="6"/>
      <c r="HB529" s="6"/>
      <c r="HC529" s="6"/>
      <c r="HD529" s="6"/>
      <c r="HE529" s="6"/>
      <c r="HF529" s="6"/>
      <c r="HG529" s="6"/>
      <c r="HH529" s="6"/>
      <c r="HI529" s="6"/>
      <c r="HJ529" s="6"/>
      <c r="HK529" s="6"/>
      <c r="HL529" s="6"/>
      <c r="HM529" s="6"/>
      <c r="HN529" s="6"/>
      <c r="HO529" s="6"/>
      <c r="HP529" s="6"/>
      <c r="HQ529" s="6"/>
      <c r="HR529" s="6"/>
      <c r="HS529" s="6"/>
      <c r="HT529" s="6"/>
      <c r="HU529" s="6"/>
    </row>
    <row r="530" spans="9:229"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BV530" s="6"/>
      <c r="BW530" s="6"/>
      <c r="BX530" s="6"/>
      <c r="BY530" s="6"/>
      <c r="BZ530" s="6"/>
      <c r="CA530" s="6"/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  <c r="CP530" s="6"/>
      <c r="CQ530" s="6"/>
      <c r="CR530" s="6"/>
      <c r="CS530" s="6"/>
      <c r="CT530" s="6"/>
      <c r="CU530" s="6"/>
      <c r="CV530" s="6"/>
      <c r="CW530" s="6"/>
      <c r="CX530" s="6"/>
      <c r="CY530" s="6"/>
      <c r="CZ530" s="6"/>
      <c r="DA530" s="6"/>
      <c r="DB530" s="6"/>
      <c r="DC530" s="6"/>
      <c r="DD530" s="6"/>
      <c r="DE530" s="6"/>
      <c r="DF530" s="6"/>
      <c r="DG530" s="6"/>
      <c r="DH530" s="6"/>
      <c r="DI530" s="6"/>
      <c r="DJ530" s="6"/>
      <c r="DK530" s="6"/>
      <c r="DL530" s="6"/>
      <c r="DM530" s="6"/>
      <c r="DN530" s="6"/>
      <c r="DO530" s="6"/>
      <c r="DP530" s="6"/>
      <c r="DQ530" s="6"/>
      <c r="DR530" s="6"/>
      <c r="DS530" s="6"/>
      <c r="DT530" s="6"/>
      <c r="DU530" s="6"/>
      <c r="DV530" s="6"/>
      <c r="DW530" s="6"/>
      <c r="DX530" s="6"/>
      <c r="DY530" s="6"/>
      <c r="DZ530" s="6"/>
      <c r="EA530" s="6"/>
      <c r="EB530" s="6"/>
      <c r="EC530" s="6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  <c r="ER530" s="6"/>
      <c r="ES530" s="6"/>
      <c r="ET530" s="6"/>
      <c r="EU530" s="6"/>
      <c r="EV530" s="6"/>
      <c r="EW530" s="6"/>
      <c r="EX530" s="6"/>
      <c r="EY530" s="6"/>
      <c r="EZ530" s="6"/>
      <c r="FA530" s="6"/>
      <c r="FB530" s="6"/>
      <c r="FC530" s="6"/>
      <c r="FD530" s="6"/>
      <c r="FE530" s="6"/>
      <c r="FF530" s="6"/>
      <c r="FG530" s="6"/>
      <c r="FH530" s="6"/>
      <c r="FI530" s="6"/>
      <c r="FJ530" s="6"/>
      <c r="FK530" s="6"/>
      <c r="FL530" s="6"/>
      <c r="FM530" s="6"/>
      <c r="FN530" s="6"/>
      <c r="FO530" s="6"/>
      <c r="FP530" s="6"/>
      <c r="FQ530" s="6"/>
      <c r="FR530" s="6"/>
      <c r="FS530" s="6"/>
      <c r="FT530" s="6"/>
      <c r="FU530" s="6"/>
      <c r="FV530" s="6"/>
      <c r="FW530" s="6"/>
      <c r="FX530" s="6"/>
      <c r="FY530" s="6"/>
      <c r="FZ530" s="6"/>
      <c r="GA530" s="6"/>
      <c r="GB530" s="6"/>
      <c r="GC530" s="6"/>
      <c r="GD530" s="6"/>
      <c r="GE530" s="6"/>
      <c r="GF530" s="6"/>
      <c r="GG530" s="6"/>
      <c r="GH530" s="6"/>
      <c r="GI530" s="6"/>
      <c r="GJ530" s="6"/>
      <c r="GK530" s="6"/>
      <c r="GL530" s="6"/>
      <c r="GM530" s="6"/>
      <c r="GN530" s="6"/>
      <c r="GO530" s="6"/>
      <c r="GP530" s="6"/>
      <c r="GQ530" s="6"/>
      <c r="GR530" s="6"/>
      <c r="GS530" s="6"/>
      <c r="GT530" s="6"/>
      <c r="GU530" s="6"/>
      <c r="GV530" s="6"/>
      <c r="GW530" s="6"/>
      <c r="GX530" s="6"/>
      <c r="GY530" s="6"/>
      <c r="GZ530" s="6"/>
      <c r="HA530" s="6"/>
      <c r="HB530" s="6"/>
      <c r="HC530" s="6"/>
      <c r="HD530" s="6"/>
      <c r="HE530" s="6"/>
      <c r="HF530" s="6"/>
      <c r="HG530" s="6"/>
      <c r="HH530" s="6"/>
      <c r="HI530" s="6"/>
      <c r="HJ530" s="6"/>
      <c r="HK530" s="6"/>
      <c r="HL530" s="6"/>
      <c r="HM530" s="6"/>
      <c r="HN530" s="6"/>
      <c r="HO530" s="6"/>
      <c r="HP530" s="6"/>
      <c r="HQ530" s="6"/>
      <c r="HR530" s="6"/>
      <c r="HS530" s="6"/>
      <c r="HT530" s="6"/>
      <c r="HU530" s="6"/>
    </row>
    <row r="531" spans="9:229"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BV531" s="6"/>
      <c r="BW531" s="6"/>
      <c r="BX531" s="6"/>
      <c r="BY531" s="6"/>
      <c r="BZ531" s="6"/>
      <c r="CA531" s="6"/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  <c r="CP531" s="6"/>
      <c r="CQ531" s="6"/>
      <c r="CR531" s="6"/>
      <c r="CS531" s="6"/>
      <c r="CT531" s="6"/>
      <c r="CU531" s="6"/>
      <c r="CV531" s="6"/>
      <c r="CW531" s="6"/>
      <c r="CX531" s="6"/>
      <c r="CY531" s="6"/>
      <c r="CZ531" s="6"/>
      <c r="DA531" s="6"/>
      <c r="DB531" s="6"/>
      <c r="DC531" s="6"/>
      <c r="DD531" s="6"/>
      <c r="DE531" s="6"/>
      <c r="DF531" s="6"/>
      <c r="DG531" s="6"/>
      <c r="DH531" s="6"/>
      <c r="DI531" s="6"/>
      <c r="DJ531" s="6"/>
      <c r="DK531" s="6"/>
      <c r="DL531" s="6"/>
      <c r="DM531" s="6"/>
      <c r="DN531" s="6"/>
      <c r="DO531" s="6"/>
      <c r="DP531" s="6"/>
      <c r="DQ531" s="6"/>
      <c r="DR531" s="6"/>
      <c r="DS531" s="6"/>
      <c r="DT531" s="6"/>
      <c r="DU531" s="6"/>
      <c r="DV531" s="6"/>
      <c r="DW531" s="6"/>
      <c r="DX531" s="6"/>
      <c r="DY531" s="6"/>
      <c r="DZ531" s="6"/>
      <c r="EA531" s="6"/>
      <c r="EB531" s="6"/>
      <c r="EC531" s="6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  <c r="ER531" s="6"/>
      <c r="ES531" s="6"/>
      <c r="ET531" s="6"/>
      <c r="EU531" s="6"/>
      <c r="EV531" s="6"/>
      <c r="EW531" s="6"/>
      <c r="EX531" s="6"/>
      <c r="EY531" s="6"/>
      <c r="EZ531" s="6"/>
      <c r="FA531" s="6"/>
      <c r="FB531" s="6"/>
      <c r="FC531" s="6"/>
      <c r="FD531" s="6"/>
      <c r="FE531" s="6"/>
      <c r="FF531" s="6"/>
      <c r="FG531" s="6"/>
      <c r="FH531" s="6"/>
      <c r="FI531" s="6"/>
      <c r="FJ531" s="6"/>
      <c r="FK531" s="6"/>
      <c r="FL531" s="6"/>
      <c r="FM531" s="6"/>
      <c r="FN531" s="6"/>
      <c r="FO531" s="6"/>
      <c r="FP531" s="6"/>
      <c r="FQ531" s="6"/>
      <c r="FR531" s="6"/>
      <c r="FS531" s="6"/>
      <c r="FT531" s="6"/>
      <c r="FU531" s="6"/>
      <c r="FV531" s="6"/>
      <c r="FW531" s="6"/>
      <c r="FX531" s="6"/>
      <c r="FY531" s="6"/>
      <c r="FZ531" s="6"/>
      <c r="GA531" s="6"/>
      <c r="GB531" s="6"/>
      <c r="GC531" s="6"/>
      <c r="GD531" s="6"/>
      <c r="GE531" s="6"/>
      <c r="GF531" s="6"/>
      <c r="GG531" s="6"/>
      <c r="GH531" s="6"/>
      <c r="GI531" s="6"/>
      <c r="GJ531" s="6"/>
      <c r="GK531" s="6"/>
      <c r="GL531" s="6"/>
      <c r="GM531" s="6"/>
      <c r="GN531" s="6"/>
      <c r="GO531" s="6"/>
      <c r="GP531" s="6"/>
      <c r="GQ531" s="6"/>
      <c r="GR531" s="6"/>
      <c r="GS531" s="6"/>
      <c r="GT531" s="6"/>
      <c r="GU531" s="6"/>
      <c r="GV531" s="6"/>
      <c r="GW531" s="6"/>
      <c r="GX531" s="6"/>
      <c r="GY531" s="6"/>
      <c r="GZ531" s="6"/>
      <c r="HA531" s="6"/>
      <c r="HB531" s="6"/>
      <c r="HC531" s="6"/>
      <c r="HD531" s="6"/>
      <c r="HE531" s="6"/>
      <c r="HF531" s="6"/>
      <c r="HG531" s="6"/>
      <c r="HH531" s="6"/>
      <c r="HI531" s="6"/>
      <c r="HJ531" s="6"/>
      <c r="HK531" s="6"/>
      <c r="HL531" s="6"/>
      <c r="HM531" s="6"/>
      <c r="HN531" s="6"/>
      <c r="HO531" s="6"/>
      <c r="HP531" s="6"/>
      <c r="HQ531" s="6"/>
      <c r="HR531" s="6"/>
      <c r="HS531" s="6"/>
      <c r="HT531" s="6"/>
      <c r="HU531" s="6"/>
    </row>
    <row r="532" spans="9:229"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BV532" s="6"/>
      <c r="BW532" s="6"/>
      <c r="BX532" s="6"/>
      <c r="BY532" s="6"/>
      <c r="BZ532" s="6"/>
      <c r="CA532" s="6"/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  <c r="CP532" s="6"/>
      <c r="CQ532" s="6"/>
      <c r="CR532" s="6"/>
      <c r="CS532" s="6"/>
      <c r="CT532" s="6"/>
      <c r="CU532" s="6"/>
      <c r="CV532" s="6"/>
      <c r="CW532" s="6"/>
      <c r="CX532" s="6"/>
      <c r="CY532" s="6"/>
      <c r="CZ532" s="6"/>
      <c r="DA532" s="6"/>
      <c r="DB532" s="6"/>
      <c r="DC532" s="6"/>
      <c r="DD532" s="6"/>
      <c r="DE532" s="6"/>
      <c r="DF532" s="6"/>
      <c r="DG532" s="6"/>
      <c r="DH532" s="6"/>
      <c r="DI532" s="6"/>
      <c r="DJ532" s="6"/>
      <c r="DK532" s="6"/>
      <c r="DL532" s="6"/>
      <c r="DM532" s="6"/>
      <c r="DN532" s="6"/>
      <c r="DO532" s="6"/>
      <c r="DP532" s="6"/>
      <c r="DQ532" s="6"/>
      <c r="DR532" s="6"/>
      <c r="DS532" s="6"/>
      <c r="DT532" s="6"/>
      <c r="DU532" s="6"/>
      <c r="DV532" s="6"/>
      <c r="DW532" s="6"/>
      <c r="DX532" s="6"/>
      <c r="DY532" s="6"/>
      <c r="DZ532" s="6"/>
      <c r="EA532" s="6"/>
      <c r="EB532" s="6"/>
      <c r="EC532" s="6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  <c r="ER532" s="6"/>
      <c r="ES532" s="6"/>
      <c r="ET532" s="6"/>
      <c r="EU532" s="6"/>
      <c r="EV532" s="6"/>
      <c r="EW532" s="6"/>
      <c r="EX532" s="6"/>
      <c r="EY532" s="6"/>
      <c r="EZ532" s="6"/>
      <c r="FA532" s="6"/>
      <c r="FB532" s="6"/>
      <c r="FC532" s="6"/>
      <c r="FD532" s="6"/>
      <c r="FE532" s="6"/>
      <c r="FF532" s="6"/>
      <c r="FG532" s="6"/>
      <c r="FH532" s="6"/>
      <c r="FI532" s="6"/>
      <c r="FJ532" s="6"/>
      <c r="FK532" s="6"/>
      <c r="FL532" s="6"/>
      <c r="FM532" s="6"/>
      <c r="FN532" s="6"/>
      <c r="FO532" s="6"/>
      <c r="FP532" s="6"/>
      <c r="FQ532" s="6"/>
      <c r="FR532" s="6"/>
      <c r="FS532" s="6"/>
      <c r="FT532" s="6"/>
      <c r="FU532" s="6"/>
      <c r="FV532" s="6"/>
      <c r="FW532" s="6"/>
      <c r="FX532" s="6"/>
      <c r="FY532" s="6"/>
      <c r="FZ532" s="6"/>
      <c r="GA532" s="6"/>
      <c r="GB532" s="6"/>
      <c r="GC532" s="6"/>
      <c r="GD532" s="6"/>
      <c r="GE532" s="6"/>
      <c r="GF532" s="6"/>
      <c r="GG532" s="6"/>
      <c r="GH532" s="6"/>
      <c r="GI532" s="6"/>
      <c r="GJ532" s="6"/>
      <c r="GK532" s="6"/>
      <c r="GL532" s="6"/>
      <c r="GM532" s="6"/>
      <c r="GN532" s="6"/>
      <c r="GO532" s="6"/>
      <c r="GP532" s="6"/>
      <c r="GQ532" s="6"/>
      <c r="GR532" s="6"/>
      <c r="GS532" s="6"/>
      <c r="GT532" s="6"/>
      <c r="GU532" s="6"/>
      <c r="GV532" s="6"/>
      <c r="GW532" s="6"/>
      <c r="GX532" s="6"/>
      <c r="GY532" s="6"/>
      <c r="GZ532" s="6"/>
      <c r="HA532" s="6"/>
      <c r="HB532" s="6"/>
      <c r="HC532" s="6"/>
      <c r="HD532" s="6"/>
      <c r="HE532" s="6"/>
      <c r="HF532" s="6"/>
      <c r="HG532" s="6"/>
      <c r="HH532" s="6"/>
      <c r="HI532" s="6"/>
      <c r="HJ532" s="6"/>
      <c r="HK532" s="6"/>
      <c r="HL532" s="6"/>
      <c r="HM532" s="6"/>
      <c r="HN532" s="6"/>
      <c r="HO532" s="6"/>
      <c r="HP532" s="6"/>
      <c r="HQ532" s="6"/>
      <c r="HR532" s="6"/>
      <c r="HS532" s="6"/>
      <c r="HT532" s="6"/>
      <c r="HU532" s="6"/>
    </row>
    <row r="533" spans="9:229"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BV533" s="6"/>
      <c r="BW533" s="6"/>
      <c r="BX533" s="6"/>
      <c r="BY533" s="6"/>
      <c r="BZ533" s="6"/>
      <c r="CA533" s="6"/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  <c r="CP533" s="6"/>
      <c r="CQ533" s="6"/>
      <c r="CR533" s="6"/>
      <c r="CS533" s="6"/>
      <c r="CT533" s="6"/>
      <c r="CU533" s="6"/>
      <c r="CV533" s="6"/>
      <c r="CW533" s="6"/>
      <c r="CX533" s="6"/>
      <c r="CY533" s="6"/>
      <c r="CZ533" s="6"/>
      <c r="DA533" s="6"/>
      <c r="DB533" s="6"/>
      <c r="DC533" s="6"/>
      <c r="DD533" s="6"/>
      <c r="DE533" s="6"/>
      <c r="DF533" s="6"/>
      <c r="DG533" s="6"/>
      <c r="DH533" s="6"/>
      <c r="DI533" s="6"/>
      <c r="DJ533" s="6"/>
      <c r="DK533" s="6"/>
      <c r="DL533" s="6"/>
      <c r="DM533" s="6"/>
      <c r="DN533" s="6"/>
      <c r="DO533" s="6"/>
      <c r="DP533" s="6"/>
      <c r="DQ533" s="6"/>
      <c r="DR533" s="6"/>
      <c r="DS533" s="6"/>
      <c r="DT533" s="6"/>
      <c r="DU533" s="6"/>
      <c r="DV533" s="6"/>
      <c r="DW533" s="6"/>
      <c r="DX533" s="6"/>
      <c r="DY533" s="6"/>
      <c r="DZ533" s="6"/>
      <c r="EA533" s="6"/>
      <c r="EB533" s="6"/>
      <c r="EC533" s="6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  <c r="ER533" s="6"/>
      <c r="ES533" s="6"/>
      <c r="ET533" s="6"/>
      <c r="EU533" s="6"/>
      <c r="EV533" s="6"/>
      <c r="EW533" s="6"/>
      <c r="EX533" s="6"/>
      <c r="EY533" s="6"/>
      <c r="EZ533" s="6"/>
      <c r="FA533" s="6"/>
      <c r="FB533" s="6"/>
      <c r="FC533" s="6"/>
      <c r="FD533" s="6"/>
      <c r="FE533" s="6"/>
      <c r="FF533" s="6"/>
      <c r="FG533" s="6"/>
      <c r="FH533" s="6"/>
      <c r="FI533" s="6"/>
      <c r="FJ533" s="6"/>
      <c r="FK533" s="6"/>
      <c r="FL533" s="6"/>
      <c r="FM533" s="6"/>
      <c r="FN533" s="6"/>
      <c r="FO533" s="6"/>
      <c r="FP533" s="6"/>
      <c r="FQ533" s="6"/>
      <c r="FR533" s="6"/>
      <c r="FS533" s="6"/>
      <c r="FT533" s="6"/>
      <c r="FU533" s="6"/>
      <c r="FV533" s="6"/>
      <c r="FW533" s="6"/>
      <c r="FX533" s="6"/>
      <c r="FY533" s="6"/>
      <c r="FZ533" s="6"/>
      <c r="GA533" s="6"/>
      <c r="GB533" s="6"/>
      <c r="GC533" s="6"/>
      <c r="GD533" s="6"/>
      <c r="GE533" s="6"/>
      <c r="GF533" s="6"/>
      <c r="GG533" s="6"/>
      <c r="GH533" s="6"/>
      <c r="GI533" s="6"/>
      <c r="GJ533" s="6"/>
      <c r="GK533" s="6"/>
      <c r="GL533" s="6"/>
      <c r="GM533" s="6"/>
      <c r="GN533" s="6"/>
      <c r="GO533" s="6"/>
      <c r="GP533" s="6"/>
      <c r="GQ533" s="6"/>
      <c r="GR533" s="6"/>
      <c r="GS533" s="6"/>
      <c r="GT533" s="6"/>
      <c r="GU533" s="6"/>
      <c r="GV533" s="6"/>
      <c r="GW533" s="6"/>
      <c r="GX533" s="6"/>
      <c r="GY533" s="6"/>
      <c r="GZ533" s="6"/>
      <c r="HA533" s="6"/>
      <c r="HB533" s="6"/>
      <c r="HC533" s="6"/>
      <c r="HD533" s="6"/>
      <c r="HE533" s="6"/>
      <c r="HF533" s="6"/>
      <c r="HG533" s="6"/>
      <c r="HH533" s="6"/>
      <c r="HI533" s="6"/>
      <c r="HJ533" s="6"/>
      <c r="HK533" s="6"/>
      <c r="HL533" s="6"/>
      <c r="HM533" s="6"/>
      <c r="HN533" s="6"/>
      <c r="HO533" s="6"/>
      <c r="HP533" s="6"/>
      <c r="HQ533" s="6"/>
      <c r="HR533" s="6"/>
      <c r="HS533" s="6"/>
      <c r="HT533" s="6"/>
      <c r="HU533" s="6"/>
    </row>
    <row r="534" spans="9:229"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BV534" s="6"/>
      <c r="BW534" s="6"/>
      <c r="BX534" s="6"/>
      <c r="BY534" s="6"/>
      <c r="BZ534" s="6"/>
      <c r="CA534" s="6"/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  <c r="CP534" s="6"/>
      <c r="CQ534" s="6"/>
      <c r="CR534" s="6"/>
      <c r="CS534" s="6"/>
      <c r="CT534" s="6"/>
      <c r="CU534" s="6"/>
      <c r="CV534" s="6"/>
      <c r="CW534" s="6"/>
      <c r="CX534" s="6"/>
      <c r="CY534" s="6"/>
      <c r="CZ534" s="6"/>
      <c r="DA534" s="6"/>
      <c r="DB534" s="6"/>
      <c r="DC534" s="6"/>
      <c r="DD534" s="6"/>
      <c r="DE534" s="6"/>
      <c r="DF534" s="6"/>
      <c r="DG534" s="6"/>
      <c r="DH534" s="6"/>
      <c r="DI534" s="6"/>
      <c r="DJ534" s="6"/>
      <c r="DK534" s="6"/>
      <c r="DL534" s="6"/>
      <c r="DM534" s="6"/>
      <c r="DN534" s="6"/>
      <c r="DO534" s="6"/>
      <c r="DP534" s="6"/>
      <c r="DQ534" s="6"/>
      <c r="DR534" s="6"/>
      <c r="DS534" s="6"/>
      <c r="DT534" s="6"/>
      <c r="DU534" s="6"/>
      <c r="DV534" s="6"/>
      <c r="DW534" s="6"/>
      <c r="DX534" s="6"/>
      <c r="DY534" s="6"/>
      <c r="DZ534" s="6"/>
      <c r="EA534" s="6"/>
      <c r="EB534" s="6"/>
      <c r="EC534" s="6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  <c r="ER534" s="6"/>
      <c r="ES534" s="6"/>
      <c r="ET534" s="6"/>
      <c r="EU534" s="6"/>
      <c r="EV534" s="6"/>
      <c r="EW534" s="6"/>
      <c r="EX534" s="6"/>
      <c r="EY534" s="6"/>
      <c r="EZ534" s="6"/>
      <c r="FA534" s="6"/>
      <c r="FB534" s="6"/>
      <c r="FC534" s="6"/>
      <c r="FD534" s="6"/>
      <c r="FE534" s="6"/>
      <c r="FF534" s="6"/>
      <c r="FG534" s="6"/>
      <c r="FH534" s="6"/>
      <c r="FI534" s="6"/>
      <c r="FJ534" s="6"/>
      <c r="FK534" s="6"/>
      <c r="FL534" s="6"/>
      <c r="FM534" s="6"/>
      <c r="FN534" s="6"/>
      <c r="FO534" s="6"/>
      <c r="FP534" s="6"/>
      <c r="FQ534" s="6"/>
      <c r="FR534" s="6"/>
      <c r="FS534" s="6"/>
      <c r="FT534" s="6"/>
      <c r="FU534" s="6"/>
      <c r="FV534" s="6"/>
      <c r="FW534" s="6"/>
      <c r="FX534" s="6"/>
      <c r="FY534" s="6"/>
      <c r="FZ534" s="6"/>
      <c r="GA534" s="6"/>
      <c r="GB534" s="6"/>
      <c r="GC534" s="6"/>
      <c r="GD534" s="6"/>
      <c r="GE534" s="6"/>
      <c r="GF534" s="6"/>
      <c r="GG534" s="6"/>
      <c r="GH534" s="6"/>
      <c r="GI534" s="6"/>
      <c r="GJ534" s="6"/>
      <c r="GK534" s="6"/>
      <c r="GL534" s="6"/>
      <c r="GM534" s="6"/>
      <c r="GN534" s="6"/>
      <c r="GO534" s="6"/>
      <c r="GP534" s="6"/>
      <c r="GQ534" s="6"/>
      <c r="GR534" s="6"/>
      <c r="GS534" s="6"/>
      <c r="GT534" s="6"/>
      <c r="GU534" s="6"/>
      <c r="GV534" s="6"/>
      <c r="GW534" s="6"/>
      <c r="GX534" s="6"/>
      <c r="GY534" s="6"/>
      <c r="GZ534" s="6"/>
      <c r="HA534" s="6"/>
      <c r="HB534" s="6"/>
      <c r="HC534" s="6"/>
      <c r="HD534" s="6"/>
      <c r="HE534" s="6"/>
      <c r="HF534" s="6"/>
      <c r="HG534" s="6"/>
      <c r="HH534" s="6"/>
      <c r="HI534" s="6"/>
      <c r="HJ534" s="6"/>
      <c r="HK534" s="6"/>
      <c r="HL534" s="6"/>
      <c r="HM534" s="6"/>
      <c r="HN534" s="6"/>
      <c r="HO534" s="6"/>
      <c r="HP534" s="6"/>
      <c r="HQ534" s="6"/>
      <c r="HR534" s="6"/>
      <c r="HS534" s="6"/>
      <c r="HT534" s="6"/>
      <c r="HU534" s="6"/>
    </row>
    <row r="535" spans="9:229"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BV535" s="6"/>
      <c r="BW535" s="6"/>
      <c r="BX535" s="6"/>
      <c r="BY535" s="6"/>
      <c r="BZ535" s="6"/>
      <c r="CA535" s="6"/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  <c r="CP535" s="6"/>
      <c r="CQ535" s="6"/>
      <c r="CR535" s="6"/>
      <c r="CS535" s="6"/>
      <c r="CT535" s="6"/>
      <c r="CU535" s="6"/>
      <c r="CV535" s="6"/>
      <c r="CW535" s="6"/>
      <c r="CX535" s="6"/>
      <c r="CY535" s="6"/>
      <c r="CZ535" s="6"/>
      <c r="DA535" s="6"/>
      <c r="DB535" s="6"/>
      <c r="DC535" s="6"/>
      <c r="DD535" s="6"/>
      <c r="DE535" s="6"/>
      <c r="DF535" s="6"/>
      <c r="DG535" s="6"/>
      <c r="DH535" s="6"/>
      <c r="DI535" s="6"/>
      <c r="DJ535" s="6"/>
      <c r="DK535" s="6"/>
      <c r="DL535" s="6"/>
      <c r="DM535" s="6"/>
      <c r="DN535" s="6"/>
      <c r="DO535" s="6"/>
      <c r="DP535" s="6"/>
      <c r="DQ535" s="6"/>
      <c r="DR535" s="6"/>
      <c r="DS535" s="6"/>
      <c r="DT535" s="6"/>
      <c r="DU535" s="6"/>
      <c r="DV535" s="6"/>
      <c r="DW535" s="6"/>
      <c r="DX535" s="6"/>
      <c r="DY535" s="6"/>
      <c r="DZ535" s="6"/>
      <c r="EA535" s="6"/>
      <c r="EB535" s="6"/>
      <c r="EC535" s="6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  <c r="ER535" s="6"/>
      <c r="ES535" s="6"/>
      <c r="ET535" s="6"/>
      <c r="EU535" s="6"/>
      <c r="EV535" s="6"/>
      <c r="EW535" s="6"/>
      <c r="EX535" s="6"/>
      <c r="EY535" s="6"/>
      <c r="EZ535" s="6"/>
      <c r="FA535" s="6"/>
      <c r="FB535" s="6"/>
      <c r="FC535" s="6"/>
      <c r="FD535" s="6"/>
      <c r="FE535" s="6"/>
      <c r="FF535" s="6"/>
      <c r="FG535" s="6"/>
      <c r="FH535" s="6"/>
      <c r="FI535" s="6"/>
      <c r="FJ535" s="6"/>
      <c r="FK535" s="6"/>
      <c r="FL535" s="6"/>
      <c r="FM535" s="6"/>
      <c r="FN535" s="6"/>
      <c r="FO535" s="6"/>
      <c r="FP535" s="6"/>
      <c r="FQ535" s="6"/>
      <c r="FR535" s="6"/>
      <c r="FS535" s="6"/>
      <c r="FT535" s="6"/>
      <c r="FU535" s="6"/>
      <c r="FV535" s="6"/>
      <c r="FW535" s="6"/>
      <c r="FX535" s="6"/>
      <c r="FY535" s="6"/>
      <c r="FZ535" s="6"/>
      <c r="GA535" s="6"/>
      <c r="GB535" s="6"/>
      <c r="GC535" s="6"/>
      <c r="GD535" s="6"/>
      <c r="GE535" s="6"/>
      <c r="GF535" s="6"/>
      <c r="GG535" s="6"/>
      <c r="GH535" s="6"/>
      <c r="GI535" s="6"/>
      <c r="GJ535" s="6"/>
      <c r="GK535" s="6"/>
      <c r="GL535" s="6"/>
      <c r="GM535" s="6"/>
      <c r="GN535" s="6"/>
      <c r="GO535" s="6"/>
      <c r="GP535" s="6"/>
      <c r="GQ535" s="6"/>
      <c r="GR535" s="6"/>
      <c r="GS535" s="6"/>
      <c r="GT535" s="6"/>
      <c r="GU535" s="6"/>
      <c r="GV535" s="6"/>
      <c r="GW535" s="6"/>
      <c r="GX535" s="6"/>
      <c r="GY535" s="6"/>
      <c r="GZ535" s="6"/>
      <c r="HA535" s="6"/>
      <c r="HB535" s="6"/>
      <c r="HC535" s="6"/>
      <c r="HD535" s="6"/>
      <c r="HE535" s="6"/>
      <c r="HF535" s="6"/>
      <c r="HG535" s="6"/>
      <c r="HH535" s="6"/>
      <c r="HI535" s="6"/>
      <c r="HJ535" s="6"/>
      <c r="HK535" s="6"/>
      <c r="HL535" s="6"/>
      <c r="HM535" s="6"/>
      <c r="HN535" s="6"/>
      <c r="HO535" s="6"/>
      <c r="HP535" s="6"/>
      <c r="HQ535" s="6"/>
      <c r="HR535" s="6"/>
      <c r="HS535" s="6"/>
      <c r="HT535" s="6"/>
      <c r="HU535" s="6"/>
    </row>
    <row r="536" spans="9:229"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BV536" s="6"/>
      <c r="BW536" s="6"/>
      <c r="BX536" s="6"/>
      <c r="BY536" s="6"/>
      <c r="BZ536" s="6"/>
      <c r="CA536" s="6"/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  <c r="CP536" s="6"/>
      <c r="CQ536" s="6"/>
      <c r="CR536" s="6"/>
      <c r="CS536" s="6"/>
      <c r="CT536" s="6"/>
      <c r="CU536" s="6"/>
      <c r="CV536" s="6"/>
      <c r="CW536" s="6"/>
      <c r="CX536" s="6"/>
      <c r="CY536" s="6"/>
      <c r="CZ536" s="6"/>
      <c r="DA536" s="6"/>
      <c r="DB536" s="6"/>
      <c r="DC536" s="6"/>
      <c r="DD536" s="6"/>
      <c r="DE536" s="6"/>
      <c r="DF536" s="6"/>
      <c r="DG536" s="6"/>
      <c r="DH536" s="6"/>
      <c r="DI536" s="6"/>
      <c r="DJ536" s="6"/>
      <c r="DK536" s="6"/>
      <c r="DL536" s="6"/>
      <c r="DM536" s="6"/>
      <c r="DN536" s="6"/>
      <c r="DO536" s="6"/>
      <c r="DP536" s="6"/>
      <c r="DQ536" s="6"/>
      <c r="DR536" s="6"/>
      <c r="DS536" s="6"/>
      <c r="DT536" s="6"/>
      <c r="DU536" s="6"/>
      <c r="DV536" s="6"/>
      <c r="DW536" s="6"/>
      <c r="DX536" s="6"/>
      <c r="DY536" s="6"/>
      <c r="DZ536" s="6"/>
      <c r="EA536" s="6"/>
      <c r="EB536" s="6"/>
      <c r="EC536" s="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  <c r="ER536" s="6"/>
      <c r="ES536" s="6"/>
      <c r="ET536" s="6"/>
      <c r="EU536" s="6"/>
      <c r="EV536" s="6"/>
      <c r="EW536" s="6"/>
      <c r="EX536" s="6"/>
      <c r="EY536" s="6"/>
      <c r="EZ536" s="6"/>
      <c r="FA536" s="6"/>
      <c r="FB536" s="6"/>
      <c r="FC536" s="6"/>
      <c r="FD536" s="6"/>
      <c r="FE536" s="6"/>
      <c r="FF536" s="6"/>
      <c r="FG536" s="6"/>
      <c r="FH536" s="6"/>
      <c r="FI536" s="6"/>
      <c r="FJ536" s="6"/>
      <c r="FK536" s="6"/>
      <c r="FL536" s="6"/>
      <c r="FM536" s="6"/>
      <c r="FN536" s="6"/>
      <c r="FO536" s="6"/>
      <c r="FP536" s="6"/>
      <c r="FQ536" s="6"/>
      <c r="FR536" s="6"/>
      <c r="FS536" s="6"/>
      <c r="FT536" s="6"/>
      <c r="FU536" s="6"/>
      <c r="FV536" s="6"/>
      <c r="FW536" s="6"/>
      <c r="FX536" s="6"/>
      <c r="FY536" s="6"/>
      <c r="FZ536" s="6"/>
      <c r="GA536" s="6"/>
      <c r="GB536" s="6"/>
      <c r="GC536" s="6"/>
      <c r="GD536" s="6"/>
      <c r="GE536" s="6"/>
      <c r="GF536" s="6"/>
      <c r="GG536" s="6"/>
      <c r="GH536" s="6"/>
      <c r="GI536" s="6"/>
      <c r="GJ536" s="6"/>
      <c r="GK536" s="6"/>
      <c r="GL536" s="6"/>
      <c r="GM536" s="6"/>
      <c r="GN536" s="6"/>
      <c r="GO536" s="6"/>
      <c r="GP536" s="6"/>
      <c r="GQ536" s="6"/>
      <c r="GR536" s="6"/>
      <c r="GS536" s="6"/>
      <c r="GT536" s="6"/>
      <c r="GU536" s="6"/>
      <c r="GV536" s="6"/>
      <c r="GW536" s="6"/>
      <c r="GX536" s="6"/>
      <c r="GY536" s="6"/>
      <c r="GZ536" s="6"/>
      <c r="HA536" s="6"/>
      <c r="HB536" s="6"/>
      <c r="HC536" s="6"/>
      <c r="HD536" s="6"/>
      <c r="HE536" s="6"/>
      <c r="HF536" s="6"/>
      <c r="HG536" s="6"/>
      <c r="HH536" s="6"/>
      <c r="HI536" s="6"/>
      <c r="HJ536" s="6"/>
      <c r="HK536" s="6"/>
      <c r="HL536" s="6"/>
      <c r="HM536" s="6"/>
      <c r="HN536" s="6"/>
      <c r="HO536" s="6"/>
      <c r="HP536" s="6"/>
      <c r="HQ536" s="6"/>
      <c r="HR536" s="6"/>
      <c r="HS536" s="6"/>
      <c r="HT536" s="6"/>
      <c r="HU536" s="6"/>
    </row>
    <row r="537" spans="9:229"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BV537" s="6"/>
      <c r="BW537" s="6"/>
      <c r="BX537" s="6"/>
      <c r="BY537" s="6"/>
      <c r="BZ537" s="6"/>
      <c r="CA537" s="6"/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  <c r="CP537" s="6"/>
      <c r="CQ537" s="6"/>
      <c r="CR537" s="6"/>
      <c r="CS537" s="6"/>
      <c r="CT537" s="6"/>
      <c r="CU537" s="6"/>
      <c r="CV537" s="6"/>
      <c r="CW537" s="6"/>
      <c r="CX537" s="6"/>
      <c r="CY537" s="6"/>
      <c r="CZ537" s="6"/>
      <c r="DA537" s="6"/>
      <c r="DB537" s="6"/>
      <c r="DC537" s="6"/>
      <c r="DD537" s="6"/>
      <c r="DE537" s="6"/>
      <c r="DF537" s="6"/>
      <c r="DG537" s="6"/>
      <c r="DH537" s="6"/>
      <c r="DI537" s="6"/>
      <c r="DJ537" s="6"/>
      <c r="DK537" s="6"/>
      <c r="DL537" s="6"/>
      <c r="DM537" s="6"/>
      <c r="DN537" s="6"/>
      <c r="DO537" s="6"/>
      <c r="DP537" s="6"/>
      <c r="DQ537" s="6"/>
      <c r="DR537" s="6"/>
      <c r="DS537" s="6"/>
      <c r="DT537" s="6"/>
      <c r="DU537" s="6"/>
      <c r="DV537" s="6"/>
      <c r="DW537" s="6"/>
      <c r="DX537" s="6"/>
      <c r="DY537" s="6"/>
      <c r="DZ537" s="6"/>
      <c r="EA537" s="6"/>
      <c r="EB537" s="6"/>
      <c r="EC537" s="6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  <c r="ER537" s="6"/>
      <c r="ES537" s="6"/>
      <c r="ET537" s="6"/>
      <c r="EU537" s="6"/>
      <c r="EV537" s="6"/>
      <c r="EW537" s="6"/>
      <c r="EX537" s="6"/>
      <c r="EY537" s="6"/>
      <c r="EZ537" s="6"/>
      <c r="FA537" s="6"/>
      <c r="FB537" s="6"/>
      <c r="FC537" s="6"/>
      <c r="FD537" s="6"/>
      <c r="FE537" s="6"/>
      <c r="FF537" s="6"/>
      <c r="FG537" s="6"/>
      <c r="FH537" s="6"/>
      <c r="FI537" s="6"/>
      <c r="FJ537" s="6"/>
      <c r="FK537" s="6"/>
      <c r="FL537" s="6"/>
      <c r="FM537" s="6"/>
      <c r="FN537" s="6"/>
      <c r="FO537" s="6"/>
      <c r="FP537" s="6"/>
      <c r="FQ537" s="6"/>
      <c r="FR537" s="6"/>
      <c r="FS537" s="6"/>
      <c r="FT537" s="6"/>
      <c r="FU537" s="6"/>
      <c r="FV537" s="6"/>
      <c r="FW537" s="6"/>
      <c r="FX537" s="6"/>
      <c r="FY537" s="6"/>
      <c r="FZ537" s="6"/>
      <c r="GA537" s="6"/>
      <c r="GB537" s="6"/>
      <c r="GC537" s="6"/>
      <c r="GD537" s="6"/>
      <c r="GE537" s="6"/>
      <c r="GF537" s="6"/>
      <c r="GG537" s="6"/>
      <c r="GH537" s="6"/>
      <c r="GI537" s="6"/>
      <c r="GJ537" s="6"/>
      <c r="GK537" s="6"/>
      <c r="GL537" s="6"/>
      <c r="GM537" s="6"/>
      <c r="GN537" s="6"/>
      <c r="GO537" s="6"/>
      <c r="GP537" s="6"/>
      <c r="GQ537" s="6"/>
      <c r="GR537" s="6"/>
      <c r="GS537" s="6"/>
      <c r="GT537" s="6"/>
      <c r="GU537" s="6"/>
      <c r="GV537" s="6"/>
      <c r="GW537" s="6"/>
      <c r="GX537" s="6"/>
      <c r="GY537" s="6"/>
      <c r="GZ537" s="6"/>
      <c r="HA537" s="6"/>
      <c r="HB537" s="6"/>
      <c r="HC537" s="6"/>
      <c r="HD537" s="6"/>
      <c r="HE537" s="6"/>
      <c r="HF537" s="6"/>
      <c r="HG537" s="6"/>
      <c r="HH537" s="6"/>
      <c r="HI537" s="6"/>
      <c r="HJ537" s="6"/>
      <c r="HK537" s="6"/>
      <c r="HL537" s="6"/>
      <c r="HM537" s="6"/>
      <c r="HN537" s="6"/>
      <c r="HO537" s="6"/>
      <c r="HP537" s="6"/>
      <c r="HQ537" s="6"/>
      <c r="HR537" s="6"/>
      <c r="HS537" s="6"/>
      <c r="HT537" s="6"/>
      <c r="HU537" s="6"/>
    </row>
    <row r="538" spans="9:229"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BV538" s="6"/>
      <c r="BW538" s="6"/>
      <c r="BX538" s="6"/>
      <c r="BY538" s="6"/>
      <c r="BZ538" s="6"/>
      <c r="CA538" s="6"/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  <c r="CP538" s="6"/>
      <c r="CQ538" s="6"/>
      <c r="CR538" s="6"/>
      <c r="CS538" s="6"/>
      <c r="CT538" s="6"/>
      <c r="CU538" s="6"/>
      <c r="CV538" s="6"/>
      <c r="CW538" s="6"/>
      <c r="CX538" s="6"/>
      <c r="CY538" s="6"/>
      <c r="CZ538" s="6"/>
      <c r="DA538" s="6"/>
      <c r="DB538" s="6"/>
      <c r="DC538" s="6"/>
      <c r="DD538" s="6"/>
      <c r="DE538" s="6"/>
      <c r="DF538" s="6"/>
      <c r="DG538" s="6"/>
      <c r="DH538" s="6"/>
      <c r="DI538" s="6"/>
      <c r="DJ538" s="6"/>
      <c r="DK538" s="6"/>
      <c r="DL538" s="6"/>
      <c r="DM538" s="6"/>
      <c r="DN538" s="6"/>
      <c r="DO538" s="6"/>
      <c r="DP538" s="6"/>
      <c r="DQ538" s="6"/>
      <c r="DR538" s="6"/>
      <c r="DS538" s="6"/>
      <c r="DT538" s="6"/>
      <c r="DU538" s="6"/>
      <c r="DV538" s="6"/>
      <c r="DW538" s="6"/>
      <c r="DX538" s="6"/>
      <c r="DY538" s="6"/>
      <c r="DZ538" s="6"/>
      <c r="EA538" s="6"/>
      <c r="EB538" s="6"/>
      <c r="EC538" s="6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  <c r="ER538" s="6"/>
      <c r="ES538" s="6"/>
      <c r="ET538" s="6"/>
      <c r="EU538" s="6"/>
      <c r="EV538" s="6"/>
      <c r="EW538" s="6"/>
      <c r="EX538" s="6"/>
      <c r="EY538" s="6"/>
      <c r="EZ538" s="6"/>
      <c r="FA538" s="6"/>
      <c r="FB538" s="6"/>
      <c r="FC538" s="6"/>
      <c r="FD538" s="6"/>
      <c r="FE538" s="6"/>
      <c r="FF538" s="6"/>
      <c r="FG538" s="6"/>
      <c r="FH538" s="6"/>
      <c r="FI538" s="6"/>
      <c r="FJ538" s="6"/>
      <c r="FK538" s="6"/>
      <c r="FL538" s="6"/>
      <c r="FM538" s="6"/>
      <c r="FN538" s="6"/>
      <c r="FO538" s="6"/>
      <c r="FP538" s="6"/>
      <c r="FQ538" s="6"/>
      <c r="FR538" s="6"/>
      <c r="FS538" s="6"/>
      <c r="FT538" s="6"/>
      <c r="FU538" s="6"/>
      <c r="FV538" s="6"/>
      <c r="FW538" s="6"/>
      <c r="FX538" s="6"/>
      <c r="FY538" s="6"/>
      <c r="FZ538" s="6"/>
      <c r="GA538" s="6"/>
      <c r="GB538" s="6"/>
      <c r="GC538" s="6"/>
      <c r="GD538" s="6"/>
      <c r="GE538" s="6"/>
      <c r="GF538" s="6"/>
      <c r="GG538" s="6"/>
      <c r="GH538" s="6"/>
      <c r="GI538" s="6"/>
      <c r="GJ538" s="6"/>
      <c r="GK538" s="6"/>
      <c r="GL538" s="6"/>
      <c r="GM538" s="6"/>
      <c r="GN538" s="6"/>
      <c r="GO538" s="6"/>
      <c r="GP538" s="6"/>
      <c r="GQ538" s="6"/>
      <c r="GR538" s="6"/>
      <c r="GS538" s="6"/>
      <c r="GT538" s="6"/>
      <c r="GU538" s="6"/>
      <c r="GV538" s="6"/>
      <c r="GW538" s="6"/>
      <c r="GX538" s="6"/>
      <c r="GY538" s="6"/>
      <c r="GZ538" s="6"/>
      <c r="HA538" s="6"/>
      <c r="HB538" s="6"/>
      <c r="HC538" s="6"/>
      <c r="HD538" s="6"/>
      <c r="HE538" s="6"/>
      <c r="HF538" s="6"/>
      <c r="HG538" s="6"/>
      <c r="HH538" s="6"/>
      <c r="HI538" s="6"/>
      <c r="HJ538" s="6"/>
      <c r="HK538" s="6"/>
      <c r="HL538" s="6"/>
      <c r="HM538" s="6"/>
      <c r="HN538" s="6"/>
      <c r="HO538" s="6"/>
      <c r="HP538" s="6"/>
      <c r="HQ538" s="6"/>
      <c r="HR538" s="6"/>
      <c r="HS538" s="6"/>
      <c r="HT538" s="6"/>
      <c r="HU538" s="6"/>
    </row>
    <row r="539" spans="9:229"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BV539" s="6"/>
      <c r="BW539" s="6"/>
      <c r="BX539" s="6"/>
      <c r="BY539" s="6"/>
      <c r="BZ539" s="6"/>
      <c r="CA539" s="6"/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  <c r="CP539" s="6"/>
      <c r="CQ539" s="6"/>
      <c r="CR539" s="6"/>
      <c r="CS539" s="6"/>
      <c r="CT539" s="6"/>
      <c r="CU539" s="6"/>
      <c r="CV539" s="6"/>
      <c r="CW539" s="6"/>
      <c r="CX539" s="6"/>
      <c r="CY539" s="6"/>
      <c r="CZ539" s="6"/>
      <c r="DA539" s="6"/>
      <c r="DB539" s="6"/>
      <c r="DC539" s="6"/>
      <c r="DD539" s="6"/>
      <c r="DE539" s="6"/>
      <c r="DF539" s="6"/>
      <c r="DG539" s="6"/>
      <c r="DH539" s="6"/>
      <c r="DI539" s="6"/>
      <c r="DJ539" s="6"/>
      <c r="DK539" s="6"/>
      <c r="DL539" s="6"/>
      <c r="DM539" s="6"/>
      <c r="DN539" s="6"/>
      <c r="DO539" s="6"/>
      <c r="DP539" s="6"/>
      <c r="DQ539" s="6"/>
      <c r="DR539" s="6"/>
      <c r="DS539" s="6"/>
      <c r="DT539" s="6"/>
      <c r="DU539" s="6"/>
      <c r="DV539" s="6"/>
      <c r="DW539" s="6"/>
      <c r="DX539" s="6"/>
      <c r="DY539" s="6"/>
      <c r="DZ539" s="6"/>
      <c r="EA539" s="6"/>
      <c r="EB539" s="6"/>
      <c r="EC539" s="6"/>
      <c r="ED539" s="6"/>
      <c r="EE539" s="6"/>
      <c r="EF539" s="6"/>
      <c r="EG539" s="6"/>
      <c r="EH539" s="6"/>
      <c r="EI539" s="6"/>
      <c r="EJ539" s="6"/>
      <c r="EK539" s="6"/>
      <c r="EL539" s="6"/>
      <c r="EM539" s="6"/>
      <c r="EN539" s="6"/>
      <c r="EO539" s="6"/>
      <c r="EP539" s="6"/>
      <c r="EQ539" s="6"/>
      <c r="ER539" s="6"/>
      <c r="ES539" s="6"/>
      <c r="ET539" s="6"/>
      <c r="EU539" s="6"/>
      <c r="EV539" s="6"/>
      <c r="EW539" s="6"/>
      <c r="EX539" s="6"/>
      <c r="EY539" s="6"/>
      <c r="EZ539" s="6"/>
      <c r="FA539" s="6"/>
      <c r="FB539" s="6"/>
      <c r="FC539" s="6"/>
      <c r="FD539" s="6"/>
      <c r="FE539" s="6"/>
      <c r="FF539" s="6"/>
      <c r="FG539" s="6"/>
      <c r="FH539" s="6"/>
      <c r="FI539" s="6"/>
      <c r="FJ539" s="6"/>
      <c r="FK539" s="6"/>
      <c r="FL539" s="6"/>
      <c r="FM539" s="6"/>
      <c r="FN539" s="6"/>
      <c r="FO539" s="6"/>
      <c r="FP539" s="6"/>
      <c r="FQ539" s="6"/>
      <c r="FR539" s="6"/>
      <c r="FS539" s="6"/>
      <c r="FT539" s="6"/>
      <c r="FU539" s="6"/>
      <c r="FV539" s="6"/>
      <c r="FW539" s="6"/>
      <c r="FX539" s="6"/>
      <c r="FY539" s="6"/>
      <c r="FZ539" s="6"/>
      <c r="GA539" s="6"/>
      <c r="GB539" s="6"/>
      <c r="GC539" s="6"/>
      <c r="GD539" s="6"/>
      <c r="GE539" s="6"/>
      <c r="GF539" s="6"/>
      <c r="GG539" s="6"/>
      <c r="GH539" s="6"/>
      <c r="GI539" s="6"/>
      <c r="GJ539" s="6"/>
      <c r="GK539" s="6"/>
      <c r="GL539" s="6"/>
      <c r="GM539" s="6"/>
      <c r="GN539" s="6"/>
      <c r="GO539" s="6"/>
      <c r="GP539" s="6"/>
      <c r="GQ539" s="6"/>
      <c r="GR539" s="6"/>
      <c r="GS539" s="6"/>
      <c r="GT539" s="6"/>
      <c r="GU539" s="6"/>
      <c r="GV539" s="6"/>
      <c r="GW539" s="6"/>
      <c r="GX539" s="6"/>
      <c r="GY539" s="6"/>
      <c r="GZ539" s="6"/>
      <c r="HA539" s="6"/>
      <c r="HB539" s="6"/>
      <c r="HC539" s="6"/>
      <c r="HD539" s="6"/>
      <c r="HE539" s="6"/>
      <c r="HF539" s="6"/>
      <c r="HG539" s="6"/>
      <c r="HH539" s="6"/>
      <c r="HI539" s="6"/>
      <c r="HJ539" s="6"/>
      <c r="HK539" s="6"/>
      <c r="HL539" s="6"/>
      <c r="HM539" s="6"/>
      <c r="HN539" s="6"/>
      <c r="HO539" s="6"/>
      <c r="HP539" s="6"/>
      <c r="HQ539" s="6"/>
      <c r="HR539" s="6"/>
      <c r="HS539" s="6"/>
      <c r="HT539" s="6"/>
      <c r="HU539" s="6"/>
    </row>
    <row r="540" spans="9:229"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BV540" s="6"/>
      <c r="BW540" s="6"/>
      <c r="BX540" s="6"/>
      <c r="BY540" s="6"/>
      <c r="BZ540" s="6"/>
      <c r="CA540" s="6"/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  <c r="CP540" s="6"/>
      <c r="CQ540" s="6"/>
      <c r="CR540" s="6"/>
      <c r="CS540" s="6"/>
      <c r="CT540" s="6"/>
      <c r="CU540" s="6"/>
      <c r="CV540" s="6"/>
      <c r="CW540" s="6"/>
      <c r="CX540" s="6"/>
      <c r="CY540" s="6"/>
      <c r="CZ540" s="6"/>
      <c r="DA540" s="6"/>
      <c r="DB540" s="6"/>
      <c r="DC540" s="6"/>
      <c r="DD540" s="6"/>
      <c r="DE540" s="6"/>
      <c r="DF540" s="6"/>
      <c r="DG540" s="6"/>
      <c r="DH540" s="6"/>
      <c r="DI540" s="6"/>
      <c r="DJ540" s="6"/>
      <c r="DK540" s="6"/>
      <c r="DL540" s="6"/>
      <c r="DM540" s="6"/>
      <c r="DN540" s="6"/>
      <c r="DO540" s="6"/>
      <c r="DP540" s="6"/>
      <c r="DQ540" s="6"/>
      <c r="DR540" s="6"/>
      <c r="DS540" s="6"/>
      <c r="DT540" s="6"/>
      <c r="DU540" s="6"/>
      <c r="DV540" s="6"/>
      <c r="DW540" s="6"/>
      <c r="DX540" s="6"/>
      <c r="DY540" s="6"/>
      <c r="DZ540" s="6"/>
      <c r="EA540" s="6"/>
      <c r="EB540" s="6"/>
      <c r="EC540" s="6"/>
      <c r="ED540" s="6"/>
      <c r="EE540" s="6"/>
      <c r="EF540" s="6"/>
      <c r="EG540" s="6"/>
      <c r="EH540" s="6"/>
      <c r="EI540" s="6"/>
      <c r="EJ540" s="6"/>
      <c r="EK540" s="6"/>
      <c r="EL540" s="6"/>
      <c r="EM540" s="6"/>
      <c r="EN540" s="6"/>
      <c r="EO540" s="6"/>
      <c r="EP540" s="6"/>
      <c r="EQ540" s="6"/>
      <c r="ER540" s="6"/>
      <c r="ES540" s="6"/>
      <c r="ET540" s="6"/>
      <c r="EU540" s="6"/>
      <c r="EV540" s="6"/>
      <c r="EW540" s="6"/>
      <c r="EX540" s="6"/>
      <c r="EY540" s="6"/>
      <c r="EZ540" s="6"/>
      <c r="FA540" s="6"/>
      <c r="FB540" s="6"/>
      <c r="FC540" s="6"/>
      <c r="FD540" s="6"/>
      <c r="FE540" s="6"/>
      <c r="FF540" s="6"/>
      <c r="FG540" s="6"/>
      <c r="FH540" s="6"/>
      <c r="FI540" s="6"/>
      <c r="FJ540" s="6"/>
      <c r="FK540" s="6"/>
      <c r="FL540" s="6"/>
      <c r="FM540" s="6"/>
      <c r="FN540" s="6"/>
      <c r="FO540" s="6"/>
      <c r="FP540" s="6"/>
      <c r="FQ540" s="6"/>
      <c r="FR540" s="6"/>
      <c r="FS540" s="6"/>
      <c r="FT540" s="6"/>
      <c r="FU540" s="6"/>
      <c r="FV540" s="6"/>
      <c r="FW540" s="6"/>
      <c r="FX540" s="6"/>
      <c r="FY540" s="6"/>
      <c r="FZ540" s="6"/>
      <c r="GA540" s="6"/>
      <c r="GB540" s="6"/>
      <c r="GC540" s="6"/>
      <c r="GD540" s="6"/>
      <c r="GE540" s="6"/>
      <c r="GF540" s="6"/>
      <c r="GG540" s="6"/>
      <c r="GH540" s="6"/>
      <c r="GI540" s="6"/>
      <c r="GJ540" s="6"/>
      <c r="GK540" s="6"/>
      <c r="GL540" s="6"/>
      <c r="GM540" s="6"/>
      <c r="GN540" s="6"/>
      <c r="GO540" s="6"/>
      <c r="GP540" s="6"/>
      <c r="GQ540" s="6"/>
      <c r="GR540" s="6"/>
      <c r="GS540" s="6"/>
      <c r="GT540" s="6"/>
      <c r="GU540" s="6"/>
      <c r="GV540" s="6"/>
      <c r="GW540" s="6"/>
      <c r="GX540" s="6"/>
      <c r="GY540" s="6"/>
      <c r="GZ540" s="6"/>
      <c r="HA540" s="6"/>
      <c r="HB540" s="6"/>
      <c r="HC540" s="6"/>
      <c r="HD540" s="6"/>
      <c r="HE540" s="6"/>
      <c r="HF540" s="6"/>
      <c r="HG540" s="6"/>
      <c r="HH540" s="6"/>
      <c r="HI540" s="6"/>
      <c r="HJ540" s="6"/>
      <c r="HK540" s="6"/>
      <c r="HL540" s="6"/>
      <c r="HM540" s="6"/>
      <c r="HN540" s="6"/>
      <c r="HO540" s="6"/>
      <c r="HP540" s="6"/>
      <c r="HQ540" s="6"/>
      <c r="HR540" s="6"/>
      <c r="HS540" s="6"/>
      <c r="HT540" s="6"/>
      <c r="HU540" s="6"/>
    </row>
    <row r="541" spans="9:229"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BV541" s="6"/>
      <c r="BW541" s="6"/>
      <c r="BX541" s="6"/>
      <c r="BY541" s="6"/>
      <c r="BZ541" s="6"/>
      <c r="CA541" s="6"/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  <c r="CP541" s="6"/>
      <c r="CQ541" s="6"/>
      <c r="CR541" s="6"/>
      <c r="CS541" s="6"/>
      <c r="CT541" s="6"/>
      <c r="CU541" s="6"/>
      <c r="CV541" s="6"/>
      <c r="CW541" s="6"/>
      <c r="CX541" s="6"/>
      <c r="CY541" s="6"/>
      <c r="CZ541" s="6"/>
      <c r="DA541" s="6"/>
      <c r="DB541" s="6"/>
      <c r="DC541" s="6"/>
      <c r="DD541" s="6"/>
      <c r="DE541" s="6"/>
      <c r="DF541" s="6"/>
      <c r="DG541" s="6"/>
      <c r="DH541" s="6"/>
      <c r="DI541" s="6"/>
      <c r="DJ541" s="6"/>
      <c r="DK541" s="6"/>
      <c r="DL541" s="6"/>
      <c r="DM541" s="6"/>
      <c r="DN541" s="6"/>
      <c r="DO541" s="6"/>
      <c r="DP541" s="6"/>
      <c r="DQ541" s="6"/>
      <c r="DR541" s="6"/>
      <c r="DS541" s="6"/>
      <c r="DT541" s="6"/>
      <c r="DU541" s="6"/>
      <c r="DV541" s="6"/>
      <c r="DW541" s="6"/>
      <c r="DX541" s="6"/>
      <c r="DY541" s="6"/>
      <c r="DZ541" s="6"/>
      <c r="EA541" s="6"/>
      <c r="EB541" s="6"/>
      <c r="EC541" s="6"/>
      <c r="ED541" s="6"/>
      <c r="EE541" s="6"/>
      <c r="EF541" s="6"/>
      <c r="EG541" s="6"/>
      <c r="EH541" s="6"/>
      <c r="EI541" s="6"/>
      <c r="EJ541" s="6"/>
      <c r="EK541" s="6"/>
      <c r="EL541" s="6"/>
      <c r="EM541" s="6"/>
      <c r="EN541" s="6"/>
      <c r="EO541" s="6"/>
      <c r="EP541" s="6"/>
      <c r="EQ541" s="6"/>
      <c r="ER541" s="6"/>
      <c r="ES541" s="6"/>
      <c r="ET541" s="6"/>
      <c r="EU541" s="6"/>
      <c r="EV541" s="6"/>
      <c r="EW541" s="6"/>
      <c r="EX541" s="6"/>
      <c r="EY541" s="6"/>
      <c r="EZ541" s="6"/>
      <c r="FA541" s="6"/>
      <c r="FB541" s="6"/>
      <c r="FC541" s="6"/>
      <c r="FD541" s="6"/>
      <c r="FE541" s="6"/>
      <c r="FF541" s="6"/>
      <c r="FG541" s="6"/>
      <c r="FH541" s="6"/>
      <c r="FI541" s="6"/>
      <c r="FJ541" s="6"/>
      <c r="FK541" s="6"/>
      <c r="FL541" s="6"/>
      <c r="FM541" s="6"/>
      <c r="FN541" s="6"/>
      <c r="FO541" s="6"/>
      <c r="FP541" s="6"/>
      <c r="FQ541" s="6"/>
      <c r="FR541" s="6"/>
      <c r="FS541" s="6"/>
      <c r="FT541" s="6"/>
      <c r="FU541" s="6"/>
      <c r="FV541" s="6"/>
      <c r="FW541" s="6"/>
      <c r="FX541" s="6"/>
      <c r="FY541" s="6"/>
      <c r="FZ541" s="6"/>
      <c r="GA541" s="6"/>
      <c r="GB541" s="6"/>
      <c r="GC541" s="6"/>
      <c r="GD541" s="6"/>
      <c r="GE541" s="6"/>
      <c r="GF541" s="6"/>
      <c r="GG541" s="6"/>
      <c r="GH541" s="6"/>
      <c r="GI541" s="6"/>
      <c r="GJ541" s="6"/>
      <c r="GK541" s="6"/>
      <c r="GL541" s="6"/>
      <c r="GM541" s="6"/>
      <c r="GN541" s="6"/>
      <c r="GO541" s="6"/>
      <c r="GP541" s="6"/>
      <c r="GQ541" s="6"/>
      <c r="GR541" s="6"/>
      <c r="GS541" s="6"/>
      <c r="GT541" s="6"/>
      <c r="GU541" s="6"/>
      <c r="GV541" s="6"/>
      <c r="GW541" s="6"/>
      <c r="GX541" s="6"/>
      <c r="GY541" s="6"/>
      <c r="GZ541" s="6"/>
      <c r="HA541" s="6"/>
      <c r="HB541" s="6"/>
      <c r="HC541" s="6"/>
      <c r="HD541" s="6"/>
      <c r="HE541" s="6"/>
      <c r="HF541" s="6"/>
      <c r="HG541" s="6"/>
      <c r="HH541" s="6"/>
      <c r="HI541" s="6"/>
      <c r="HJ541" s="6"/>
      <c r="HK541" s="6"/>
      <c r="HL541" s="6"/>
      <c r="HM541" s="6"/>
      <c r="HN541" s="6"/>
      <c r="HO541" s="6"/>
      <c r="HP541" s="6"/>
      <c r="HQ541" s="6"/>
      <c r="HR541" s="6"/>
      <c r="HS541" s="6"/>
      <c r="HT541" s="6"/>
      <c r="HU541" s="6"/>
    </row>
    <row r="542" spans="9:229"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BV542" s="6"/>
      <c r="BW542" s="6"/>
      <c r="BX542" s="6"/>
      <c r="BY542" s="6"/>
      <c r="BZ542" s="6"/>
      <c r="CA542" s="6"/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  <c r="CP542" s="6"/>
      <c r="CQ542" s="6"/>
      <c r="CR542" s="6"/>
      <c r="CS542" s="6"/>
      <c r="CT542" s="6"/>
      <c r="CU542" s="6"/>
      <c r="CV542" s="6"/>
      <c r="CW542" s="6"/>
      <c r="CX542" s="6"/>
      <c r="CY542" s="6"/>
      <c r="CZ542" s="6"/>
      <c r="DA542" s="6"/>
      <c r="DB542" s="6"/>
      <c r="DC542" s="6"/>
      <c r="DD542" s="6"/>
      <c r="DE542" s="6"/>
      <c r="DF542" s="6"/>
      <c r="DG542" s="6"/>
      <c r="DH542" s="6"/>
      <c r="DI542" s="6"/>
      <c r="DJ542" s="6"/>
      <c r="DK542" s="6"/>
      <c r="DL542" s="6"/>
      <c r="DM542" s="6"/>
      <c r="DN542" s="6"/>
      <c r="DO542" s="6"/>
      <c r="DP542" s="6"/>
      <c r="DQ542" s="6"/>
      <c r="DR542" s="6"/>
      <c r="DS542" s="6"/>
      <c r="DT542" s="6"/>
      <c r="DU542" s="6"/>
      <c r="DV542" s="6"/>
      <c r="DW542" s="6"/>
      <c r="DX542" s="6"/>
      <c r="DY542" s="6"/>
      <c r="DZ542" s="6"/>
      <c r="EA542" s="6"/>
      <c r="EB542" s="6"/>
      <c r="EC542" s="6"/>
      <c r="ED542" s="6"/>
      <c r="EE542" s="6"/>
      <c r="EF542" s="6"/>
      <c r="EG542" s="6"/>
      <c r="EH542" s="6"/>
      <c r="EI542" s="6"/>
      <c r="EJ542" s="6"/>
      <c r="EK542" s="6"/>
      <c r="EL542" s="6"/>
      <c r="EM542" s="6"/>
      <c r="EN542" s="6"/>
      <c r="EO542" s="6"/>
      <c r="EP542" s="6"/>
      <c r="EQ542" s="6"/>
      <c r="ER542" s="6"/>
      <c r="ES542" s="6"/>
      <c r="ET542" s="6"/>
      <c r="EU542" s="6"/>
      <c r="EV542" s="6"/>
      <c r="EW542" s="6"/>
      <c r="EX542" s="6"/>
      <c r="EY542" s="6"/>
      <c r="EZ542" s="6"/>
      <c r="FA542" s="6"/>
      <c r="FB542" s="6"/>
      <c r="FC542" s="6"/>
      <c r="FD542" s="6"/>
      <c r="FE542" s="6"/>
      <c r="FF542" s="6"/>
      <c r="FG542" s="6"/>
      <c r="FH542" s="6"/>
      <c r="FI542" s="6"/>
      <c r="FJ542" s="6"/>
      <c r="FK542" s="6"/>
      <c r="FL542" s="6"/>
      <c r="FM542" s="6"/>
      <c r="FN542" s="6"/>
      <c r="FO542" s="6"/>
      <c r="FP542" s="6"/>
      <c r="FQ542" s="6"/>
      <c r="FR542" s="6"/>
      <c r="FS542" s="6"/>
      <c r="FT542" s="6"/>
      <c r="FU542" s="6"/>
      <c r="FV542" s="6"/>
      <c r="FW542" s="6"/>
      <c r="FX542" s="6"/>
      <c r="FY542" s="6"/>
      <c r="FZ542" s="6"/>
      <c r="GA542" s="6"/>
      <c r="GB542" s="6"/>
      <c r="GC542" s="6"/>
      <c r="GD542" s="6"/>
      <c r="GE542" s="6"/>
      <c r="GF542" s="6"/>
      <c r="GG542" s="6"/>
      <c r="GH542" s="6"/>
      <c r="GI542" s="6"/>
      <c r="GJ542" s="6"/>
      <c r="GK542" s="6"/>
      <c r="GL542" s="6"/>
      <c r="GM542" s="6"/>
      <c r="GN542" s="6"/>
      <c r="GO542" s="6"/>
      <c r="GP542" s="6"/>
      <c r="GQ542" s="6"/>
      <c r="GR542" s="6"/>
      <c r="GS542" s="6"/>
      <c r="GT542" s="6"/>
      <c r="GU542" s="6"/>
      <c r="GV542" s="6"/>
      <c r="GW542" s="6"/>
      <c r="GX542" s="6"/>
      <c r="GY542" s="6"/>
      <c r="GZ542" s="6"/>
      <c r="HA542" s="6"/>
      <c r="HB542" s="6"/>
      <c r="HC542" s="6"/>
      <c r="HD542" s="6"/>
      <c r="HE542" s="6"/>
      <c r="HF542" s="6"/>
      <c r="HG542" s="6"/>
      <c r="HH542" s="6"/>
      <c r="HI542" s="6"/>
      <c r="HJ542" s="6"/>
      <c r="HK542" s="6"/>
      <c r="HL542" s="6"/>
      <c r="HM542" s="6"/>
      <c r="HN542" s="6"/>
      <c r="HO542" s="6"/>
      <c r="HP542" s="6"/>
      <c r="HQ542" s="6"/>
      <c r="HR542" s="6"/>
      <c r="HS542" s="6"/>
      <c r="HT542" s="6"/>
      <c r="HU542" s="6"/>
    </row>
    <row r="543" spans="9:229"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BV543" s="6"/>
      <c r="BW543" s="6"/>
      <c r="BX543" s="6"/>
      <c r="BY543" s="6"/>
      <c r="BZ543" s="6"/>
      <c r="CA543" s="6"/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  <c r="CP543" s="6"/>
      <c r="CQ543" s="6"/>
      <c r="CR543" s="6"/>
      <c r="CS543" s="6"/>
      <c r="CT543" s="6"/>
      <c r="CU543" s="6"/>
      <c r="CV543" s="6"/>
      <c r="CW543" s="6"/>
      <c r="CX543" s="6"/>
      <c r="CY543" s="6"/>
      <c r="CZ543" s="6"/>
      <c r="DA543" s="6"/>
      <c r="DB543" s="6"/>
      <c r="DC543" s="6"/>
      <c r="DD543" s="6"/>
      <c r="DE543" s="6"/>
      <c r="DF543" s="6"/>
      <c r="DG543" s="6"/>
      <c r="DH543" s="6"/>
      <c r="DI543" s="6"/>
      <c r="DJ543" s="6"/>
      <c r="DK543" s="6"/>
      <c r="DL543" s="6"/>
      <c r="DM543" s="6"/>
      <c r="DN543" s="6"/>
      <c r="DO543" s="6"/>
      <c r="DP543" s="6"/>
      <c r="DQ543" s="6"/>
      <c r="DR543" s="6"/>
      <c r="DS543" s="6"/>
      <c r="DT543" s="6"/>
      <c r="DU543" s="6"/>
      <c r="DV543" s="6"/>
      <c r="DW543" s="6"/>
      <c r="DX543" s="6"/>
      <c r="DY543" s="6"/>
      <c r="DZ543" s="6"/>
      <c r="EA543" s="6"/>
      <c r="EB543" s="6"/>
      <c r="EC543" s="6"/>
      <c r="ED543" s="6"/>
      <c r="EE543" s="6"/>
      <c r="EF543" s="6"/>
      <c r="EG543" s="6"/>
      <c r="EH543" s="6"/>
      <c r="EI543" s="6"/>
      <c r="EJ543" s="6"/>
      <c r="EK543" s="6"/>
      <c r="EL543" s="6"/>
      <c r="EM543" s="6"/>
      <c r="EN543" s="6"/>
      <c r="EO543" s="6"/>
      <c r="EP543" s="6"/>
      <c r="EQ543" s="6"/>
      <c r="ER543" s="6"/>
      <c r="ES543" s="6"/>
      <c r="ET543" s="6"/>
      <c r="EU543" s="6"/>
      <c r="EV543" s="6"/>
      <c r="EW543" s="6"/>
      <c r="EX543" s="6"/>
      <c r="EY543" s="6"/>
      <c r="EZ543" s="6"/>
      <c r="FA543" s="6"/>
      <c r="FB543" s="6"/>
      <c r="FC543" s="6"/>
      <c r="FD543" s="6"/>
      <c r="FE543" s="6"/>
      <c r="FF543" s="6"/>
      <c r="FG543" s="6"/>
      <c r="FH543" s="6"/>
      <c r="FI543" s="6"/>
      <c r="FJ543" s="6"/>
      <c r="FK543" s="6"/>
      <c r="FL543" s="6"/>
      <c r="FM543" s="6"/>
      <c r="FN543" s="6"/>
      <c r="FO543" s="6"/>
      <c r="FP543" s="6"/>
      <c r="FQ543" s="6"/>
      <c r="FR543" s="6"/>
      <c r="FS543" s="6"/>
      <c r="FT543" s="6"/>
      <c r="FU543" s="6"/>
      <c r="FV543" s="6"/>
      <c r="FW543" s="6"/>
      <c r="FX543" s="6"/>
      <c r="FY543" s="6"/>
      <c r="FZ543" s="6"/>
      <c r="GA543" s="6"/>
      <c r="GB543" s="6"/>
      <c r="GC543" s="6"/>
      <c r="GD543" s="6"/>
      <c r="GE543" s="6"/>
      <c r="GF543" s="6"/>
      <c r="GG543" s="6"/>
      <c r="GH543" s="6"/>
      <c r="GI543" s="6"/>
      <c r="GJ543" s="6"/>
      <c r="GK543" s="6"/>
      <c r="GL543" s="6"/>
      <c r="GM543" s="6"/>
      <c r="GN543" s="6"/>
      <c r="GO543" s="6"/>
      <c r="GP543" s="6"/>
      <c r="GQ543" s="6"/>
      <c r="GR543" s="6"/>
      <c r="GS543" s="6"/>
      <c r="GT543" s="6"/>
      <c r="GU543" s="6"/>
      <c r="GV543" s="6"/>
      <c r="GW543" s="6"/>
      <c r="GX543" s="6"/>
      <c r="GY543" s="6"/>
      <c r="GZ543" s="6"/>
      <c r="HA543" s="6"/>
      <c r="HB543" s="6"/>
      <c r="HC543" s="6"/>
      <c r="HD543" s="6"/>
      <c r="HE543" s="6"/>
      <c r="HF543" s="6"/>
      <c r="HG543" s="6"/>
      <c r="HH543" s="6"/>
      <c r="HI543" s="6"/>
      <c r="HJ543" s="6"/>
      <c r="HK543" s="6"/>
      <c r="HL543" s="6"/>
      <c r="HM543" s="6"/>
      <c r="HN543" s="6"/>
      <c r="HO543" s="6"/>
      <c r="HP543" s="6"/>
      <c r="HQ543" s="6"/>
      <c r="HR543" s="6"/>
      <c r="HS543" s="6"/>
      <c r="HT543" s="6"/>
      <c r="HU543" s="6"/>
    </row>
    <row r="544" spans="9:229"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BV544" s="6"/>
      <c r="BW544" s="6"/>
      <c r="BX544" s="6"/>
      <c r="BY544" s="6"/>
      <c r="BZ544" s="6"/>
      <c r="CA544" s="6"/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  <c r="CP544" s="6"/>
      <c r="CQ544" s="6"/>
      <c r="CR544" s="6"/>
      <c r="CS544" s="6"/>
      <c r="CT544" s="6"/>
      <c r="CU544" s="6"/>
      <c r="CV544" s="6"/>
      <c r="CW544" s="6"/>
      <c r="CX544" s="6"/>
      <c r="CY544" s="6"/>
      <c r="CZ544" s="6"/>
      <c r="DA544" s="6"/>
      <c r="DB544" s="6"/>
      <c r="DC544" s="6"/>
      <c r="DD544" s="6"/>
      <c r="DE544" s="6"/>
      <c r="DF544" s="6"/>
      <c r="DG544" s="6"/>
      <c r="DH544" s="6"/>
      <c r="DI544" s="6"/>
      <c r="DJ544" s="6"/>
      <c r="DK544" s="6"/>
      <c r="DL544" s="6"/>
      <c r="DM544" s="6"/>
      <c r="DN544" s="6"/>
      <c r="DO544" s="6"/>
      <c r="DP544" s="6"/>
      <c r="DQ544" s="6"/>
      <c r="DR544" s="6"/>
      <c r="DS544" s="6"/>
      <c r="DT544" s="6"/>
      <c r="DU544" s="6"/>
      <c r="DV544" s="6"/>
      <c r="DW544" s="6"/>
      <c r="DX544" s="6"/>
      <c r="DY544" s="6"/>
      <c r="DZ544" s="6"/>
      <c r="EA544" s="6"/>
      <c r="EB544" s="6"/>
      <c r="EC544" s="6"/>
      <c r="ED544" s="6"/>
      <c r="EE544" s="6"/>
      <c r="EF544" s="6"/>
      <c r="EG544" s="6"/>
      <c r="EH544" s="6"/>
      <c r="EI544" s="6"/>
      <c r="EJ544" s="6"/>
      <c r="EK544" s="6"/>
      <c r="EL544" s="6"/>
      <c r="EM544" s="6"/>
      <c r="EN544" s="6"/>
      <c r="EO544" s="6"/>
      <c r="EP544" s="6"/>
      <c r="EQ544" s="6"/>
      <c r="ER544" s="6"/>
      <c r="ES544" s="6"/>
      <c r="ET544" s="6"/>
      <c r="EU544" s="6"/>
      <c r="EV544" s="6"/>
      <c r="EW544" s="6"/>
      <c r="EX544" s="6"/>
      <c r="EY544" s="6"/>
      <c r="EZ544" s="6"/>
      <c r="FA544" s="6"/>
      <c r="FB544" s="6"/>
      <c r="FC544" s="6"/>
      <c r="FD544" s="6"/>
      <c r="FE544" s="6"/>
      <c r="FF544" s="6"/>
      <c r="FG544" s="6"/>
      <c r="FH544" s="6"/>
      <c r="FI544" s="6"/>
      <c r="FJ544" s="6"/>
      <c r="FK544" s="6"/>
      <c r="FL544" s="6"/>
      <c r="FM544" s="6"/>
      <c r="FN544" s="6"/>
      <c r="FO544" s="6"/>
      <c r="FP544" s="6"/>
      <c r="FQ544" s="6"/>
      <c r="FR544" s="6"/>
      <c r="FS544" s="6"/>
      <c r="FT544" s="6"/>
      <c r="FU544" s="6"/>
      <c r="FV544" s="6"/>
      <c r="FW544" s="6"/>
      <c r="FX544" s="6"/>
      <c r="FY544" s="6"/>
      <c r="FZ544" s="6"/>
      <c r="GA544" s="6"/>
      <c r="GB544" s="6"/>
      <c r="GC544" s="6"/>
      <c r="GD544" s="6"/>
      <c r="GE544" s="6"/>
      <c r="GF544" s="6"/>
      <c r="GG544" s="6"/>
      <c r="GH544" s="6"/>
      <c r="GI544" s="6"/>
      <c r="GJ544" s="6"/>
      <c r="GK544" s="6"/>
      <c r="GL544" s="6"/>
      <c r="GM544" s="6"/>
      <c r="GN544" s="6"/>
      <c r="GO544" s="6"/>
      <c r="GP544" s="6"/>
      <c r="GQ544" s="6"/>
      <c r="GR544" s="6"/>
      <c r="GS544" s="6"/>
      <c r="GT544" s="6"/>
      <c r="GU544" s="6"/>
      <c r="GV544" s="6"/>
      <c r="GW544" s="6"/>
      <c r="GX544" s="6"/>
      <c r="GY544" s="6"/>
      <c r="GZ544" s="6"/>
      <c r="HA544" s="6"/>
      <c r="HB544" s="6"/>
      <c r="HC544" s="6"/>
      <c r="HD544" s="6"/>
      <c r="HE544" s="6"/>
      <c r="HF544" s="6"/>
      <c r="HG544" s="6"/>
      <c r="HH544" s="6"/>
      <c r="HI544" s="6"/>
      <c r="HJ544" s="6"/>
      <c r="HK544" s="6"/>
      <c r="HL544" s="6"/>
      <c r="HM544" s="6"/>
      <c r="HN544" s="6"/>
      <c r="HO544" s="6"/>
      <c r="HP544" s="6"/>
      <c r="HQ544" s="6"/>
      <c r="HR544" s="6"/>
      <c r="HS544" s="6"/>
      <c r="HT544" s="6"/>
      <c r="HU544" s="6"/>
    </row>
    <row r="545" spans="9:229"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BV545" s="6"/>
      <c r="BW545" s="6"/>
      <c r="BX545" s="6"/>
      <c r="BY545" s="6"/>
      <c r="BZ545" s="6"/>
      <c r="CA545" s="6"/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  <c r="CP545" s="6"/>
      <c r="CQ545" s="6"/>
      <c r="CR545" s="6"/>
      <c r="CS545" s="6"/>
      <c r="CT545" s="6"/>
      <c r="CU545" s="6"/>
      <c r="CV545" s="6"/>
      <c r="CW545" s="6"/>
      <c r="CX545" s="6"/>
      <c r="CY545" s="6"/>
      <c r="CZ545" s="6"/>
      <c r="DA545" s="6"/>
      <c r="DB545" s="6"/>
      <c r="DC545" s="6"/>
      <c r="DD545" s="6"/>
      <c r="DE545" s="6"/>
      <c r="DF545" s="6"/>
      <c r="DG545" s="6"/>
      <c r="DH545" s="6"/>
      <c r="DI545" s="6"/>
      <c r="DJ545" s="6"/>
      <c r="DK545" s="6"/>
      <c r="DL545" s="6"/>
      <c r="DM545" s="6"/>
      <c r="DN545" s="6"/>
      <c r="DO545" s="6"/>
      <c r="DP545" s="6"/>
      <c r="DQ545" s="6"/>
      <c r="DR545" s="6"/>
      <c r="DS545" s="6"/>
      <c r="DT545" s="6"/>
      <c r="DU545" s="6"/>
      <c r="DV545" s="6"/>
      <c r="DW545" s="6"/>
      <c r="DX545" s="6"/>
      <c r="DY545" s="6"/>
      <c r="DZ545" s="6"/>
      <c r="EA545" s="6"/>
      <c r="EB545" s="6"/>
      <c r="EC545" s="6"/>
      <c r="ED545" s="6"/>
      <c r="EE545" s="6"/>
      <c r="EF545" s="6"/>
      <c r="EG545" s="6"/>
      <c r="EH545" s="6"/>
      <c r="EI545" s="6"/>
      <c r="EJ545" s="6"/>
      <c r="EK545" s="6"/>
      <c r="EL545" s="6"/>
      <c r="EM545" s="6"/>
      <c r="EN545" s="6"/>
      <c r="EO545" s="6"/>
      <c r="EP545" s="6"/>
      <c r="EQ545" s="6"/>
      <c r="ER545" s="6"/>
      <c r="ES545" s="6"/>
      <c r="ET545" s="6"/>
      <c r="EU545" s="6"/>
      <c r="EV545" s="6"/>
      <c r="EW545" s="6"/>
      <c r="EX545" s="6"/>
      <c r="EY545" s="6"/>
      <c r="EZ545" s="6"/>
      <c r="FA545" s="6"/>
      <c r="FB545" s="6"/>
      <c r="FC545" s="6"/>
      <c r="FD545" s="6"/>
      <c r="FE545" s="6"/>
      <c r="FF545" s="6"/>
      <c r="FG545" s="6"/>
      <c r="FH545" s="6"/>
      <c r="FI545" s="6"/>
      <c r="FJ545" s="6"/>
      <c r="FK545" s="6"/>
      <c r="FL545" s="6"/>
      <c r="FM545" s="6"/>
      <c r="FN545" s="6"/>
      <c r="FO545" s="6"/>
      <c r="FP545" s="6"/>
      <c r="FQ545" s="6"/>
      <c r="FR545" s="6"/>
      <c r="FS545" s="6"/>
      <c r="FT545" s="6"/>
      <c r="FU545" s="6"/>
      <c r="FV545" s="6"/>
      <c r="FW545" s="6"/>
      <c r="FX545" s="6"/>
      <c r="FY545" s="6"/>
      <c r="FZ545" s="6"/>
      <c r="GA545" s="6"/>
      <c r="GB545" s="6"/>
      <c r="GC545" s="6"/>
      <c r="GD545" s="6"/>
      <c r="GE545" s="6"/>
      <c r="GF545" s="6"/>
      <c r="GG545" s="6"/>
      <c r="GH545" s="6"/>
      <c r="GI545" s="6"/>
      <c r="GJ545" s="6"/>
      <c r="GK545" s="6"/>
      <c r="GL545" s="6"/>
      <c r="GM545" s="6"/>
      <c r="GN545" s="6"/>
      <c r="GO545" s="6"/>
      <c r="GP545" s="6"/>
      <c r="GQ545" s="6"/>
      <c r="GR545" s="6"/>
      <c r="GS545" s="6"/>
      <c r="GT545" s="6"/>
      <c r="GU545" s="6"/>
      <c r="GV545" s="6"/>
      <c r="GW545" s="6"/>
      <c r="GX545" s="6"/>
      <c r="GY545" s="6"/>
      <c r="GZ545" s="6"/>
      <c r="HA545" s="6"/>
      <c r="HB545" s="6"/>
      <c r="HC545" s="6"/>
      <c r="HD545" s="6"/>
      <c r="HE545" s="6"/>
      <c r="HF545" s="6"/>
      <c r="HG545" s="6"/>
      <c r="HH545" s="6"/>
      <c r="HI545" s="6"/>
      <c r="HJ545" s="6"/>
      <c r="HK545" s="6"/>
      <c r="HL545" s="6"/>
      <c r="HM545" s="6"/>
      <c r="HN545" s="6"/>
      <c r="HO545" s="6"/>
      <c r="HP545" s="6"/>
      <c r="HQ545" s="6"/>
      <c r="HR545" s="6"/>
      <c r="HS545" s="6"/>
      <c r="HT545" s="6"/>
      <c r="HU545" s="6"/>
    </row>
    <row r="546" spans="9:229"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BV546" s="6"/>
      <c r="BW546" s="6"/>
      <c r="BX546" s="6"/>
      <c r="BY546" s="6"/>
      <c r="BZ546" s="6"/>
      <c r="CA546" s="6"/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  <c r="CP546" s="6"/>
      <c r="CQ546" s="6"/>
      <c r="CR546" s="6"/>
      <c r="CS546" s="6"/>
      <c r="CT546" s="6"/>
      <c r="CU546" s="6"/>
      <c r="CV546" s="6"/>
      <c r="CW546" s="6"/>
      <c r="CX546" s="6"/>
      <c r="CY546" s="6"/>
      <c r="CZ546" s="6"/>
      <c r="DA546" s="6"/>
      <c r="DB546" s="6"/>
      <c r="DC546" s="6"/>
      <c r="DD546" s="6"/>
      <c r="DE546" s="6"/>
      <c r="DF546" s="6"/>
      <c r="DG546" s="6"/>
      <c r="DH546" s="6"/>
      <c r="DI546" s="6"/>
      <c r="DJ546" s="6"/>
      <c r="DK546" s="6"/>
      <c r="DL546" s="6"/>
      <c r="DM546" s="6"/>
      <c r="DN546" s="6"/>
      <c r="DO546" s="6"/>
      <c r="DP546" s="6"/>
      <c r="DQ546" s="6"/>
      <c r="DR546" s="6"/>
      <c r="DS546" s="6"/>
      <c r="DT546" s="6"/>
      <c r="DU546" s="6"/>
      <c r="DV546" s="6"/>
      <c r="DW546" s="6"/>
      <c r="DX546" s="6"/>
      <c r="DY546" s="6"/>
      <c r="DZ546" s="6"/>
      <c r="EA546" s="6"/>
      <c r="EB546" s="6"/>
      <c r="EC546" s="6"/>
      <c r="ED546" s="6"/>
      <c r="EE546" s="6"/>
      <c r="EF546" s="6"/>
      <c r="EG546" s="6"/>
      <c r="EH546" s="6"/>
      <c r="EI546" s="6"/>
      <c r="EJ546" s="6"/>
      <c r="EK546" s="6"/>
      <c r="EL546" s="6"/>
      <c r="EM546" s="6"/>
      <c r="EN546" s="6"/>
      <c r="EO546" s="6"/>
      <c r="EP546" s="6"/>
      <c r="EQ546" s="6"/>
      <c r="ER546" s="6"/>
      <c r="ES546" s="6"/>
      <c r="ET546" s="6"/>
      <c r="EU546" s="6"/>
      <c r="EV546" s="6"/>
      <c r="EW546" s="6"/>
      <c r="EX546" s="6"/>
      <c r="EY546" s="6"/>
      <c r="EZ546" s="6"/>
      <c r="FA546" s="6"/>
      <c r="FB546" s="6"/>
      <c r="FC546" s="6"/>
      <c r="FD546" s="6"/>
      <c r="FE546" s="6"/>
      <c r="FF546" s="6"/>
      <c r="FG546" s="6"/>
      <c r="FH546" s="6"/>
      <c r="FI546" s="6"/>
      <c r="FJ546" s="6"/>
      <c r="FK546" s="6"/>
      <c r="FL546" s="6"/>
      <c r="FM546" s="6"/>
      <c r="FN546" s="6"/>
      <c r="FO546" s="6"/>
      <c r="FP546" s="6"/>
      <c r="FQ546" s="6"/>
      <c r="FR546" s="6"/>
      <c r="FS546" s="6"/>
      <c r="FT546" s="6"/>
      <c r="FU546" s="6"/>
      <c r="FV546" s="6"/>
      <c r="FW546" s="6"/>
      <c r="FX546" s="6"/>
      <c r="FY546" s="6"/>
      <c r="FZ546" s="6"/>
      <c r="GA546" s="6"/>
      <c r="GB546" s="6"/>
      <c r="GC546" s="6"/>
      <c r="GD546" s="6"/>
      <c r="GE546" s="6"/>
      <c r="GF546" s="6"/>
      <c r="GG546" s="6"/>
      <c r="GH546" s="6"/>
      <c r="GI546" s="6"/>
      <c r="GJ546" s="6"/>
      <c r="GK546" s="6"/>
      <c r="GL546" s="6"/>
      <c r="GM546" s="6"/>
      <c r="GN546" s="6"/>
      <c r="GO546" s="6"/>
      <c r="GP546" s="6"/>
      <c r="GQ546" s="6"/>
      <c r="GR546" s="6"/>
      <c r="GS546" s="6"/>
      <c r="GT546" s="6"/>
      <c r="GU546" s="6"/>
      <c r="GV546" s="6"/>
      <c r="GW546" s="6"/>
      <c r="GX546" s="6"/>
      <c r="GY546" s="6"/>
      <c r="GZ546" s="6"/>
      <c r="HA546" s="6"/>
      <c r="HB546" s="6"/>
      <c r="HC546" s="6"/>
      <c r="HD546" s="6"/>
      <c r="HE546" s="6"/>
      <c r="HF546" s="6"/>
      <c r="HG546" s="6"/>
      <c r="HH546" s="6"/>
      <c r="HI546" s="6"/>
      <c r="HJ546" s="6"/>
      <c r="HK546" s="6"/>
      <c r="HL546" s="6"/>
      <c r="HM546" s="6"/>
      <c r="HN546" s="6"/>
      <c r="HO546" s="6"/>
      <c r="HP546" s="6"/>
      <c r="HQ546" s="6"/>
      <c r="HR546" s="6"/>
      <c r="HS546" s="6"/>
      <c r="HT546" s="6"/>
      <c r="HU546" s="6"/>
    </row>
    <row r="547" spans="9:229"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BV547" s="6"/>
      <c r="BW547" s="6"/>
      <c r="BX547" s="6"/>
      <c r="BY547" s="6"/>
      <c r="BZ547" s="6"/>
      <c r="CA547" s="6"/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  <c r="CP547" s="6"/>
      <c r="CQ547" s="6"/>
      <c r="CR547" s="6"/>
      <c r="CS547" s="6"/>
      <c r="CT547" s="6"/>
      <c r="CU547" s="6"/>
      <c r="CV547" s="6"/>
      <c r="CW547" s="6"/>
      <c r="CX547" s="6"/>
      <c r="CY547" s="6"/>
      <c r="CZ547" s="6"/>
      <c r="DA547" s="6"/>
      <c r="DB547" s="6"/>
      <c r="DC547" s="6"/>
      <c r="DD547" s="6"/>
      <c r="DE547" s="6"/>
      <c r="DF547" s="6"/>
      <c r="DG547" s="6"/>
      <c r="DH547" s="6"/>
      <c r="DI547" s="6"/>
      <c r="DJ547" s="6"/>
      <c r="DK547" s="6"/>
      <c r="DL547" s="6"/>
      <c r="DM547" s="6"/>
      <c r="DN547" s="6"/>
      <c r="DO547" s="6"/>
      <c r="DP547" s="6"/>
      <c r="DQ547" s="6"/>
      <c r="DR547" s="6"/>
      <c r="DS547" s="6"/>
      <c r="DT547" s="6"/>
      <c r="DU547" s="6"/>
      <c r="DV547" s="6"/>
      <c r="DW547" s="6"/>
      <c r="DX547" s="6"/>
      <c r="DY547" s="6"/>
      <c r="DZ547" s="6"/>
      <c r="EA547" s="6"/>
      <c r="EB547" s="6"/>
      <c r="EC547" s="6"/>
      <c r="ED547" s="6"/>
      <c r="EE547" s="6"/>
      <c r="EF547" s="6"/>
      <c r="EG547" s="6"/>
      <c r="EH547" s="6"/>
      <c r="EI547" s="6"/>
      <c r="EJ547" s="6"/>
      <c r="EK547" s="6"/>
      <c r="EL547" s="6"/>
      <c r="EM547" s="6"/>
      <c r="EN547" s="6"/>
      <c r="EO547" s="6"/>
      <c r="EP547" s="6"/>
      <c r="EQ547" s="6"/>
      <c r="ER547" s="6"/>
      <c r="ES547" s="6"/>
      <c r="ET547" s="6"/>
      <c r="EU547" s="6"/>
      <c r="EV547" s="6"/>
      <c r="EW547" s="6"/>
      <c r="EX547" s="6"/>
      <c r="EY547" s="6"/>
      <c r="EZ547" s="6"/>
      <c r="FA547" s="6"/>
      <c r="FB547" s="6"/>
      <c r="FC547" s="6"/>
      <c r="FD547" s="6"/>
      <c r="FE547" s="6"/>
      <c r="FF547" s="6"/>
      <c r="FG547" s="6"/>
      <c r="FH547" s="6"/>
      <c r="FI547" s="6"/>
      <c r="FJ547" s="6"/>
      <c r="FK547" s="6"/>
      <c r="FL547" s="6"/>
      <c r="FM547" s="6"/>
      <c r="FN547" s="6"/>
      <c r="FO547" s="6"/>
      <c r="FP547" s="6"/>
      <c r="FQ547" s="6"/>
      <c r="FR547" s="6"/>
      <c r="FS547" s="6"/>
      <c r="FT547" s="6"/>
      <c r="FU547" s="6"/>
      <c r="FV547" s="6"/>
      <c r="FW547" s="6"/>
      <c r="FX547" s="6"/>
      <c r="FY547" s="6"/>
      <c r="FZ547" s="6"/>
      <c r="GA547" s="6"/>
      <c r="GB547" s="6"/>
      <c r="GC547" s="6"/>
      <c r="GD547" s="6"/>
      <c r="GE547" s="6"/>
      <c r="GF547" s="6"/>
      <c r="GG547" s="6"/>
      <c r="GH547" s="6"/>
      <c r="GI547" s="6"/>
      <c r="GJ547" s="6"/>
      <c r="GK547" s="6"/>
      <c r="GL547" s="6"/>
      <c r="GM547" s="6"/>
      <c r="GN547" s="6"/>
      <c r="GO547" s="6"/>
      <c r="GP547" s="6"/>
      <c r="GQ547" s="6"/>
      <c r="GR547" s="6"/>
      <c r="GS547" s="6"/>
      <c r="GT547" s="6"/>
      <c r="GU547" s="6"/>
      <c r="GV547" s="6"/>
      <c r="GW547" s="6"/>
      <c r="GX547" s="6"/>
      <c r="GY547" s="6"/>
      <c r="GZ547" s="6"/>
      <c r="HA547" s="6"/>
      <c r="HB547" s="6"/>
      <c r="HC547" s="6"/>
      <c r="HD547" s="6"/>
      <c r="HE547" s="6"/>
      <c r="HF547" s="6"/>
      <c r="HG547" s="6"/>
      <c r="HH547" s="6"/>
      <c r="HI547" s="6"/>
      <c r="HJ547" s="6"/>
      <c r="HK547" s="6"/>
      <c r="HL547" s="6"/>
      <c r="HM547" s="6"/>
      <c r="HN547" s="6"/>
      <c r="HO547" s="6"/>
      <c r="HP547" s="6"/>
      <c r="HQ547" s="6"/>
      <c r="HR547" s="6"/>
      <c r="HS547" s="6"/>
      <c r="HT547" s="6"/>
      <c r="HU547" s="6"/>
    </row>
    <row r="548" spans="9:229"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BV548" s="6"/>
      <c r="BW548" s="6"/>
      <c r="BX548" s="6"/>
      <c r="BY548" s="6"/>
      <c r="BZ548" s="6"/>
      <c r="CA548" s="6"/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  <c r="CP548" s="6"/>
      <c r="CQ548" s="6"/>
      <c r="CR548" s="6"/>
      <c r="CS548" s="6"/>
      <c r="CT548" s="6"/>
      <c r="CU548" s="6"/>
      <c r="CV548" s="6"/>
      <c r="CW548" s="6"/>
      <c r="CX548" s="6"/>
      <c r="CY548" s="6"/>
      <c r="CZ548" s="6"/>
      <c r="DA548" s="6"/>
      <c r="DB548" s="6"/>
      <c r="DC548" s="6"/>
      <c r="DD548" s="6"/>
      <c r="DE548" s="6"/>
      <c r="DF548" s="6"/>
      <c r="DG548" s="6"/>
      <c r="DH548" s="6"/>
      <c r="DI548" s="6"/>
      <c r="DJ548" s="6"/>
      <c r="DK548" s="6"/>
      <c r="DL548" s="6"/>
      <c r="DM548" s="6"/>
      <c r="DN548" s="6"/>
      <c r="DO548" s="6"/>
      <c r="DP548" s="6"/>
      <c r="DQ548" s="6"/>
      <c r="DR548" s="6"/>
      <c r="DS548" s="6"/>
      <c r="DT548" s="6"/>
      <c r="DU548" s="6"/>
      <c r="DV548" s="6"/>
      <c r="DW548" s="6"/>
      <c r="DX548" s="6"/>
      <c r="DY548" s="6"/>
      <c r="DZ548" s="6"/>
      <c r="EA548" s="6"/>
      <c r="EB548" s="6"/>
      <c r="EC548" s="6"/>
      <c r="ED548" s="6"/>
      <c r="EE548" s="6"/>
      <c r="EF548" s="6"/>
      <c r="EG548" s="6"/>
      <c r="EH548" s="6"/>
      <c r="EI548" s="6"/>
      <c r="EJ548" s="6"/>
      <c r="EK548" s="6"/>
      <c r="EL548" s="6"/>
      <c r="EM548" s="6"/>
      <c r="EN548" s="6"/>
      <c r="EO548" s="6"/>
      <c r="EP548" s="6"/>
      <c r="EQ548" s="6"/>
      <c r="ER548" s="6"/>
      <c r="ES548" s="6"/>
      <c r="ET548" s="6"/>
      <c r="EU548" s="6"/>
      <c r="EV548" s="6"/>
      <c r="EW548" s="6"/>
      <c r="EX548" s="6"/>
      <c r="EY548" s="6"/>
      <c r="EZ548" s="6"/>
      <c r="FA548" s="6"/>
      <c r="FB548" s="6"/>
      <c r="FC548" s="6"/>
      <c r="FD548" s="6"/>
      <c r="FE548" s="6"/>
      <c r="FF548" s="6"/>
      <c r="FG548" s="6"/>
      <c r="FH548" s="6"/>
      <c r="FI548" s="6"/>
      <c r="FJ548" s="6"/>
      <c r="FK548" s="6"/>
      <c r="FL548" s="6"/>
      <c r="FM548" s="6"/>
      <c r="FN548" s="6"/>
      <c r="FO548" s="6"/>
      <c r="FP548" s="6"/>
      <c r="FQ548" s="6"/>
      <c r="FR548" s="6"/>
      <c r="FS548" s="6"/>
      <c r="FT548" s="6"/>
      <c r="FU548" s="6"/>
      <c r="FV548" s="6"/>
      <c r="FW548" s="6"/>
      <c r="FX548" s="6"/>
      <c r="FY548" s="6"/>
      <c r="FZ548" s="6"/>
      <c r="GA548" s="6"/>
      <c r="GB548" s="6"/>
      <c r="GC548" s="6"/>
      <c r="GD548" s="6"/>
      <c r="GE548" s="6"/>
      <c r="GF548" s="6"/>
      <c r="GG548" s="6"/>
      <c r="GH548" s="6"/>
      <c r="GI548" s="6"/>
      <c r="GJ548" s="6"/>
      <c r="GK548" s="6"/>
      <c r="GL548" s="6"/>
      <c r="GM548" s="6"/>
      <c r="GN548" s="6"/>
      <c r="GO548" s="6"/>
      <c r="GP548" s="6"/>
      <c r="GQ548" s="6"/>
      <c r="GR548" s="6"/>
      <c r="GS548" s="6"/>
      <c r="GT548" s="6"/>
      <c r="GU548" s="6"/>
      <c r="GV548" s="6"/>
      <c r="GW548" s="6"/>
      <c r="GX548" s="6"/>
      <c r="GY548" s="6"/>
      <c r="GZ548" s="6"/>
      <c r="HA548" s="6"/>
      <c r="HB548" s="6"/>
      <c r="HC548" s="6"/>
      <c r="HD548" s="6"/>
      <c r="HE548" s="6"/>
      <c r="HF548" s="6"/>
      <c r="HG548" s="6"/>
      <c r="HH548" s="6"/>
      <c r="HI548" s="6"/>
      <c r="HJ548" s="6"/>
      <c r="HK548" s="6"/>
      <c r="HL548" s="6"/>
      <c r="HM548" s="6"/>
      <c r="HN548" s="6"/>
      <c r="HO548" s="6"/>
      <c r="HP548" s="6"/>
      <c r="HQ548" s="6"/>
      <c r="HR548" s="6"/>
      <c r="HS548" s="6"/>
      <c r="HT548" s="6"/>
      <c r="HU548" s="6"/>
    </row>
    <row r="549" spans="9:229"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BV549" s="6"/>
      <c r="BW549" s="6"/>
      <c r="BX549" s="6"/>
      <c r="BY549" s="6"/>
      <c r="BZ549" s="6"/>
      <c r="CA549" s="6"/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  <c r="CP549" s="6"/>
      <c r="CQ549" s="6"/>
      <c r="CR549" s="6"/>
      <c r="CS549" s="6"/>
      <c r="CT549" s="6"/>
      <c r="CU549" s="6"/>
      <c r="CV549" s="6"/>
      <c r="CW549" s="6"/>
      <c r="CX549" s="6"/>
      <c r="CY549" s="6"/>
      <c r="CZ549" s="6"/>
      <c r="DA549" s="6"/>
      <c r="DB549" s="6"/>
      <c r="DC549" s="6"/>
      <c r="DD549" s="6"/>
      <c r="DE549" s="6"/>
      <c r="DF549" s="6"/>
      <c r="DG549" s="6"/>
      <c r="DH549" s="6"/>
      <c r="DI549" s="6"/>
      <c r="DJ549" s="6"/>
      <c r="DK549" s="6"/>
      <c r="DL549" s="6"/>
      <c r="DM549" s="6"/>
      <c r="DN549" s="6"/>
      <c r="DO549" s="6"/>
      <c r="DP549" s="6"/>
      <c r="DQ549" s="6"/>
      <c r="DR549" s="6"/>
      <c r="DS549" s="6"/>
      <c r="DT549" s="6"/>
      <c r="DU549" s="6"/>
      <c r="DV549" s="6"/>
      <c r="DW549" s="6"/>
      <c r="DX549" s="6"/>
      <c r="DY549" s="6"/>
      <c r="DZ549" s="6"/>
      <c r="EA549" s="6"/>
      <c r="EB549" s="6"/>
      <c r="EC549" s="6"/>
      <c r="ED549" s="6"/>
      <c r="EE549" s="6"/>
      <c r="EF549" s="6"/>
      <c r="EG549" s="6"/>
      <c r="EH549" s="6"/>
      <c r="EI549" s="6"/>
      <c r="EJ549" s="6"/>
      <c r="EK549" s="6"/>
      <c r="EL549" s="6"/>
      <c r="EM549" s="6"/>
      <c r="EN549" s="6"/>
      <c r="EO549" s="6"/>
      <c r="EP549" s="6"/>
      <c r="EQ549" s="6"/>
      <c r="ER549" s="6"/>
      <c r="ES549" s="6"/>
      <c r="ET549" s="6"/>
      <c r="EU549" s="6"/>
      <c r="EV549" s="6"/>
      <c r="EW549" s="6"/>
      <c r="EX549" s="6"/>
      <c r="EY549" s="6"/>
      <c r="EZ549" s="6"/>
      <c r="FA549" s="6"/>
      <c r="FB549" s="6"/>
      <c r="FC549" s="6"/>
      <c r="FD549" s="6"/>
      <c r="FE549" s="6"/>
      <c r="FF549" s="6"/>
      <c r="FG549" s="6"/>
      <c r="FH549" s="6"/>
      <c r="FI549" s="6"/>
      <c r="FJ549" s="6"/>
      <c r="FK549" s="6"/>
      <c r="FL549" s="6"/>
      <c r="FM549" s="6"/>
      <c r="FN549" s="6"/>
      <c r="FO549" s="6"/>
      <c r="FP549" s="6"/>
      <c r="FQ549" s="6"/>
      <c r="FR549" s="6"/>
      <c r="FS549" s="6"/>
      <c r="FT549" s="6"/>
      <c r="FU549" s="6"/>
      <c r="FV549" s="6"/>
      <c r="FW549" s="6"/>
      <c r="FX549" s="6"/>
      <c r="FY549" s="6"/>
      <c r="FZ549" s="6"/>
      <c r="GA549" s="6"/>
      <c r="GB549" s="6"/>
      <c r="GC549" s="6"/>
      <c r="GD549" s="6"/>
      <c r="GE549" s="6"/>
      <c r="GF549" s="6"/>
      <c r="GG549" s="6"/>
      <c r="GH549" s="6"/>
      <c r="GI549" s="6"/>
      <c r="GJ549" s="6"/>
      <c r="GK549" s="6"/>
      <c r="GL549" s="6"/>
      <c r="GM549" s="6"/>
      <c r="GN549" s="6"/>
      <c r="GO549" s="6"/>
      <c r="GP549" s="6"/>
      <c r="GQ549" s="6"/>
      <c r="GR549" s="6"/>
      <c r="GS549" s="6"/>
      <c r="GT549" s="6"/>
      <c r="GU549" s="6"/>
      <c r="GV549" s="6"/>
      <c r="GW549" s="6"/>
      <c r="GX549" s="6"/>
      <c r="GY549" s="6"/>
      <c r="GZ549" s="6"/>
      <c r="HA549" s="6"/>
      <c r="HB549" s="6"/>
      <c r="HC549" s="6"/>
      <c r="HD549" s="6"/>
      <c r="HE549" s="6"/>
      <c r="HF549" s="6"/>
      <c r="HG549" s="6"/>
      <c r="HH549" s="6"/>
      <c r="HI549" s="6"/>
      <c r="HJ549" s="6"/>
      <c r="HK549" s="6"/>
      <c r="HL549" s="6"/>
      <c r="HM549" s="6"/>
      <c r="HN549" s="6"/>
      <c r="HO549" s="6"/>
      <c r="HP549" s="6"/>
      <c r="HQ549" s="6"/>
      <c r="HR549" s="6"/>
      <c r="HS549" s="6"/>
      <c r="HT549" s="6"/>
      <c r="HU549" s="6"/>
    </row>
    <row r="550" spans="9:229"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BV550" s="6"/>
      <c r="BW550" s="6"/>
      <c r="BX550" s="6"/>
      <c r="BY550" s="6"/>
      <c r="BZ550" s="6"/>
      <c r="CA550" s="6"/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  <c r="CP550" s="6"/>
      <c r="CQ550" s="6"/>
      <c r="CR550" s="6"/>
      <c r="CS550" s="6"/>
      <c r="CT550" s="6"/>
      <c r="CU550" s="6"/>
      <c r="CV550" s="6"/>
      <c r="CW550" s="6"/>
      <c r="CX550" s="6"/>
      <c r="CY550" s="6"/>
      <c r="CZ550" s="6"/>
      <c r="DA550" s="6"/>
      <c r="DB550" s="6"/>
      <c r="DC550" s="6"/>
      <c r="DD550" s="6"/>
      <c r="DE550" s="6"/>
      <c r="DF550" s="6"/>
      <c r="DG550" s="6"/>
      <c r="DH550" s="6"/>
      <c r="DI550" s="6"/>
      <c r="DJ550" s="6"/>
      <c r="DK550" s="6"/>
      <c r="DL550" s="6"/>
      <c r="DM550" s="6"/>
      <c r="DN550" s="6"/>
      <c r="DO550" s="6"/>
      <c r="DP550" s="6"/>
      <c r="DQ550" s="6"/>
      <c r="DR550" s="6"/>
      <c r="DS550" s="6"/>
      <c r="DT550" s="6"/>
      <c r="DU550" s="6"/>
      <c r="DV550" s="6"/>
      <c r="DW550" s="6"/>
      <c r="DX550" s="6"/>
      <c r="DY550" s="6"/>
      <c r="DZ550" s="6"/>
      <c r="EA550" s="6"/>
      <c r="EB550" s="6"/>
      <c r="EC550" s="6"/>
      <c r="ED550" s="6"/>
      <c r="EE550" s="6"/>
      <c r="EF550" s="6"/>
      <c r="EG550" s="6"/>
      <c r="EH550" s="6"/>
      <c r="EI550" s="6"/>
      <c r="EJ550" s="6"/>
      <c r="EK550" s="6"/>
      <c r="EL550" s="6"/>
      <c r="EM550" s="6"/>
      <c r="EN550" s="6"/>
      <c r="EO550" s="6"/>
      <c r="EP550" s="6"/>
      <c r="EQ550" s="6"/>
      <c r="ER550" s="6"/>
      <c r="ES550" s="6"/>
      <c r="ET550" s="6"/>
      <c r="EU550" s="6"/>
      <c r="EV550" s="6"/>
      <c r="EW550" s="6"/>
      <c r="EX550" s="6"/>
      <c r="EY550" s="6"/>
      <c r="EZ550" s="6"/>
      <c r="FA550" s="6"/>
      <c r="FB550" s="6"/>
      <c r="FC550" s="6"/>
      <c r="FD550" s="6"/>
      <c r="FE550" s="6"/>
      <c r="FF550" s="6"/>
      <c r="FG550" s="6"/>
      <c r="FH550" s="6"/>
      <c r="FI550" s="6"/>
      <c r="FJ550" s="6"/>
      <c r="FK550" s="6"/>
      <c r="FL550" s="6"/>
      <c r="FM550" s="6"/>
      <c r="FN550" s="6"/>
      <c r="FO550" s="6"/>
      <c r="FP550" s="6"/>
      <c r="FQ550" s="6"/>
      <c r="FR550" s="6"/>
      <c r="FS550" s="6"/>
      <c r="FT550" s="6"/>
      <c r="FU550" s="6"/>
      <c r="FV550" s="6"/>
      <c r="FW550" s="6"/>
      <c r="FX550" s="6"/>
      <c r="FY550" s="6"/>
      <c r="FZ550" s="6"/>
      <c r="GA550" s="6"/>
      <c r="GB550" s="6"/>
      <c r="GC550" s="6"/>
      <c r="GD550" s="6"/>
      <c r="GE550" s="6"/>
      <c r="GF550" s="6"/>
      <c r="GG550" s="6"/>
      <c r="GH550" s="6"/>
      <c r="GI550" s="6"/>
      <c r="GJ550" s="6"/>
      <c r="GK550" s="6"/>
      <c r="GL550" s="6"/>
      <c r="GM550" s="6"/>
      <c r="GN550" s="6"/>
      <c r="GO550" s="6"/>
      <c r="GP550" s="6"/>
      <c r="GQ550" s="6"/>
      <c r="GR550" s="6"/>
      <c r="GS550" s="6"/>
      <c r="GT550" s="6"/>
      <c r="GU550" s="6"/>
      <c r="GV550" s="6"/>
      <c r="GW550" s="6"/>
      <c r="GX550" s="6"/>
      <c r="GY550" s="6"/>
      <c r="GZ550" s="6"/>
      <c r="HA550" s="6"/>
      <c r="HB550" s="6"/>
      <c r="HC550" s="6"/>
      <c r="HD550" s="6"/>
      <c r="HE550" s="6"/>
      <c r="HF550" s="6"/>
      <c r="HG550" s="6"/>
      <c r="HH550" s="6"/>
      <c r="HI550" s="6"/>
      <c r="HJ550" s="6"/>
      <c r="HK550" s="6"/>
      <c r="HL550" s="6"/>
      <c r="HM550" s="6"/>
      <c r="HN550" s="6"/>
      <c r="HO550" s="6"/>
      <c r="HP550" s="6"/>
      <c r="HQ550" s="6"/>
      <c r="HR550" s="6"/>
      <c r="HS550" s="6"/>
      <c r="HT550" s="6"/>
      <c r="HU550" s="6"/>
    </row>
    <row r="551" spans="9:229"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BV551" s="6"/>
      <c r="BW551" s="6"/>
      <c r="BX551" s="6"/>
      <c r="BY551" s="6"/>
      <c r="BZ551" s="6"/>
      <c r="CA551" s="6"/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  <c r="CP551" s="6"/>
      <c r="CQ551" s="6"/>
      <c r="CR551" s="6"/>
      <c r="CS551" s="6"/>
      <c r="CT551" s="6"/>
      <c r="CU551" s="6"/>
      <c r="CV551" s="6"/>
      <c r="CW551" s="6"/>
      <c r="CX551" s="6"/>
      <c r="CY551" s="6"/>
      <c r="CZ551" s="6"/>
      <c r="DA551" s="6"/>
      <c r="DB551" s="6"/>
      <c r="DC551" s="6"/>
      <c r="DD551" s="6"/>
      <c r="DE551" s="6"/>
      <c r="DF551" s="6"/>
      <c r="DG551" s="6"/>
      <c r="DH551" s="6"/>
      <c r="DI551" s="6"/>
      <c r="DJ551" s="6"/>
      <c r="DK551" s="6"/>
      <c r="DL551" s="6"/>
      <c r="DM551" s="6"/>
      <c r="DN551" s="6"/>
      <c r="DO551" s="6"/>
      <c r="DP551" s="6"/>
      <c r="DQ551" s="6"/>
      <c r="DR551" s="6"/>
      <c r="DS551" s="6"/>
      <c r="DT551" s="6"/>
      <c r="DU551" s="6"/>
      <c r="DV551" s="6"/>
      <c r="DW551" s="6"/>
      <c r="DX551" s="6"/>
      <c r="DY551" s="6"/>
      <c r="DZ551" s="6"/>
      <c r="EA551" s="6"/>
      <c r="EB551" s="6"/>
      <c r="EC551" s="6"/>
      <c r="ED551" s="6"/>
      <c r="EE551" s="6"/>
      <c r="EF551" s="6"/>
      <c r="EG551" s="6"/>
      <c r="EH551" s="6"/>
      <c r="EI551" s="6"/>
      <c r="EJ551" s="6"/>
      <c r="EK551" s="6"/>
      <c r="EL551" s="6"/>
      <c r="EM551" s="6"/>
      <c r="EN551" s="6"/>
      <c r="EO551" s="6"/>
      <c r="EP551" s="6"/>
      <c r="EQ551" s="6"/>
      <c r="ER551" s="6"/>
      <c r="ES551" s="6"/>
      <c r="ET551" s="6"/>
      <c r="EU551" s="6"/>
      <c r="EV551" s="6"/>
      <c r="EW551" s="6"/>
      <c r="EX551" s="6"/>
      <c r="EY551" s="6"/>
      <c r="EZ551" s="6"/>
      <c r="FA551" s="6"/>
      <c r="FB551" s="6"/>
      <c r="FC551" s="6"/>
      <c r="FD551" s="6"/>
      <c r="FE551" s="6"/>
      <c r="FF551" s="6"/>
      <c r="FG551" s="6"/>
      <c r="FH551" s="6"/>
      <c r="FI551" s="6"/>
      <c r="FJ551" s="6"/>
      <c r="FK551" s="6"/>
      <c r="FL551" s="6"/>
      <c r="FM551" s="6"/>
      <c r="FN551" s="6"/>
      <c r="FO551" s="6"/>
      <c r="FP551" s="6"/>
      <c r="FQ551" s="6"/>
      <c r="FR551" s="6"/>
      <c r="FS551" s="6"/>
      <c r="FT551" s="6"/>
      <c r="FU551" s="6"/>
      <c r="FV551" s="6"/>
      <c r="FW551" s="6"/>
      <c r="FX551" s="6"/>
      <c r="FY551" s="6"/>
      <c r="FZ551" s="6"/>
      <c r="GA551" s="6"/>
      <c r="GB551" s="6"/>
      <c r="GC551" s="6"/>
      <c r="GD551" s="6"/>
      <c r="GE551" s="6"/>
      <c r="GF551" s="6"/>
      <c r="GG551" s="6"/>
      <c r="GH551" s="6"/>
      <c r="GI551" s="6"/>
      <c r="GJ551" s="6"/>
      <c r="GK551" s="6"/>
      <c r="GL551" s="6"/>
      <c r="GM551" s="6"/>
      <c r="GN551" s="6"/>
      <c r="GO551" s="6"/>
      <c r="GP551" s="6"/>
      <c r="GQ551" s="6"/>
      <c r="GR551" s="6"/>
      <c r="GS551" s="6"/>
      <c r="GT551" s="6"/>
      <c r="GU551" s="6"/>
      <c r="GV551" s="6"/>
      <c r="GW551" s="6"/>
      <c r="GX551" s="6"/>
      <c r="GY551" s="6"/>
      <c r="GZ551" s="6"/>
      <c r="HA551" s="6"/>
      <c r="HB551" s="6"/>
      <c r="HC551" s="6"/>
      <c r="HD551" s="6"/>
      <c r="HE551" s="6"/>
      <c r="HF551" s="6"/>
      <c r="HG551" s="6"/>
      <c r="HH551" s="6"/>
      <c r="HI551" s="6"/>
      <c r="HJ551" s="6"/>
      <c r="HK551" s="6"/>
      <c r="HL551" s="6"/>
      <c r="HM551" s="6"/>
      <c r="HN551" s="6"/>
      <c r="HO551" s="6"/>
      <c r="HP551" s="6"/>
      <c r="HQ551" s="6"/>
      <c r="HR551" s="6"/>
      <c r="HS551" s="6"/>
      <c r="HT551" s="6"/>
      <c r="HU551" s="6"/>
    </row>
    <row r="552" spans="9:229"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BV552" s="6"/>
      <c r="BW552" s="6"/>
      <c r="BX552" s="6"/>
      <c r="BY552" s="6"/>
      <c r="BZ552" s="6"/>
      <c r="CA552" s="6"/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  <c r="CP552" s="6"/>
      <c r="CQ552" s="6"/>
      <c r="CR552" s="6"/>
      <c r="CS552" s="6"/>
      <c r="CT552" s="6"/>
      <c r="CU552" s="6"/>
      <c r="CV552" s="6"/>
      <c r="CW552" s="6"/>
      <c r="CX552" s="6"/>
      <c r="CY552" s="6"/>
      <c r="CZ552" s="6"/>
      <c r="DA552" s="6"/>
      <c r="DB552" s="6"/>
      <c r="DC552" s="6"/>
      <c r="DD552" s="6"/>
      <c r="DE552" s="6"/>
      <c r="DF552" s="6"/>
      <c r="DG552" s="6"/>
      <c r="DH552" s="6"/>
      <c r="DI552" s="6"/>
      <c r="DJ552" s="6"/>
      <c r="DK552" s="6"/>
      <c r="DL552" s="6"/>
      <c r="DM552" s="6"/>
      <c r="DN552" s="6"/>
      <c r="DO552" s="6"/>
      <c r="DP552" s="6"/>
      <c r="DQ552" s="6"/>
      <c r="DR552" s="6"/>
      <c r="DS552" s="6"/>
      <c r="DT552" s="6"/>
      <c r="DU552" s="6"/>
      <c r="DV552" s="6"/>
      <c r="DW552" s="6"/>
      <c r="DX552" s="6"/>
      <c r="DY552" s="6"/>
      <c r="DZ552" s="6"/>
      <c r="EA552" s="6"/>
      <c r="EB552" s="6"/>
      <c r="EC552" s="6"/>
      <c r="ED552" s="6"/>
      <c r="EE552" s="6"/>
      <c r="EF552" s="6"/>
      <c r="EG552" s="6"/>
      <c r="EH552" s="6"/>
      <c r="EI552" s="6"/>
      <c r="EJ552" s="6"/>
      <c r="EK552" s="6"/>
      <c r="EL552" s="6"/>
      <c r="EM552" s="6"/>
      <c r="EN552" s="6"/>
      <c r="EO552" s="6"/>
      <c r="EP552" s="6"/>
      <c r="EQ552" s="6"/>
      <c r="ER552" s="6"/>
      <c r="ES552" s="6"/>
      <c r="ET552" s="6"/>
      <c r="EU552" s="6"/>
      <c r="EV552" s="6"/>
      <c r="EW552" s="6"/>
      <c r="EX552" s="6"/>
      <c r="EY552" s="6"/>
      <c r="EZ552" s="6"/>
      <c r="FA552" s="6"/>
      <c r="FB552" s="6"/>
      <c r="FC552" s="6"/>
      <c r="FD552" s="6"/>
      <c r="FE552" s="6"/>
      <c r="FF552" s="6"/>
      <c r="FG552" s="6"/>
      <c r="FH552" s="6"/>
      <c r="FI552" s="6"/>
      <c r="FJ552" s="6"/>
      <c r="FK552" s="6"/>
      <c r="FL552" s="6"/>
      <c r="FM552" s="6"/>
      <c r="FN552" s="6"/>
      <c r="FO552" s="6"/>
      <c r="FP552" s="6"/>
      <c r="FQ552" s="6"/>
      <c r="FR552" s="6"/>
      <c r="FS552" s="6"/>
      <c r="FT552" s="6"/>
      <c r="FU552" s="6"/>
      <c r="FV552" s="6"/>
      <c r="FW552" s="6"/>
      <c r="FX552" s="6"/>
      <c r="FY552" s="6"/>
      <c r="FZ552" s="6"/>
      <c r="GA552" s="6"/>
      <c r="GB552" s="6"/>
      <c r="GC552" s="6"/>
      <c r="GD552" s="6"/>
      <c r="GE552" s="6"/>
      <c r="GF552" s="6"/>
      <c r="GG552" s="6"/>
      <c r="GH552" s="6"/>
      <c r="GI552" s="6"/>
      <c r="GJ552" s="6"/>
      <c r="GK552" s="6"/>
      <c r="GL552" s="6"/>
      <c r="GM552" s="6"/>
      <c r="GN552" s="6"/>
      <c r="GO552" s="6"/>
      <c r="GP552" s="6"/>
      <c r="GQ552" s="6"/>
      <c r="GR552" s="6"/>
      <c r="GS552" s="6"/>
      <c r="GT552" s="6"/>
      <c r="GU552" s="6"/>
      <c r="GV552" s="6"/>
      <c r="GW552" s="6"/>
      <c r="GX552" s="6"/>
      <c r="GY552" s="6"/>
      <c r="GZ552" s="6"/>
      <c r="HA552" s="6"/>
      <c r="HB552" s="6"/>
      <c r="HC552" s="6"/>
      <c r="HD552" s="6"/>
      <c r="HE552" s="6"/>
      <c r="HF552" s="6"/>
      <c r="HG552" s="6"/>
      <c r="HH552" s="6"/>
      <c r="HI552" s="6"/>
      <c r="HJ552" s="6"/>
      <c r="HK552" s="6"/>
      <c r="HL552" s="6"/>
      <c r="HM552" s="6"/>
      <c r="HN552" s="6"/>
      <c r="HO552" s="6"/>
      <c r="HP552" s="6"/>
      <c r="HQ552" s="6"/>
      <c r="HR552" s="6"/>
      <c r="HS552" s="6"/>
      <c r="HT552" s="6"/>
      <c r="HU552" s="6"/>
    </row>
    <row r="553" spans="9:229"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BV553" s="6"/>
      <c r="BW553" s="6"/>
      <c r="BX553" s="6"/>
      <c r="BY553" s="6"/>
      <c r="BZ553" s="6"/>
      <c r="CA553" s="6"/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  <c r="CP553" s="6"/>
      <c r="CQ553" s="6"/>
      <c r="CR553" s="6"/>
      <c r="CS553" s="6"/>
      <c r="CT553" s="6"/>
      <c r="CU553" s="6"/>
      <c r="CV553" s="6"/>
      <c r="CW553" s="6"/>
      <c r="CX553" s="6"/>
      <c r="CY553" s="6"/>
      <c r="CZ553" s="6"/>
      <c r="DA553" s="6"/>
      <c r="DB553" s="6"/>
      <c r="DC553" s="6"/>
      <c r="DD553" s="6"/>
      <c r="DE553" s="6"/>
      <c r="DF553" s="6"/>
      <c r="DG553" s="6"/>
      <c r="DH553" s="6"/>
      <c r="DI553" s="6"/>
      <c r="DJ553" s="6"/>
      <c r="DK553" s="6"/>
      <c r="DL553" s="6"/>
      <c r="DM553" s="6"/>
      <c r="DN553" s="6"/>
      <c r="DO553" s="6"/>
      <c r="DP553" s="6"/>
      <c r="DQ553" s="6"/>
      <c r="DR553" s="6"/>
      <c r="DS553" s="6"/>
      <c r="DT553" s="6"/>
      <c r="DU553" s="6"/>
      <c r="DV553" s="6"/>
      <c r="DW553" s="6"/>
      <c r="DX553" s="6"/>
      <c r="DY553" s="6"/>
      <c r="DZ553" s="6"/>
      <c r="EA553" s="6"/>
      <c r="EB553" s="6"/>
      <c r="EC553" s="6"/>
      <c r="ED553" s="6"/>
      <c r="EE553" s="6"/>
      <c r="EF553" s="6"/>
      <c r="EG553" s="6"/>
      <c r="EH553" s="6"/>
      <c r="EI553" s="6"/>
      <c r="EJ553" s="6"/>
      <c r="EK553" s="6"/>
      <c r="EL553" s="6"/>
      <c r="EM553" s="6"/>
      <c r="EN553" s="6"/>
      <c r="EO553" s="6"/>
      <c r="EP553" s="6"/>
      <c r="EQ553" s="6"/>
      <c r="ER553" s="6"/>
      <c r="ES553" s="6"/>
      <c r="ET553" s="6"/>
      <c r="EU553" s="6"/>
      <c r="EV553" s="6"/>
      <c r="EW553" s="6"/>
      <c r="EX553" s="6"/>
      <c r="EY553" s="6"/>
      <c r="EZ553" s="6"/>
      <c r="FA553" s="6"/>
      <c r="FB553" s="6"/>
      <c r="FC553" s="6"/>
      <c r="FD553" s="6"/>
      <c r="FE553" s="6"/>
      <c r="FF553" s="6"/>
      <c r="FG553" s="6"/>
      <c r="FH553" s="6"/>
      <c r="FI553" s="6"/>
      <c r="FJ553" s="6"/>
      <c r="FK553" s="6"/>
      <c r="FL553" s="6"/>
      <c r="FM553" s="6"/>
      <c r="FN553" s="6"/>
      <c r="FO553" s="6"/>
      <c r="FP553" s="6"/>
      <c r="FQ553" s="6"/>
      <c r="FR553" s="6"/>
      <c r="FS553" s="6"/>
      <c r="FT553" s="6"/>
      <c r="FU553" s="6"/>
      <c r="FV553" s="6"/>
      <c r="FW553" s="6"/>
      <c r="FX553" s="6"/>
      <c r="FY553" s="6"/>
      <c r="FZ553" s="6"/>
      <c r="GA553" s="6"/>
      <c r="GB553" s="6"/>
      <c r="GC553" s="6"/>
      <c r="GD553" s="6"/>
      <c r="GE553" s="6"/>
      <c r="GF553" s="6"/>
      <c r="GG553" s="6"/>
      <c r="GH553" s="6"/>
      <c r="GI553" s="6"/>
      <c r="GJ553" s="6"/>
      <c r="GK553" s="6"/>
      <c r="GL553" s="6"/>
      <c r="GM553" s="6"/>
      <c r="GN553" s="6"/>
      <c r="GO553" s="6"/>
      <c r="GP553" s="6"/>
      <c r="GQ553" s="6"/>
      <c r="GR553" s="6"/>
      <c r="GS553" s="6"/>
      <c r="GT553" s="6"/>
      <c r="GU553" s="6"/>
      <c r="GV553" s="6"/>
      <c r="GW553" s="6"/>
      <c r="GX553" s="6"/>
      <c r="GY553" s="6"/>
      <c r="GZ553" s="6"/>
      <c r="HA553" s="6"/>
      <c r="HB553" s="6"/>
      <c r="HC553" s="6"/>
      <c r="HD553" s="6"/>
      <c r="HE553" s="6"/>
      <c r="HF553" s="6"/>
      <c r="HG553" s="6"/>
      <c r="HH553" s="6"/>
      <c r="HI553" s="6"/>
      <c r="HJ553" s="6"/>
      <c r="HK553" s="6"/>
      <c r="HL553" s="6"/>
      <c r="HM553" s="6"/>
      <c r="HN553" s="6"/>
      <c r="HO553" s="6"/>
      <c r="HP553" s="6"/>
      <c r="HQ553" s="6"/>
      <c r="HR553" s="6"/>
      <c r="HS553" s="6"/>
      <c r="HT553" s="6"/>
      <c r="HU553" s="6"/>
    </row>
    <row r="554" spans="9:229"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BV554" s="6"/>
      <c r="BW554" s="6"/>
      <c r="BX554" s="6"/>
      <c r="BY554" s="6"/>
      <c r="BZ554" s="6"/>
      <c r="CA554" s="6"/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  <c r="CP554" s="6"/>
      <c r="CQ554" s="6"/>
      <c r="CR554" s="6"/>
      <c r="CS554" s="6"/>
      <c r="CT554" s="6"/>
      <c r="CU554" s="6"/>
      <c r="CV554" s="6"/>
      <c r="CW554" s="6"/>
      <c r="CX554" s="6"/>
      <c r="CY554" s="6"/>
      <c r="CZ554" s="6"/>
      <c r="DA554" s="6"/>
      <c r="DB554" s="6"/>
      <c r="DC554" s="6"/>
      <c r="DD554" s="6"/>
      <c r="DE554" s="6"/>
      <c r="DF554" s="6"/>
      <c r="DG554" s="6"/>
      <c r="DH554" s="6"/>
      <c r="DI554" s="6"/>
      <c r="DJ554" s="6"/>
      <c r="DK554" s="6"/>
      <c r="DL554" s="6"/>
      <c r="DM554" s="6"/>
      <c r="DN554" s="6"/>
      <c r="DO554" s="6"/>
      <c r="DP554" s="6"/>
      <c r="DQ554" s="6"/>
      <c r="DR554" s="6"/>
      <c r="DS554" s="6"/>
      <c r="DT554" s="6"/>
      <c r="DU554" s="6"/>
      <c r="DV554" s="6"/>
      <c r="DW554" s="6"/>
      <c r="DX554" s="6"/>
      <c r="DY554" s="6"/>
      <c r="DZ554" s="6"/>
      <c r="EA554" s="6"/>
      <c r="EB554" s="6"/>
      <c r="EC554" s="6"/>
      <c r="ED554" s="6"/>
      <c r="EE554" s="6"/>
      <c r="EF554" s="6"/>
      <c r="EG554" s="6"/>
      <c r="EH554" s="6"/>
      <c r="EI554" s="6"/>
      <c r="EJ554" s="6"/>
      <c r="EK554" s="6"/>
      <c r="EL554" s="6"/>
      <c r="EM554" s="6"/>
      <c r="EN554" s="6"/>
      <c r="EO554" s="6"/>
      <c r="EP554" s="6"/>
      <c r="EQ554" s="6"/>
      <c r="ER554" s="6"/>
      <c r="ES554" s="6"/>
      <c r="ET554" s="6"/>
      <c r="EU554" s="6"/>
      <c r="EV554" s="6"/>
      <c r="EW554" s="6"/>
      <c r="EX554" s="6"/>
      <c r="EY554" s="6"/>
      <c r="EZ554" s="6"/>
      <c r="FA554" s="6"/>
      <c r="FB554" s="6"/>
      <c r="FC554" s="6"/>
      <c r="FD554" s="6"/>
      <c r="FE554" s="6"/>
      <c r="FF554" s="6"/>
      <c r="FG554" s="6"/>
      <c r="FH554" s="6"/>
      <c r="FI554" s="6"/>
      <c r="FJ554" s="6"/>
      <c r="FK554" s="6"/>
      <c r="FL554" s="6"/>
      <c r="FM554" s="6"/>
      <c r="FN554" s="6"/>
      <c r="FO554" s="6"/>
      <c r="FP554" s="6"/>
      <c r="FQ554" s="6"/>
      <c r="FR554" s="6"/>
      <c r="FS554" s="6"/>
      <c r="FT554" s="6"/>
      <c r="FU554" s="6"/>
      <c r="FV554" s="6"/>
      <c r="FW554" s="6"/>
      <c r="FX554" s="6"/>
      <c r="FY554" s="6"/>
      <c r="FZ554" s="6"/>
      <c r="GA554" s="6"/>
      <c r="GB554" s="6"/>
      <c r="GC554" s="6"/>
      <c r="GD554" s="6"/>
      <c r="GE554" s="6"/>
      <c r="GF554" s="6"/>
      <c r="GG554" s="6"/>
      <c r="GH554" s="6"/>
      <c r="GI554" s="6"/>
      <c r="GJ554" s="6"/>
      <c r="GK554" s="6"/>
      <c r="GL554" s="6"/>
      <c r="GM554" s="6"/>
      <c r="GN554" s="6"/>
      <c r="GO554" s="6"/>
      <c r="GP554" s="6"/>
      <c r="GQ554" s="6"/>
      <c r="GR554" s="6"/>
      <c r="GS554" s="6"/>
      <c r="GT554" s="6"/>
      <c r="GU554" s="6"/>
      <c r="GV554" s="6"/>
      <c r="GW554" s="6"/>
      <c r="GX554" s="6"/>
      <c r="GY554" s="6"/>
      <c r="GZ554" s="6"/>
      <c r="HA554" s="6"/>
      <c r="HB554" s="6"/>
      <c r="HC554" s="6"/>
      <c r="HD554" s="6"/>
      <c r="HE554" s="6"/>
      <c r="HF554" s="6"/>
      <c r="HG554" s="6"/>
      <c r="HH554" s="6"/>
      <c r="HI554" s="6"/>
      <c r="HJ554" s="6"/>
      <c r="HK554" s="6"/>
      <c r="HL554" s="6"/>
      <c r="HM554" s="6"/>
      <c r="HN554" s="6"/>
      <c r="HO554" s="6"/>
      <c r="HP554" s="6"/>
      <c r="HQ554" s="6"/>
      <c r="HR554" s="6"/>
      <c r="HS554" s="6"/>
      <c r="HT554" s="6"/>
      <c r="HU554" s="6"/>
    </row>
    <row r="555" spans="9:229"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BV555" s="6"/>
      <c r="BW555" s="6"/>
      <c r="BX555" s="6"/>
      <c r="BY555" s="6"/>
      <c r="BZ555" s="6"/>
      <c r="CA555" s="6"/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  <c r="CP555" s="6"/>
      <c r="CQ555" s="6"/>
      <c r="CR555" s="6"/>
      <c r="CS555" s="6"/>
      <c r="CT555" s="6"/>
      <c r="CU555" s="6"/>
      <c r="CV555" s="6"/>
      <c r="CW555" s="6"/>
      <c r="CX555" s="6"/>
      <c r="CY555" s="6"/>
      <c r="CZ555" s="6"/>
      <c r="DA555" s="6"/>
      <c r="DB555" s="6"/>
      <c r="DC555" s="6"/>
      <c r="DD555" s="6"/>
      <c r="DE555" s="6"/>
      <c r="DF555" s="6"/>
      <c r="DG555" s="6"/>
      <c r="DH555" s="6"/>
      <c r="DI555" s="6"/>
      <c r="DJ555" s="6"/>
      <c r="DK555" s="6"/>
      <c r="DL555" s="6"/>
      <c r="DM555" s="6"/>
      <c r="DN555" s="6"/>
      <c r="DO555" s="6"/>
      <c r="DP555" s="6"/>
      <c r="DQ555" s="6"/>
      <c r="DR555" s="6"/>
      <c r="DS555" s="6"/>
      <c r="DT555" s="6"/>
      <c r="DU555" s="6"/>
      <c r="DV555" s="6"/>
      <c r="DW555" s="6"/>
      <c r="DX555" s="6"/>
      <c r="DY555" s="6"/>
      <c r="DZ555" s="6"/>
      <c r="EA555" s="6"/>
      <c r="EB555" s="6"/>
      <c r="EC555" s="6"/>
      <c r="ED555" s="6"/>
      <c r="EE555" s="6"/>
      <c r="EF555" s="6"/>
      <c r="EG555" s="6"/>
      <c r="EH555" s="6"/>
      <c r="EI555" s="6"/>
      <c r="EJ555" s="6"/>
      <c r="EK555" s="6"/>
      <c r="EL555" s="6"/>
      <c r="EM555" s="6"/>
      <c r="EN555" s="6"/>
      <c r="EO555" s="6"/>
      <c r="EP555" s="6"/>
      <c r="EQ555" s="6"/>
      <c r="ER555" s="6"/>
      <c r="ES555" s="6"/>
      <c r="ET555" s="6"/>
      <c r="EU555" s="6"/>
      <c r="EV555" s="6"/>
      <c r="EW555" s="6"/>
      <c r="EX555" s="6"/>
      <c r="EY555" s="6"/>
      <c r="EZ555" s="6"/>
      <c r="FA555" s="6"/>
      <c r="FB555" s="6"/>
      <c r="FC555" s="6"/>
      <c r="FD555" s="6"/>
      <c r="FE555" s="6"/>
      <c r="FF555" s="6"/>
      <c r="FG555" s="6"/>
      <c r="FH555" s="6"/>
      <c r="FI555" s="6"/>
      <c r="FJ555" s="6"/>
      <c r="FK555" s="6"/>
      <c r="FL555" s="6"/>
      <c r="FM555" s="6"/>
      <c r="FN555" s="6"/>
      <c r="FO555" s="6"/>
      <c r="FP555" s="6"/>
      <c r="FQ555" s="6"/>
      <c r="FR555" s="6"/>
      <c r="FS555" s="6"/>
      <c r="FT555" s="6"/>
      <c r="FU555" s="6"/>
      <c r="FV555" s="6"/>
      <c r="FW555" s="6"/>
      <c r="FX555" s="6"/>
      <c r="FY555" s="6"/>
      <c r="FZ555" s="6"/>
      <c r="GA555" s="6"/>
      <c r="GB555" s="6"/>
      <c r="GC555" s="6"/>
      <c r="GD555" s="6"/>
      <c r="GE555" s="6"/>
      <c r="GF555" s="6"/>
      <c r="GG555" s="6"/>
      <c r="GH555" s="6"/>
      <c r="GI555" s="6"/>
      <c r="GJ555" s="6"/>
      <c r="GK555" s="6"/>
      <c r="GL555" s="6"/>
      <c r="GM555" s="6"/>
      <c r="GN555" s="6"/>
      <c r="GO555" s="6"/>
      <c r="GP555" s="6"/>
      <c r="GQ555" s="6"/>
      <c r="GR555" s="6"/>
      <c r="GS555" s="6"/>
      <c r="GT555" s="6"/>
      <c r="GU555" s="6"/>
      <c r="GV555" s="6"/>
      <c r="GW555" s="6"/>
      <c r="GX555" s="6"/>
      <c r="GY555" s="6"/>
      <c r="GZ555" s="6"/>
      <c r="HA555" s="6"/>
      <c r="HB555" s="6"/>
      <c r="HC555" s="6"/>
      <c r="HD555" s="6"/>
      <c r="HE555" s="6"/>
      <c r="HF555" s="6"/>
      <c r="HG555" s="6"/>
      <c r="HH555" s="6"/>
      <c r="HI555" s="6"/>
      <c r="HJ555" s="6"/>
      <c r="HK555" s="6"/>
      <c r="HL555" s="6"/>
      <c r="HM555" s="6"/>
      <c r="HN555" s="6"/>
      <c r="HO555" s="6"/>
      <c r="HP555" s="6"/>
      <c r="HQ555" s="6"/>
      <c r="HR555" s="6"/>
      <c r="HS555" s="6"/>
      <c r="HT555" s="6"/>
      <c r="HU555" s="6"/>
    </row>
    <row r="556" spans="9:229"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BV556" s="6"/>
      <c r="BW556" s="6"/>
      <c r="BX556" s="6"/>
      <c r="BY556" s="6"/>
      <c r="BZ556" s="6"/>
      <c r="CA556" s="6"/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  <c r="CP556" s="6"/>
      <c r="CQ556" s="6"/>
      <c r="CR556" s="6"/>
      <c r="CS556" s="6"/>
      <c r="CT556" s="6"/>
      <c r="CU556" s="6"/>
      <c r="CV556" s="6"/>
      <c r="CW556" s="6"/>
      <c r="CX556" s="6"/>
      <c r="CY556" s="6"/>
      <c r="CZ556" s="6"/>
      <c r="DA556" s="6"/>
      <c r="DB556" s="6"/>
      <c r="DC556" s="6"/>
      <c r="DD556" s="6"/>
      <c r="DE556" s="6"/>
      <c r="DF556" s="6"/>
      <c r="DG556" s="6"/>
      <c r="DH556" s="6"/>
      <c r="DI556" s="6"/>
      <c r="DJ556" s="6"/>
      <c r="DK556" s="6"/>
      <c r="DL556" s="6"/>
      <c r="DM556" s="6"/>
      <c r="DN556" s="6"/>
      <c r="DO556" s="6"/>
      <c r="DP556" s="6"/>
      <c r="DQ556" s="6"/>
      <c r="DR556" s="6"/>
      <c r="DS556" s="6"/>
      <c r="DT556" s="6"/>
      <c r="DU556" s="6"/>
      <c r="DV556" s="6"/>
      <c r="DW556" s="6"/>
      <c r="DX556" s="6"/>
      <c r="DY556" s="6"/>
      <c r="DZ556" s="6"/>
      <c r="EA556" s="6"/>
      <c r="EB556" s="6"/>
      <c r="EC556" s="6"/>
      <c r="ED556" s="6"/>
      <c r="EE556" s="6"/>
      <c r="EF556" s="6"/>
      <c r="EG556" s="6"/>
      <c r="EH556" s="6"/>
      <c r="EI556" s="6"/>
      <c r="EJ556" s="6"/>
      <c r="EK556" s="6"/>
      <c r="EL556" s="6"/>
      <c r="EM556" s="6"/>
      <c r="EN556" s="6"/>
      <c r="EO556" s="6"/>
      <c r="EP556" s="6"/>
      <c r="EQ556" s="6"/>
      <c r="ER556" s="6"/>
      <c r="ES556" s="6"/>
      <c r="ET556" s="6"/>
      <c r="EU556" s="6"/>
      <c r="EV556" s="6"/>
      <c r="EW556" s="6"/>
      <c r="EX556" s="6"/>
      <c r="EY556" s="6"/>
      <c r="EZ556" s="6"/>
      <c r="FA556" s="6"/>
      <c r="FB556" s="6"/>
      <c r="FC556" s="6"/>
      <c r="FD556" s="6"/>
      <c r="FE556" s="6"/>
      <c r="FF556" s="6"/>
      <c r="FG556" s="6"/>
      <c r="FH556" s="6"/>
      <c r="FI556" s="6"/>
      <c r="FJ556" s="6"/>
      <c r="FK556" s="6"/>
      <c r="FL556" s="6"/>
      <c r="FM556" s="6"/>
      <c r="FN556" s="6"/>
      <c r="FO556" s="6"/>
      <c r="FP556" s="6"/>
      <c r="FQ556" s="6"/>
      <c r="FR556" s="6"/>
      <c r="FS556" s="6"/>
      <c r="FT556" s="6"/>
      <c r="FU556" s="6"/>
      <c r="FV556" s="6"/>
      <c r="FW556" s="6"/>
      <c r="FX556" s="6"/>
      <c r="FY556" s="6"/>
      <c r="FZ556" s="6"/>
      <c r="GA556" s="6"/>
      <c r="GB556" s="6"/>
      <c r="GC556" s="6"/>
      <c r="GD556" s="6"/>
      <c r="GE556" s="6"/>
      <c r="GF556" s="6"/>
      <c r="GG556" s="6"/>
      <c r="GH556" s="6"/>
      <c r="GI556" s="6"/>
      <c r="GJ556" s="6"/>
      <c r="GK556" s="6"/>
      <c r="GL556" s="6"/>
      <c r="GM556" s="6"/>
      <c r="GN556" s="6"/>
      <c r="GO556" s="6"/>
      <c r="GP556" s="6"/>
      <c r="GQ556" s="6"/>
      <c r="GR556" s="6"/>
      <c r="GS556" s="6"/>
      <c r="GT556" s="6"/>
      <c r="GU556" s="6"/>
      <c r="GV556" s="6"/>
      <c r="GW556" s="6"/>
      <c r="GX556" s="6"/>
      <c r="GY556" s="6"/>
      <c r="GZ556" s="6"/>
      <c r="HA556" s="6"/>
      <c r="HB556" s="6"/>
      <c r="HC556" s="6"/>
      <c r="HD556" s="6"/>
      <c r="HE556" s="6"/>
      <c r="HF556" s="6"/>
      <c r="HG556" s="6"/>
      <c r="HH556" s="6"/>
      <c r="HI556" s="6"/>
      <c r="HJ556" s="6"/>
      <c r="HK556" s="6"/>
      <c r="HL556" s="6"/>
      <c r="HM556" s="6"/>
      <c r="HN556" s="6"/>
      <c r="HO556" s="6"/>
      <c r="HP556" s="6"/>
      <c r="HQ556" s="6"/>
      <c r="HR556" s="6"/>
      <c r="HS556" s="6"/>
      <c r="HT556" s="6"/>
      <c r="HU556" s="6"/>
    </row>
    <row r="557" spans="9:229"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BV557" s="6"/>
      <c r="BW557" s="6"/>
      <c r="BX557" s="6"/>
      <c r="BY557" s="6"/>
      <c r="BZ557" s="6"/>
      <c r="CA557" s="6"/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  <c r="CP557" s="6"/>
      <c r="CQ557" s="6"/>
      <c r="CR557" s="6"/>
      <c r="CS557" s="6"/>
      <c r="CT557" s="6"/>
      <c r="CU557" s="6"/>
      <c r="CV557" s="6"/>
      <c r="CW557" s="6"/>
      <c r="CX557" s="6"/>
      <c r="CY557" s="6"/>
      <c r="CZ557" s="6"/>
      <c r="DA557" s="6"/>
      <c r="DB557" s="6"/>
      <c r="DC557" s="6"/>
      <c r="DD557" s="6"/>
      <c r="DE557" s="6"/>
      <c r="DF557" s="6"/>
      <c r="DG557" s="6"/>
      <c r="DH557" s="6"/>
      <c r="DI557" s="6"/>
      <c r="DJ557" s="6"/>
      <c r="DK557" s="6"/>
      <c r="DL557" s="6"/>
      <c r="DM557" s="6"/>
      <c r="DN557" s="6"/>
      <c r="DO557" s="6"/>
      <c r="DP557" s="6"/>
      <c r="DQ557" s="6"/>
      <c r="DR557" s="6"/>
      <c r="DS557" s="6"/>
      <c r="DT557" s="6"/>
      <c r="DU557" s="6"/>
      <c r="DV557" s="6"/>
      <c r="DW557" s="6"/>
      <c r="DX557" s="6"/>
      <c r="DY557" s="6"/>
      <c r="DZ557" s="6"/>
      <c r="EA557" s="6"/>
      <c r="EB557" s="6"/>
      <c r="EC557" s="6"/>
      <c r="ED557" s="6"/>
      <c r="EE557" s="6"/>
      <c r="EF557" s="6"/>
      <c r="EG557" s="6"/>
      <c r="EH557" s="6"/>
      <c r="EI557" s="6"/>
      <c r="EJ557" s="6"/>
      <c r="EK557" s="6"/>
      <c r="EL557" s="6"/>
      <c r="EM557" s="6"/>
      <c r="EN557" s="6"/>
      <c r="EO557" s="6"/>
      <c r="EP557" s="6"/>
      <c r="EQ557" s="6"/>
      <c r="ER557" s="6"/>
      <c r="ES557" s="6"/>
      <c r="ET557" s="6"/>
      <c r="EU557" s="6"/>
      <c r="EV557" s="6"/>
      <c r="EW557" s="6"/>
      <c r="EX557" s="6"/>
      <c r="EY557" s="6"/>
      <c r="EZ557" s="6"/>
      <c r="FA557" s="6"/>
      <c r="FB557" s="6"/>
      <c r="FC557" s="6"/>
      <c r="FD557" s="6"/>
      <c r="FE557" s="6"/>
      <c r="FF557" s="6"/>
      <c r="FG557" s="6"/>
      <c r="FH557" s="6"/>
      <c r="FI557" s="6"/>
      <c r="FJ557" s="6"/>
      <c r="FK557" s="6"/>
      <c r="FL557" s="6"/>
      <c r="FM557" s="6"/>
      <c r="FN557" s="6"/>
      <c r="FO557" s="6"/>
      <c r="FP557" s="6"/>
      <c r="FQ557" s="6"/>
      <c r="FR557" s="6"/>
      <c r="FS557" s="6"/>
      <c r="FT557" s="6"/>
      <c r="FU557" s="6"/>
      <c r="FV557" s="6"/>
      <c r="FW557" s="6"/>
      <c r="FX557" s="6"/>
      <c r="FY557" s="6"/>
      <c r="FZ557" s="6"/>
      <c r="GA557" s="6"/>
      <c r="GB557" s="6"/>
      <c r="GC557" s="6"/>
      <c r="GD557" s="6"/>
      <c r="GE557" s="6"/>
      <c r="GF557" s="6"/>
      <c r="GG557" s="6"/>
      <c r="GH557" s="6"/>
      <c r="GI557" s="6"/>
      <c r="GJ557" s="6"/>
      <c r="GK557" s="6"/>
      <c r="GL557" s="6"/>
      <c r="GM557" s="6"/>
      <c r="GN557" s="6"/>
      <c r="GO557" s="6"/>
      <c r="GP557" s="6"/>
      <c r="GQ557" s="6"/>
      <c r="GR557" s="6"/>
      <c r="GS557" s="6"/>
      <c r="GT557" s="6"/>
      <c r="GU557" s="6"/>
      <c r="GV557" s="6"/>
      <c r="GW557" s="6"/>
      <c r="GX557" s="6"/>
      <c r="GY557" s="6"/>
      <c r="GZ557" s="6"/>
      <c r="HA557" s="6"/>
      <c r="HB557" s="6"/>
      <c r="HC557" s="6"/>
      <c r="HD557" s="6"/>
      <c r="HE557" s="6"/>
      <c r="HF557" s="6"/>
      <c r="HG557" s="6"/>
      <c r="HH557" s="6"/>
      <c r="HI557" s="6"/>
      <c r="HJ557" s="6"/>
      <c r="HK557" s="6"/>
      <c r="HL557" s="6"/>
      <c r="HM557" s="6"/>
      <c r="HN557" s="6"/>
      <c r="HO557" s="6"/>
      <c r="HP557" s="6"/>
      <c r="HQ557" s="6"/>
      <c r="HR557" s="6"/>
      <c r="HS557" s="6"/>
      <c r="HT557" s="6"/>
      <c r="HU557" s="6"/>
    </row>
    <row r="558" spans="9:229"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BV558" s="6"/>
      <c r="BW558" s="6"/>
      <c r="BX558" s="6"/>
      <c r="BY558" s="6"/>
      <c r="BZ558" s="6"/>
      <c r="CA558" s="6"/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  <c r="CP558" s="6"/>
      <c r="CQ558" s="6"/>
      <c r="CR558" s="6"/>
      <c r="CS558" s="6"/>
      <c r="CT558" s="6"/>
      <c r="CU558" s="6"/>
      <c r="CV558" s="6"/>
      <c r="CW558" s="6"/>
      <c r="CX558" s="6"/>
      <c r="CY558" s="6"/>
      <c r="CZ558" s="6"/>
      <c r="DA558" s="6"/>
      <c r="DB558" s="6"/>
      <c r="DC558" s="6"/>
      <c r="DD558" s="6"/>
      <c r="DE558" s="6"/>
      <c r="DF558" s="6"/>
      <c r="DG558" s="6"/>
      <c r="DH558" s="6"/>
      <c r="DI558" s="6"/>
      <c r="DJ558" s="6"/>
      <c r="DK558" s="6"/>
      <c r="DL558" s="6"/>
      <c r="DM558" s="6"/>
      <c r="DN558" s="6"/>
      <c r="DO558" s="6"/>
      <c r="DP558" s="6"/>
      <c r="DQ558" s="6"/>
      <c r="DR558" s="6"/>
      <c r="DS558" s="6"/>
      <c r="DT558" s="6"/>
      <c r="DU558" s="6"/>
      <c r="DV558" s="6"/>
      <c r="DW558" s="6"/>
      <c r="DX558" s="6"/>
      <c r="DY558" s="6"/>
      <c r="DZ558" s="6"/>
      <c r="EA558" s="6"/>
      <c r="EB558" s="6"/>
      <c r="EC558" s="6"/>
      <c r="ED558" s="6"/>
      <c r="EE558" s="6"/>
      <c r="EF558" s="6"/>
      <c r="EG558" s="6"/>
      <c r="EH558" s="6"/>
      <c r="EI558" s="6"/>
      <c r="EJ558" s="6"/>
      <c r="EK558" s="6"/>
      <c r="EL558" s="6"/>
      <c r="EM558" s="6"/>
      <c r="EN558" s="6"/>
      <c r="EO558" s="6"/>
      <c r="EP558" s="6"/>
      <c r="EQ558" s="6"/>
      <c r="ER558" s="6"/>
      <c r="ES558" s="6"/>
      <c r="ET558" s="6"/>
      <c r="EU558" s="6"/>
      <c r="EV558" s="6"/>
      <c r="EW558" s="6"/>
      <c r="EX558" s="6"/>
      <c r="EY558" s="6"/>
      <c r="EZ558" s="6"/>
      <c r="FA558" s="6"/>
      <c r="FB558" s="6"/>
      <c r="FC558" s="6"/>
      <c r="FD558" s="6"/>
      <c r="FE558" s="6"/>
      <c r="FF558" s="6"/>
      <c r="FG558" s="6"/>
      <c r="FH558" s="6"/>
      <c r="FI558" s="6"/>
      <c r="FJ558" s="6"/>
      <c r="FK558" s="6"/>
      <c r="FL558" s="6"/>
      <c r="FM558" s="6"/>
      <c r="FN558" s="6"/>
      <c r="FO558" s="6"/>
      <c r="FP558" s="6"/>
      <c r="FQ558" s="6"/>
      <c r="FR558" s="6"/>
      <c r="FS558" s="6"/>
      <c r="FT558" s="6"/>
      <c r="FU558" s="6"/>
      <c r="FV558" s="6"/>
      <c r="FW558" s="6"/>
      <c r="FX558" s="6"/>
      <c r="FY558" s="6"/>
      <c r="FZ558" s="6"/>
      <c r="GA558" s="6"/>
      <c r="GB558" s="6"/>
      <c r="GC558" s="6"/>
      <c r="GD558" s="6"/>
      <c r="GE558" s="6"/>
      <c r="GF558" s="6"/>
      <c r="GG558" s="6"/>
      <c r="GH558" s="6"/>
      <c r="GI558" s="6"/>
      <c r="GJ558" s="6"/>
      <c r="GK558" s="6"/>
      <c r="GL558" s="6"/>
      <c r="GM558" s="6"/>
      <c r="GN558" s="6"/>
      <c r="GO558" s="6"/>
      <c r="GP558" s="6"/>
      <c r="GQ558" s="6"/>
      <c r="GR558" s="6"/>
      <c r="GS558" s="6"/>
      <c r="GT558" s="6"/>
      <c r="GU558" s="6"/>
      <c r="GV558" s="6"/>
      <c r="GW558" s="6"/>
      <c r="GX558" s="6"/>
      <c r="GY558" s="6"/>
      <c r="GZ558" s="6"/>
      <c r="HA558" s="6"/>
      <c r="HB558" s="6"/>
      <c r="HC558" s="6"/>
      <c r="HD558" s="6"/>
      <c r="HE558" s="6"/>
      <c r="HF558" s="6"/>
      <c r="HG558" s="6"/>
      <c r="HH558" s="6"/>
      <c r="HI558" s="6"/>
      <c r="HJ558" s="6"/>
      <c r="HK558" s="6"/>
      <c r="HL558" s="6"/>
      <c r="HM558" s="6"/>
      <c r="HN558" s="6"/>
      <c r="HO558" s="6"/>
      <c r="HP558" s="6"/>
      <c r="HQ558" s="6"/>
      <c r="HR558" s="6"/>
      <c r="HS558" s="6"/>
      <c r="HT558" s="6"/>
      <c r="HU558" s="6"/>
    </row>
    <row r="559" spans="9:229"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BV559" s="6"/>
      <c r="BW559" s="6"/>
      <c r="BX559" s="6"/>
      <c r="BY559" s="6"/>
      <c r="BZ559" s="6"/>
      <c r="CA559" s="6"/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  <c r="CP559" s="6"/>
      <c r="CQ559" s="6"/>
      <c r="CR559" s="6"/>
      <c r="CS559" s="6"/>
      <c r="CT559" s="6"/>
      <c r="CU559" s="6"/>
      <c r="CV559" s="6"/>
      <c r="CW559" s="6"/>
      <c r="CX559" s="6"/>
      <c r="CY559" s="6"/>
      <c r="CZ559" s="6"/>
      <c r="DA559" s="6"/>
      <c r="DB559" s="6"/>
      <c r="DC559" s="6"/>
      <c r="DD559" s="6"/>
      <c r="DE559" s="6"/>
      <c r="DF559" s="6"/>
      <c r="DG559" s="6"/>
      <c r="DH559" s="6"/>
      <c r="DI559" s="6"/>
      <c r="DJ559" s="6"/>
      <c r="DK559" s="6"/>
      <c r="DL559" s="6"/>
      <c r="DM559" s="6"/>
      <c r="DN559" s="6"/>
      <c r="DO559" s="6"/>
      <c r="DP559" s="6"/>
      <c r="DQ559" s="6"/>
      <c r="DR559" s="6"/>
      <c r="DS559" s="6"/>
      <c r="DT559" s="6"/>
      <c r="DU559" s="6"/>
      <c r="DV559" s="6"/>
      <c r="DW559" s="6"/>
      <c r="DX559" s="6"/>
      <c r="DY559" s="6"/>
      <c r="DZ559" s="6"/>
      <c r="EA559" s="6"/>
      <c r="EB559" s="6"/>
      <c r="EC559" s="6"/>
      <c r="ED559" s="6"/>
      <c r="EE559" s="6"/>
      <c r="EF559" s="6"/>
      <c r="EG559" s="6"/>
      <c r="EH559" s="6"/>
      <c r="EI559" s="6"/>
      <c r="EJ559" s="6"/>
      <c r="EK559" s="6"/>
      <c r="EL559" s="6"/>
      <c r="EM559" s="6"/>
      <c r="EN559" s="6"/>
      <c r="EO559" s="6"/>
      <c r="EP559" s="6"/>
      <c r="EQ559" s="6"/>
      <c r="ER559" s="6"/>
      <c r="ES559" s="6"/>
      <c r="ET559" s="6"/>
      <c r="EU559" s="6"/>
      <c r="EV559" s="6"/>
      <c r="EW559" s="6"/>
      <c r="EX559" s="6"/>
      <c r="EY559" s="6"/>
      <c r="EZ559" s="6"/>
      <c r="FA559" s="6"/>
      <c r="FB559" s="6"/>
      <c r="FC559" s="6"/>
      <c r="FD559" s="6"/>
      <c r="FE559" s="6"/>
      <c r="FF559" s="6"/>
      <c r="FG559" s="6"/>
      <c r="FH559" s="6"/>
      <c r="FI559" s="6"/>
      <c r="FJ559" s="6"/>
      <c r="FK559" s="6"/>
      <c r="FL559" s="6"/>
      <c r="FM559" s="6"/>
      <c r="FN559" s="6"/>
      <c r="FO559" s="6"/>
      <c r="FP559" s="6"/>
      <c r="FQ559" s="6"/>
      <c r="FR559" s="6"/>
      <c r="FS559" s="6"/>
      <c r="FT559" s="6"/>
      <c r="FU559" s="6"/>
      <c r="FV559" s="6"/>
      <c r="FW559" s="6"/>
      <c r="FX559" s="6"/>
      <c r="FY559" s="6"/>
      <c r="FZ559" s="6"/>
      <c r="GA559" s="6"/>
      <c r="GB559" s="6"/>
      <c r="GC559" s="6"/>
      <c r="GD559" s="6"/>
      <c r="GE559" s="6"/>
      <c r="GF559" s="6"/>
      <c r="GG559" s="6"/>
      <c r="GH559" s="6"/>
      <c r="GI559" s="6"/>
      <c r="GJ559" s="6"/>
      <c r="GK559" s="6"/>
      <c r="GL559" s="6"/>
      <c r="GM559" s="6"/>
      <c r="GN559" s="6"/>
      <c r="GO559" s="6"/>
      <c r="GP559" s="6"/>
      <c r="GQ559" s="6"/>
      <c r="GR559" s="6"/>
      <c r="GS559" s="6"/>
      <c r="GT559" s="6"/>
      <c r="GU559" s="6"/>
      <c r="GV559" s="6"/>
      <c r="GW559" s="6"/>
      <c r="GX559" s="6"/>
      <c r="GY559" s="6"/>
      <c r="GZ559" s="6"/>
      <c r="HA559" s="6"/>
      <c r="HB559" s="6"/>
      <c r="HC559" s="6"/>
      <c r="HD559" s="6"/>
      <c r="HE559" s="6"/>
      <c r="HF559" s="6"/>
      <c r="HG559" s="6"/>
      <c r="HH559" s="6"/>
      <c r="HI559" s="6"/>
      <c r="HJ559" s="6"/>
      <c r="HK559" s="6"/>
      <c r="HL559" s="6"/>
      <c r="HM559" s="6"/>
      <c r="HN559" s="6"/>
      <c r="HO559" s="6"/>
      <c r="HP559" s="6"/>
      <c r="HQ559" s="6"/>
      <c r="HR559" s="6"/>
      <c r="HS559" s="6"/>
      <c r="HT559" s="6"/>
      <c r="HU559" s="6"/>
    </row>
    <row r="560" spans="9:229"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BV560" s="6"/>
      <c r="BW560" s="6"/>
      <c r="BX560" s="6"/>
      <c r="BY560" s="6"/>
      <c r="BZ560" s="6"/>
      <c r="CA560" s="6"/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  <c r="CP560" s="6"/>
      <c r="CQ560" s="6"/>
      <c r="CR560" s="6"/>
      <c r="CS560" s="6"/>
      <c r="CT560" s="6"/>
      <c r="CU560" s="6"/>
      <c r="CV560" s="6"/>
      <c r="CW560" s="6"/>
      <c r="CX560" s="6"/>
      <c r="CY560" s="6"/>
      <c r="CZ560" s="6"/>
      <c r="DA560" s="6"/>
      <c r="DB560" s="6"/>
      <c r="DC560" s="6"/>
      <c r="DD560" s="6"/>
      <c r="DE560" s="6"/>
      <c r="DF560" s="6"/>
      <c r="DG560" s="6"/>
      <c r="DH560" s="6"/>
      <c r="DI560" s="6"/>
      <c r="DJ560" s="6"/>
      <c r="DK560" s="6"/>
      <c r="DL560" s="6"/>
      <c r="DM560" s="6"/>
      <c r="DN560" s="6"/>
      <c r="DO560" s="6"/>
      <c r="DP560" s="6"/>
      <c r="DQ560" s="6"/>
      <c r="DR560" s="6"/>
      <c r="DS560" s="6"/>
      <c r="DT560" s="6"/>
      <c r="DU560" s="6"/>
      <c r="DV560" s="6"/>
      <c r="DW560" s="6"/>
      <c r="DX560" s="6"/>
      <c r="DY560" s="6"/>
      <c r="DZ560" s="6"/>
      <c r="EA560" s="6"/>
      <c r="EB560" s="6"/>
      <c r="EC560" s="6"/>
      <c r="ED560" s="6"/>
      <c r="EE560" s="6"/>
      <c r="EF560" s="6"/>
      <c r="EG560" s="6"/>
      <c r="EH560" s="6"/>
      <c r="EI560" s="6"/>
      <c r="EJ560" s="6"/>
      <c r="EK560" s="6"/>
      <c r="EL560" s="6"/>
      <c r="EM560" s="6"/>
      <c r="EN560" s="6"/>
      <c r="EO560" s="6"/>
      <c r="EP560" s="6"/>
      <c r="EQ560" s="6"/>
      <c r="ER560" s="6"/>
      <c r="ES560" s="6"/>
      <c r="ET560" s="6"/>
      <c r="EU560" s="6"/>
      <c r="EV560" s="6"/>
      <c r="EW560" s="6"/>
      <c r="EX560" s="6"/>
      <c r="EY560" s="6"/>
      <c r="EZ560" s="6"/>
      <c r="FA560" s="6"/>
      <c r="FB560" s="6"/>
      <c r="FC560" s="6"/>
      <c r="FD560" s="6"/>
      <c r="FE560" s="6"/>
      <c r="FF560" s="6"/>
      <c r="FG560" s="6"/>
      <c r="FH560" s="6"/>
      <c r="FI560" s="6"/>
      <c r="FJ560" s="6"/>
      <c r="FK560" s="6"/>
      <c r="FL560" s="6"/>
      <c r="FM560" s="6"/>
      <c r="FN560" s="6"/>
      <c r="FO560" s="6"/>
      <c r="FP560" s="6"/>
      <c r="FQ560" s="6"/>
      <c r="FR560" s="6"/>
      <c r="FS560" s="6"/>
      <c r="FT560" s="6"/>
      <c r="FU560" s="6"/>
      <c r="FV560" s="6"/>
      <c r="FW560" s="6"/>
      <c r="FX560" s="6"/>
      <c r="FY560" s="6"/>
      <c r="FZ560" s="6"/>
      <c r="GA560" s="6"/>
      <c r="GB560" s="6"/>
      <c r="GC560" s="6"/>
      <c r="GD560" s="6"/>
      <c r="GE560" s="6"/>
      <c r="GF560" s="6"/>
      <c r="GG560" s="6"/>
      <c r="GH560" s="6"/>
      <c r="GI560" s="6"/>
      <c r="GJ560" s="6"/>
      <c r="GK560" s="6"/>
      <c r="GL560" s="6"/>
      <c r="GM560" s="6"/>
      <c r="GN560" s="6"/>
      <c r="GO560" s="6"/>
      <c r="GP560" s="6"/>
      <c r="GQ560" s="6"/>
      <c r="GR560" s="6"/>
      <c r="GS560" s="6"/>
      <c r="GT560" s="6"/>
      <c r="GU560" s="6"/>
      <c r="GV560" s="6"/>
      <c r="GW560" s="6"/>
      <c r="GX560" s="6"/>
      <c r="GY560" s="6"/>
      <c r="GZ560" s="6"/>
      <c r="HA560" s="6"/>
      <c r="HB560" s="6"/>
      <c r="HC560" s="6"/>
      <c r="HD560" s="6"/>
      <c r="HE560" s="6"/>
      <c r="HF560" s="6"/>
      <c r="HG560" s="6"/>
      <c r="HH560" s="6"/>
      <c r="HI560" s="6"/>
      <c r="HJ560" s="6"/>
      <c r="HK560" s="6"/>
      <c r="HL560" s="6"/>
      <c r="HM560" s="6"/>
      <c r="HN560" s="6"/>
      <c r="HO560" s="6"/>
      <c r="HP560" s="6"/>
      <c r="HQ560" s="6"/>
      <c r="HR560" s="6"/>
      <c r="HS560" s="6"/>
      <c r="HT560" s="6"/>
      <c r="HU560" s="6"/>
    </row>
    <row r="561" spans="9:229"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BV561" s="6"/>
      <c r="BW561" s="6"/>
      <c r="BX561" s="6"/>
      <c r="BY561" s="6"/>
      <c r="BZ561" s="6"/>
      <c r="CA561" s="6"/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  <c r="CP561" s="6"/>
      <c r="CQ561" s="6"/>
      <c r="CR561" s="6"/>
      <c r="CS561" s="6"/>
      <c r="CT561" s="6"/>
      <c r="CU561" s="6"/>
      <c r="CV561" s="6"/>
      <c r="CW561" s="6"/>
      <c r="CX561" s="6"/>
      <c r="CY561" s="6"/>
      <c r="CZ561" s="6"/>
      <c r="DA561" s="6"/>
      <c r="DB561" s="6"/>
      <c r="DC561" s="6"/>
      <c r="DD561" s="6"/>
      <c r="DE561" s="6"/>
      <c r="DF561" s="6"/>
      <c r="DG561" s="6"/>
      <c r="DH561" s="6"/>
      <c r="DI561" s="6"/>
      <c r="DJ561" s="6"/>
      <c r="DK561" s="6"/>
      <c r="DL561" s="6"/>
      <c r="DM561" s="6"/>
      <c r="DN561" s="6"/>
      <c r="DO561" s="6"/>
      <c r="DP561" s="6"/>
      <c r="DQ561" s="6"/>
      <c r="DR561" s="6"/>
      <c r="DS561" s="6"/>
      <c r="DT561" s="6"/>
      <c r="DU561" s="6"/>
      <c r="DV561" s="6"/>
      <c r="DW561" s="6"/>
      <c r="DX561" s="6"/>
      <c r="DY561" s="6"/>
      <c r="DZ561" s="6"/>
      <c r="EA561" s="6"/>
      <c r="EB561" s="6"/>
      <c r="EC561" s="6"/>
      <c r="ED561" s="6"/>
      <c r="EE561" s="6"/>
      <c r="EF561" s="6"/>
      <c r="EG561" s="6"/>
      <c r="EH561" s="6"/>
      <c r="EI561" s="6"/>
      <c r="EJ561" s="6"/>
      <c r="EK561" s="6"/>
      <c r="EL561" s="6"/>
      <c r="EM561" s="6"/>
      <c r="EN561" s="6"/>
      <c r="EO561" s="6"/>
      <c r="EP561" s="6"/>
      <c r="EQ561" s="6"/>
      <c r="ER561" s="6"/>
      <c r="ES561" s="6"/>
      <c r="ET561" s="6"/>
      <c r="EU561" s="6"/>
      <c r="EV561" s="6"/>
      <c r="EW561" s="6"/>
      <c r="EX561" s="6"/>
      <c r="EY561" s="6"/>
      <c r="EZ561" s="6"/>
      <c r="FA561" s="6"/>
      <c r="FB561" s="6"/>
      <c r="FC561" s="6"/>
      <c r="FD561" s="6"/>
      <c r="FE561" s="6"/>
      <c r="FF561" s="6"/>
      <c r="FG561" s="6"/>
      <c r="FH561" s="6"/>
      <c r="FI561" s="6"/>
      <c r="FJ561" s="6"/>
      <c r="FK561" s="6"/>
      <c r="FL561" s="6"/>
      <c r="FM561" s="6"/>
      <c r="FN561" s="6"/>
      <c r="FO561" s="6"/>
      <c r="FP561" s="6"/>
      <c r="FQ561" s="6"/>
      <c r="FR561" s="6"/>
      <c r="FS561" s="6"/>
      <c r="FT561" s="6"/>
      <c r="FU561" s="6"/>
      <c r="FV561" s="6"/>
      <c r="FW561" s="6"/>
      <c r="FX561" s="6"/>
      <c r="FY561" s="6"/>
      <c r="FZ561" s="6"/>
      <c r="GA561" s="6"/>
      <c r="GB561" s="6"/>
      <c r="GC561" s="6"/>
      <c r="GD561" s="6"/>
      <c r="GE561" s="6"/>
      <c r="GF561" s="6"/>
      <c r="GG561" s="6"/>
      <c r="GH561" s="6"/>
      <c r="GI561" s="6"/>
      <c r="GJ561" s="6"/>
      <c r="GK561" s="6"/>
      <c r="GL561" s="6"/>
      <c r="GM561" s="6"/>
      <c r="GN561" s="6"/>
      <c r="GO561" s="6"/>
      <c r="GP561" s="6"/>
      <c r="GQ561" s="6"/>
      <c r="GR561" s="6"/>
      <c r="GS561" s="6"/>
      <c r="GT561" s="6"/>
      <c r="GU561" s="6"/>
      <c r="GV561" s="6"/>
      <c r="GW561" s="6"/>
      <c r="GX561" s="6"/>
      <c r="GY561" s="6"/>
      <c r="GZ561" s="6"/>
      <c r="HA561" s="6"/>
      <c r="HB561" s="6"/>
      <c r="HC561" s="6"/>
      <c r="HD561" s="6"/>
      <c r="HE561" s="6"/>
      <c r="HF561" s="6"/>
      <c r="HG561" s="6"/>
      <c r="HH561" s="6"/>
      <c r="HI561" s="6"/>
      <c r="HJ561" s="6"/>
      <c r="HK561" s="6"/>
      <c r="HL561" s="6"/>
      <c r="HM561" s="6"/>
      <c r="HN561" s="6"/>
      <c r="HO561" s="6"/>
      <c r="HP561" s="6"/>
      <c r="HQ561" s="6"/>
      <c r="HR561" s="6"/>
      <c r="HS561" s="6"/>
      <c r="HT561" s="6"/>
      <c r="HU561" s="6"/>
    </row>
    <row r="562" spans="9:229"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BV562" s="6"/>
      <c r="BW562" s="6"/>
      <c r="BX562" s="6"/>
      <c r="BY562" s="6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  <c r="CP562" s="6"/>
      <c r="CQ562" s="6"/>
      <c r="CR562" s="6"/>
      <c r="CS562" s="6"/>
      <c r="CT562" s="6"/>
      <c r="CU562" s="6"/>
      <c r="CV562" s="6"/>
      <c r="CW562" s="6"/>
      <c r="CX562" s="6"/>
      <c r="CY562" s="6"/>
      <c r="CZ562" s="6"/>
      <c r="DA562" s="6"/>
      <c r="DB562" s="6"/>
      <c r="DC562" s="6"/>
      <c r="DD562" s="6"/>
      <c r="DE562" s="6"/>
      <c r="DF562" s="6"/>
      <c r="DG562" s="6"/>
      <c r="DH562" s="6"/>
      <c r="DI562" s="6"/>
      <c r="DJ562" s="6"/>
      <c r="DK562" s="6"/>
      <c r="DL562" s="6"/>
      <c r="DM562" s="6"/>
      <c r="DN562" s="6"/>
      <c r="DO562" s="6"/>
      <c r="DP562" s="6"/>
      <c r="DQ562" s="6"/>
      <c r="DR562" s="6"/>
      <c r="DS562" s="6"/>
      <c r="DT562" s="6"/>
      <c r="DU562" s="6"/>
      <c r="DV562" s="6"/>
      <c r="DW562" s="6"/>
      <c r="DX562" s="6"/>
      <c r="DY562" s="6"/>
      <c r="DZ562" s="6"/>
      <c r="EA562" s="6"/>
      <c r="EB562" s="6"/>
      <c r="EC562" s="6"/>
      <c r="ED562" s="6"/>
      <c r="EE562" s="6"/>
      <c r="EF562" s="6"/>
      <c r="EG562" s="6"/>
      <c r="EH562" s="6"/>
      <c r="EI562" s="6"/>
      <c r="EJ562" s="6"/>
      <c r="EK562" s="6"/>
      <c r="EL562" s="6"/>
      <c r="EM562" s="6"/>
      <c r="EN562" s="6"/>
      <c r="EO562" s="6"/>
      <c r="EP562" s="6"/>
      <c r="EQ562" s="6"/>
      <c r="ER562" s="6"/>
      <c r="ES562" s="6"/>
      <c r="ET562" s="6"/>
      <c r="EU562" s="6"/>
      <c r="EV562" s="6"/>
      <c r="EW562" s="6"/>
      <c r="EX562" s="6"/>
      <c r="EY562" s="6"/>
      <c r="EZ562" s="6"/>
      <c r="FA562" s="6"/>
      <c r="FB562" s="6"/>
      <c r="FC562" s="6"/>
      <c r="FD562" s="6"/>
      <c r="FE562" s="6"/>
      <c r="FF562" s="6"/>
      <c r="FG562" s="6"/>
      <c r="FH562" s="6"/>
      <c r="FI562" s="6"/>
      <c r="FJ562" s="6"/>
      <c r="FK562" s="6"/>
      <c r="FL562" s="6"/>
      <c r="FM562" s="6"/>
      <c r="FN562" s="6"/>
      <c r="FO562" s="6"/>
      <c r="FP562" s="6"/>
      <c r="FQ562" s="6"/>
      <c r="FR562" s="6"/>
      <c r="FS562" s="6"/>
      <c r="FT562" s="6"/>
      <c r="FU562" s="6"/>
      <c r="FV562" s="6"/>
      <c r="FW562" s="6"/>
      <c r="FX562" s="6"/>
      <c r="FY562" s="6"/>
      <c r="FZ562" s="6"/>
      <c r="GA562" s="6"/>
      <c r="GB562" s="6"/>
      <c r="GC562" s="6"/>
      <c r="GD562" s="6"/>
      <c r="GE562" s="6"/>
      <c r="GF562" s="6"/>
      <c r="GG562" s="6"/>
      <c r="GH562" s="6"/>
      <c r="GI562" s="6"/>
      <c r="GJ562" s="6"/>
      <c r="GK562" s="6"/>
      <c r="GL562" s="6"/>
      <c r="GM562" s="6"/>
      <c r="GN562" s="6"/>
      <c r="GO562" s="6"/>
      <c r="GP562" s="6"/>
      <c r="GQ562" s="6"/>
      <c r="GR562" s="6"/>
      <c r="GS562" s="6"/>
      <c r="GT562" s="6"/>
      <c r="GU562" s="6"/>
      <c r="GV562" s="6"/>
      <c r="GW562" s="6"/>
      <c r="GX562" s="6"/>
      <c r="GY562" s="6"/>
      <c r="GZ562" s="6"/>
      <c r="HA562" s="6"/>
      <c r="HB562" s="6"/>
      <c r="HC562" s="6"/>
      <c r="HD562" s="6"/>
      <c r="HE562" s="6"/>
      <c r="HF562" s="6"/>
      <c r="HG562" s="6"/>
      <c r="HH562" s="6"/>
      <c r="HI562" s="6"/>
      <c r="HJ562" s="6"/>
      <c r="HK562" s="6"/>
      <c r="HL562" s="6"/>
      <c r="HM562" s="6"/>
      <c r="HN562" s="6"/>
      <c r="HO562" s="6"/>
      <c r="HP562" s="6"/>
      <c r="HQ562" s="6"/>
      <c r="HR562" s="6"/>
      <c r="HS562" s="6"/>
      <c r="HT562" s="6"/>
      <c r="HU562" s="6"/>
    </row>
    <row r="563" spans="9:229"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  <c r="CP563" s="6"/>
      <c r="CQ563" s="6"/>
      <c r="CR563" s="6"/>
      <c r="CS563" s="6"/>
      <c r="CT563" s="6"/>
      <c r="CU563" s="6"/>
      <c r="CV563" s="6"/>
      <c r="CW563" s="6"/>
      <c r="CX563" s="6"/>
      <c r="CY563" s="6"/>
      <c r="CZ563" s="6"/>
      <c r="DA563" s="6"/>
      <c r="DB563" s="6"/>
      <c r="DC563" s="6"/>
      <c r="DD563" s="6"/>
      <c r="DE563" s="6"/>
      <c r="DF563" s="6"/>
      <c r="DG563" s="6"/>
      <c r="DH563" s="6"/>
      <c r="DI563" s="6"/>
      <c r="DJ563" s="6"/>
      <c r="DK563" s="6"/>
      <c r="DL563" s="6"/>
      <c r="DM563" s="6"/>
      <c r="DN563" s="6"/>
      <c r="DO563" s="6"/>
      <c r="DP563" s="6"/>
      <c r="DQ563" s="6"/>
      <c r="DR563" s="6"/>
      <c r="DS563" s="6"/>
      <c r="DT563" s="6"/>
      <c r="DU563" s="6"/>
      <c r="DV563" s="6"/>
      <c r="DW563" s="6"/>
      <c r="DX563" s="6"/>
      <c r="DY563" s="6"/>
      <c r="DZ563" s="6"/>
      <c r="EA563" s="6"/>
      <c r="EB563" s="6"/>
      <c r="EC563" s="6"/>
      <c r="ED563" s="6"/>
      <c r="EE563" s="6"/>
      <c r="EF563" s="6"/>
      <c r="EG563" s="6"/>
      <c r="EH563" s="6"/>
      <c r="EI563" s="6"/>
      <c r="EJ563" s="6"/>
      <c r="EK563" s="6"/>
      <c r="EL563" s="6"/>
      <c r="EM563" s="6"/>
      <c r="EN563" s="6"/>
      <c r="EO563" s="6"/>
      <c r="EP563" s="6"/>
      <c r="EQ563" s="6"/>
      <c r="ER563" s="6"/>
      <c r="ES563" s="6"/>
      <c r="ET563" s="6"/>
      <c r="EU563" s="6"/>
      <c r="EV563" s="6"/>
      <c r="EW563" s="6"/>
      <c r="EX563" s="6"/>
      <c r="EY563" s="6"/>
      <c r="EZ563" s="6"/>
      <c r="FA563" s="6"/>
      <c r="FB563" s="6"/>
      <c r="FC563" s="6"/>
      <c r="FD563" s="6"/>
      <c r="FE563" s="6"/>
      <c r="FF563" s="6"/>
      <c r="FG563" s="6"/>
      <c r="FH563" s="6"/>
      <c r="FI563" s="6"/>
      <c r="FJ563" s="6"/>
      <c r="FK563" s="6"/>
      <c r="FL563" s="6"/>
      <c r="FM563" s="6"/>
      <c r="FN563" s="6"/>
      <c r="FO563" s="6"/>
      <c r="FP563" s="6"/>
      <c r="FQ563" s="6"/>
      <c r="FR563" s="6"/>
      <c r="FS563" s="6"/>
      <c r="FT563" s="6"/>
      <c r="FU563" s="6"/>
      <c r="FV563" s="6"/>
      <c r="FW563" s="6"/>
      <c r="FX563" s="6"/>
      <c r="FY563" s="6"/>
      <c r="FZ563" s="6"/>
      <c r="GA563" s="6"/>
      <c r="GB563" s="6"/>
      <c r="GC563" s="6"/>
      <c r="GD563" s="6"/>
      <c r="GE563" s="6"/>
      <c r="GF563" s="6"/>
      <c r="GG563" s="6"/>
      <c r="GH563" s="6"/>
      <c r="GI563" s="6"/>
      <c r="GJ563" s="6"/>
      <c r="GK563" s="6"/>
      <c r="GL563" s="6"/>
      <c r="GM563" s="6"/>
      <c r="GN563" s="6"/>
      <c r="GO563" s="6"/>
      <c r="GP563" s="6"/>
      <c r="GQ563" s="6"/>
      <c r="GR563" s="6"/>
      <c r="GS563" s="6"/>
      <c r="GT563" s="6"/>
      <c r="GU563" s="6"/>
      <c r="GV563" s="6"/>
      <c r="GW563" s="6"/>
      <c r="GX563" s="6"/>
      <c r="GY563" s="6"/>
      <c r="GZ563" s="6"/>
      <c r="HA563" s="6"/>
      <c r="HB563" s="6"/>
      <c r="HC563" s="6"/>
      <c r="HD563" s="6"/>
      <c r="HE563" s="6"/>
      <c r="HF563" s="6"/>
      <c r="HG563" s="6"/>
      <c r="HH563" s="6"/>
      <c r="HI563" s="6"/>
      <c r="HJ563" s="6"/>
      <c r="HK563" s="6"/>
      <c r="HL563" s="6"/>
      <c r="HM563" s="6"/>
      <c r="HN563" s="6"/>
      <c r="HO563" s="6"/>
      <c r="HP563" s="6"/>
      <c r="HQ563" s="6"/>
      <c r="HR563" s="6"/>
      <c r="HS563" s="6"/>
      <c r="HT563" s="6"/>
      <c r="HU563" s="6"/>
    </row>
    <row r="564" spans="9:229"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  <c r="CP564" s="6"/>
      <c r="CQ564" s="6"/>
      <c r="CR564" s="6"/>
      <c r="CS564" s="6"/>
      <c r="CT564" s="6"/>
      <c r="CU564" s="6"/>
      <c r="CV564" s="6"/>
      <c r="CW564" s="6"/>
      <c r="CX564" s="6"/>
      <c r="CY564" s="6"/>
      <c r="CZ564" s="6"/>
      <c r="DA564" s="6"/>
      <c r="DB564" s="6"/>
      <c r="DC564" s="6"/>
      <c r="DD564" s="6"/>
      <c r="DE564" s="6"/>
      <c r="DF564" s="6"/>
      <c r="DG564" s="6"/>
      <c r="DH564" s="6"/>
      <c r="DI564" s="6"/>
      <c r="DJ564" s="6"/>
      <c r="DK564" s="6"/>
      <c r="DL564" s="6"/>
      <c r="DM564" s="6"/>
      <c r="DN564" s="6"/>
      <c r="DO564" s="6"/>
      <c r="DP564" s="6"/>
      <c r="DQ564" s="6"/>
      <c r="DR564" s="6"/>
      <c r="DS564" s="6"/>
      <c r="DT564" s="6"/>
      <c r="DU564" s="6"/>
      <c r="DV564" s="6"/>
      <c r="DW564" s="6"/>
      <c r="DX564" s="6"/>
      <c r="DY564" s="6"/>
      <c r="DZ564" s="6"/>
      <c r="EA564" s="6"/>
      <c r="EB564" s="6"/>
      <c r="EC564" s="6"/>
      <c r="ED564" s="6"/>
      <c r="EE564" s="6"/>
      <c r="EF564" s="6"/>
      <c r="EG564" s="6"/>
      <c r="EH564" s="6"/>
      <c r="EI564" s="6"/>
      <c r="EJ564" s="6"/>
      <c r="EK564" s="6"/>
      <c r="EL564" s="6"/>
      <c r="EM564" s="6"/>
      <c r="EN564" s="6"/>
      <c r="EO564" s="6"/>
      <c r="EP564" s="6"/>
      <c r="EQ564" s="6"/>
      <c r="ER564" s="6"/>
      <c r="ES564" s="6"/>
      <c r="ET564" s="6"/>
      <c r="EU564" s="6"/>
      <c r="EV564" s="6"/>
      <c r="EW564" s="6"/>
      <c r="EX564" s="6"/>
      <c r="EY564" s="6"/>
      <c r="EZ564" s="6"/>
      <c r="FA564" s="6"/>
      <c r="FB564" s="6"/>
      <c r="FC564" s="6"/>
      <c r="FD564" s="6"/>
      <c r="FE564" s="6"/>
      <c r="FF564" s="6"/>
      <c r="FG564" s="6"/>
      <c r="FH564" s="6"/>
      <c r="FI564" s="6"/>
      <c r="FJ564" s="6"/>
      <c r="FK564" s="6"/>
      <c r="FL564" s="6"/>
      <c r="FM564" s="6"/>
      <c r="FN564" s="6"/>
      <c r="FO564" s="6"/>
      <c r="FP564" s="6"/>
      <c r="FQ564" s="6"/>
      <c r="FR564" s="6"/>
      <c r="FS564" s="6"/>
      <c r="FT564" s="6"/>
      <c r="FU564" s="6"/>
      <c r="FV564" s="6"/>
      <c r="FW564" s="6"/>
      <c r="FX564" s="6"/>
      <c r="FY564" s="6"/>
      <c r="FZ564" s="6"/>
      <c r="GA564" s="6"/>
      <c r="GB564" s="6"/>
      <c r="GC564" s="6"/>
      <c r="GD564" s="6"/>
      <c r="GE564" s="6"/>
      <c r="GF564" s="6"/>
      <c r="GG564" s="6"/>
      <c r="GH564" s="6"/>
      <c r="GI564" s="6"/>
      <c r="GJ564" s="6"/>
      <c r="GK564" s="6"/>
      <c r="GL564" s="6"/>
      <c r="GM564" s="6"/>
      <c r="GN564" s="6"/>
      <c r="GO564" s="6"/>
      <c r="GP564" s="6"/>
      <c r="GQ564" s="6"/>
      <c r="GR564" s="6"/>
      <c r="GS564" s="6"/>
      <c r="GT564" s="6"/>
      <c r="GU564" s="6"/>
      <c r="GV564" s="6"/>
      <c r="GW564" s="6"/>
      <c r="GX564" s="6"/>
      <c r="GY564" s="6"/>
      <c r="GZ564" s="6"/>
      <c r="HA564" s="6"/>
      <c r="HB564" s="6"/>
      <c r="HC564" s="6"/>
      <c r="HD564" s="6"/>
      <c r="HE564" s="6"/>
      <c r="HF564" s="6"/>
      <c r="HG564" s="6"/>
      <c r="HH564" s="6"/>
      <c r="HI564" s="6"/>
      <c r="HJ564" s="6"/>
      <c r="HK564" s="6"/>
      <c r="HL564" s="6"/>
      <c r="HM564" s="6"/>
      <c r="HN564" s="6"/>
      <c r="HO564" s="6"/>
      <c r="HP564" s="6"/>
      <c r="HQ564" s="6"/>
      <c r="HR564" s="6"/>
      <c r="HS564" s="6"/>
      <c r="HT564" s="6"/>
      <c r="HU564" s="6"/>
    </row>
    <row r="565" spans="9:229"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  <c r="CP565" s="6"/>
      <c r="CQ565" s="6"/>
      <c r="CR565" s="6"/>
      <c r="CS565" s="6"/>
      <c r="CT565" s="6"/>
      <c r="CU565" s="6"/>
      <c r="CV565" s="6"/>
      <c r="CW565" s="6"/>
      <c r="CX565" s="6"/>
      <c r="CY565" s="6"/>
      <c r="CZ565" s="6"/>
      <c r="DA565" s="6"/>
      <c r="DB565" s="6"/>
      <c r="DC565" s="6"/>
      <c r="DD565" s="6"/>
      <c r="DE565" s="6"/>
      <c r="DF565" s="6"/>
      <c r="DG565" s="6"/>
      <c r="DH565" s="6"/>
      <c r="DI565" s="6"/>
      <c r="DJ565" s="6"/>
      <c r="DK565" s="6"/>
      <c r="DL565" s="6"/>
      <c r="DM565" s="6"/>
      <c r="DN565" s="6"/>
      <c r="DO565" s="6"/>
      <c r="DP565" s="6"/>
      <c r="DQ565" s="6"/>
      <c r="DR565" s="6"/>
      <c r="DS565" s="6"/>
      <c r="DT565" s="6"/>
      <c r="DU565" s="6"/>
      <c r="DV565" s="6"/>
      <c r="DW565" s="6"/>
      <c r="DX565" s="6"/>
      <c r="DY565" s="6"/>
      <c r="DZ565" s="6"/>
      <c r="EA565" s="6"/>
      <c r="EB565" s="6"/>
      <c r="EC565" s="6"/>
      <c r="ED565" s="6"/>
      <c r="EE565" s="6"/>
      <c r="EF565" s="6"/>
      <c r="EG565" s="6"/>
      <c r="EH565" s="6"/>
      <c r="EI565" s="6"/>
      <c r="EJ565" s="6"/>
      <c r="EK565" s="6"/>
      <c r="EL565" s="6"/>
      <c r="EM565" s="6"/>
      <c r="EN565" s="6"/>
      <c r="EO565" s="6"/>
      <c r="EP565" s="6"/>
      <c r="EQ565" s="6"/>
      <c r="ER565" s="6"/>
      <c r="ES565" s="6"/>
      <c r="ET565" s="6"/>
      <c r="EU565" s="6"/>
      <c r="EV565" s="6"/>
      <c r="EW565" s="6"/>
      <c r="EX565" s="6"/>
      <c r="EY565" s="6"/>
      <c r="EZ565" s="6"/>
      <c r="FA565" s="6"/>
      <c r="FB565" s="6"/>
      <c r="FC565" s="6"/>
      <c r="FD565" s="6"/>
      <c r="FE565" s="6"/>
      <c r="FF565" s="6"/>
      <c r="FG565" s="6"/>
      <c r="FH565" s="6"/>
      <c r="FI565" s="6"/>
      <c r="FJ565" s="6"/>
      <c r="FK565" s="6"/>
      <c r="FL565" s="6"/>
      <c r="FM565" s="6"/>
      <c r="FN565" s="6"/>
      <c r="FO565" s="6"/>
      <c r="FP565" s="6"/>
      <c r="FQ565" s="6"/>
      <c r="FR565" s="6"/>
      <c r="FS565" s="6"/>
      <c r="FT565" s="6"/>
      <c r="FU565" s="6"/>
      <c r="FV565" s="6"/>
      <c r="FW565" s="6"/>
      <c r="FX565" s="6"/>
      <c r="FY565" s="6"/>
      <c r="FZ565" s="6"/>
      <c r="GA565" s="6"/>
      <c r="GB565" s="6"/>
      <c r="GC565" s="6"/>
      <c r="GD565" s="6"/>
      <c r="GE565" s="6"/>
      <c r="GF565" s="6"/>
      <c r="GG565" s="6"/>
      <c r="GH565" s="6"/>
      <c r="GI565" s="6"/>
      <c r="GJ565" s="6"/>
      <c r="GK565" s="6"/>
      <c r="GL565" s="6"/>
      <c r="GM565" s="6"/>
      <c r="GN565" s="6"/>
      <c r="GO565" s="6"/>
      <c r="GP565" s="6"/>
      <c r="GQ565" s="6"/>
      <c r="GR565" s="6"/>
      <c r="GS565" s="6"/>
      <c r="GT565" s="6"/>
      <c r="GU565" s="6"/>
      <c r="GV565" s="6"/>
      <c r="GW565" s="6"/>
      <c r="GX565" s="6"/>
      <c r="GY565" s="6"/>
      <c r="GZ565" s="6"/>
      <c r="HA565" s="6"/>
      <c r="HB565" s="6"/>
      <c r="HC565" s="6"/>
      <c r="HD565" s="6"/>
      <c r="HE565" s="6"/>
      <c r="HF565" s="6"/>
      <c r="HG565" s="6"/>
      <c r="HH565" s="6"/>
      <c r="HI565" s="6"/>
      <c r="HJ565" s="6"/>
      <c r="HK565" s="6"/>
      <c r="HL565" s="6"/>
      <c r="HM565" s="6"/>
      <c r="HN565" s="6"/>
      <c r="HO565" s="6"/>
      <c r="HP565" s="6"/>
      <c r="HQ565" s="6"/>
      <c r="HR565" s="6"/>
      <c r="HS565" s="6"/>
      <c r="HT565" s="6"/>
      <c r="HU565" s="6"/>
    </row>
    <row r="566" spans="9:229"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  <c r="CP566" s="6"/>
      <c r="CQ566" s="6"/>
      <c r="CR566" s="6"/>
      <c r="CS566" s="6"/>
      <c r="CT566" s="6"/>
      <c r="CU566" s="6"/>
      <c r="CV566" s="6"/>
      <c r="CW566" s="6"/>
      <c r="CX566" s="6"/>
      <c r="CY566" s="6"/>
      <c r="CZ566" s="6"/>
      <c r="DA566" s="6"/>
      <c r="DB566" s="6"/>
      <c r="DC566" s="6"/>
      <c r="DD566" s="6"/>
      <c r="DE566" s="6"/>
      <c r="DF566" s="6"/>
      <c r="DG566" s="6"/>
      <c r="DH566" s="6"/>
      <c r="DI566" s="6"/>
      <c r="DJ566" s="6"/>
      <c r="DK566" s="6"/>
      <c r="DL566" s="6"/>
      <c r="DM566" s="6"/>
      <c r="DN566" s="6"/>
      <c r="DO566" s="6"/>
      <c r="DP566" s="6"/>
      <c r="DQ566" s="6"/>
      <c r="DR566" s="6"/>
      <c r="DS566" s="6"/>
      <c r="DT566" s="6"/>
      <c r="DU566" s="6"/>
      <c r="DV566" s="6"/>
      <c r="DW566" s="6"/>
      <c r="DX566" s="6"/>
      <c r="DY566" s="6"/>
      <c r="DZ566" s="6"/>
      <c r="EA566" s="6"/>
      <c r="EB566" s="6"/>
      <c r="EC566" s="6"/>
      <c r="ED566" s="6"/>
      <c r="EE566" s="6"/>
      <c r="EF566" s="6"/>
      <c r="EG566" s="6"/>
      <c r="EH566" s="6"/>
      <c r="EI566" s="6"/>
      <c r="EJ566" s="6"/>
      <c r="EK566" s="6"/>
      <c r="EL566" s="6"/>
      <c r="EM566" s="6"/>
      <c r="EN566" s="6"/>
      <c r="EO566" s="6"/>
      <c r="EP566" s="6"/>
      <c r="EQ566" s="6"/>
      <c r="ER566" s="6"/>
      <c r="ES566" s="6"/>
      <c r="ET566" s="6"/>
      <c r="EU566" s="6"/>
      <c r="EV566" s="6"/>
      <c r="EW566" s="6"/>
      <c r="EX566" s="6"/>
      <c r="EY566" s="6"/>
      <c r="EZ566" s="6"/>
      <c r="FA566" s="6"/>
      <c r="FB566" s="6"/>
      <c r="FC566" s="6"/>
      <c r="FD566" s="6"/>
      <c r="FE566" s="6"/>
      <c r="FF566" s="6"/>
      <c r="FG566" s="6"/>
      <c r="FH566" s="6"/>
      <c r="FI566" s="6"/>
      <c r="FJ566" s="6"/>
      <c r="FK566" s="6"/>
      <c r="FL566" s="6"/>
      <c r="FM566" s="6"/>
      <c r="FN566" s="6"/>
      <c r="FO566" s="6"/>
      <c r="FP566" s="6"/>
      <c r="FQ566" s="6"/>
      <c r="FR566" s="6"/>
      <c r="FS566" s="6"/>
      <c r="FT566" s="6"/>
      <c r="FU566" s="6"/>
      <c r="FV566" s="6"/>
      <c r="FW566" s="6"/>
      <c r="FX566" s="6"/>
      <c r="FY566" s="6"/>
      <c r="FZ566" s="6"/>
      <c r="GA566" s="6"/>
      <c r="GB566" s="6"/>
      <c r="GC566" s="6"/>
      <c r="GD566" s="6"/>
      <c r="GE566" s="6"/>
      <c r="GF566" s="6"/>
      <c r="GG566" s="6"/>
      <c r="GH566" s="6"/>
      <c r="GI566" s="6"/>
      <c r="GJ566" s="6"/>
      <c r="GK566" s="6"/>
      <c r="GL566" s="6"/>
      <c r="GM566" s="6"/>
      <c r="GN566" s="6"/>
      <c r="GO566" s="6"/>
      <c r="GP566" s="6"/>
      <c r="GQ566" s="6"/>
      <c r="GR566" s="6"/>
      <c r="GS566" s="6"/>
      <c r="GT566" s="6"/>
      <c r="GU566" s="6"/>
      <c r="GV566" s="6"/>
      <c r="GW566" s="6"/>
      <c r="GX566" s="6"/>
      <c r="GY566" s="6"/>
      <c r="GZ566" s="6"/>
      <c r="HA566" s="6"/>
      <c r="HB566" s="6"/>
      <c r="HC566" s="6"/>
      <c r="HD566" s="6"/>
      <c r="HE566" s="6"/>
      <c r="HF566" s="6"/>
      <c r="HG566" s="6"/>
      <c r="HH566" s="6"/>
      <c r="HI566" s="6"/>
      <c r="HJ566" s="6"/>
      <c r="HK566" s="6"/>
      <c r="HL566" s="6"/>
      <c r="HM566" s="6"/>
      <c r="HN566" s="6"/>
      <c r="HO566" s="6"/>
      <c r="HP566" s="6"/>
      <c r="HQ566" s="6"/>
      <c r="HR566" s="6"/>
      <c r="HS566" s="6"/>
      <c r="HT566" s="6"/>
      <c r="HU566" s="6"/>
    </row>
    <row r="567" spans="9:229"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  <c r="CP567" s="6"/>
      <c r="CQ567" s="6"/>
      <c r="CR567" s="6"/>
      <c r="CS567" s="6"/>
      <c r="CT567" s="6"/>
      <c r="CU567" s="6"/>
      <c r="CV567" s="6"/>
      <c r="CW567" s="6"/>
      <c r="CX567" s="6"/>
      <c r="CY567" s="6"/>
      <c r="CZ567" s="6"/>
      <c r="DA567" s="6"/>
      <c r="DB567" s="6"/>
      <c r="DC567" s="6"/>
      <c r="DD567" s="6"/>
      <c r="DE567" s="6"/>
      <c r="DF567" s="6"/>
      <c r="DG567" s="6"/>
      <c r="DH567" s="6"/>
      <c r="DI567" s="6"/>
      <c r="DJ567" s="6"/>
      <c r="DK567" s="6"/>
      <c r="DL567" s="6"/>
      <c r="DM567" s="6"/>
      <c r="DN567" s="6"/>
      <c r="DO567" s="6"/>
      <c r="DP567" s="6"/>
      <c r="DQ567" s="6"/>
      <c r="DR567" s="6"/>
      <c r="DS567" s="6"/>
      <c r="DT567" s="6"/>
      <c r="DU567" s="6"/>
      <c r="DV567" s="6"/>
      <c r="DW567" s="6"/>
      <c r="DX567" s="6"/>
      <c r="DY567" s="6"/>
      <c r="DZ567" s="6"/>
      <c r="EA567" s="6"/>
      <c r="EB567" s="6"/>
      <c r="EC567" s="6"/>
      <c r="ED567" s="6"/>
      <c r="EE567" s="6"/>
      <c r="EF567" s="6"/>
      <c r="EG567" s="6"/>
      <c r="EH567" s="6"/>
      <c r="EI567" s="6"/>
      <c r="EJ567" s="6"/>
      <c r="EK567" s="6"/>
      <c r="EL567" s="6"/>
      <c r="EM567" s="6"/>
      <c r="EN567" s="6"/>
      <c r="EO567" s="6"/>
      <c r="EP567" s="6"/>
      <c r="EQ567" s="6"/>
      <c r="ER567" s="6"/>
      <c r="ES567" s="6"/>
      <c r="ET567" s="6"/>
      <c r="EU567" s="6"/>
      <c r="EV567" s="6"/>
      <c r="EW567" s="6"/>
      <c r="EX567" s="6"/>
      <c r="EY567" s="6"/>
      <c r="EZ567" s="6"/>
      <c r="FA567" s="6"/>
      <c r="FB567" s="6"/>
      <c r="FC567" s="6"/>
      <c r="FD567" s="6"/>
      <c r="FE567" s="6"/>
      <c r="FF567" s="6"/>
      <c r="FG567" s="6"/>
      <c r="FH567" s="6"/>
      <c r="FI567" s="6"/>
      <c r="FJ567" s="6"/>
      <c r="FK567" s="6"/>
      <c r="FL567" s="6"/>
      <c r="FM567" s="6"/>
      <c r="FN567" s="6"/>
      <c r="FO567" s="6"/>
      <c r="FP567" s="6"/>
      <c r="FQ567" s="6"/>
      <c r="FR567" s="6"/>
      <c r="FS567" s="6"/>
      <c r="FT567" s="6"/>
      <c r="FU567" s="6"/>
      <c r="FV567" s="6"/>
      <c r="FW567" s="6"/>
      <c r="FX567" s="6"/>
      <c r="FY567" s="6"/>
      <c r="FZ567" s="6"/>
      <c r="GA567" s="6"/>
      <c r="GB567" s="6"/>
      <c r="GC567" s="6"/>
      <c r="GD567" s="6"/>
      <c r="GE567" s="6"/>
      <c r="GF567" s="6"/>
      <c r="GG567" s="6"/>
      <c r="GH567" s="6"/>
      <c r="GI567" s="6"/>
      <c r="GJ567" s="6"/>
      <c r="GK567" s="6"/>
      <c r="GL567" s="6"/>
      <c r="GM567" s="6"/>
      <c r="GN567" s="6"/>
      <c r="GO567" s="6"/>
      <c r="GP567" s="6"/>
      <c r="GQ567" s="6"/>
      <c r="GR567" s="6"/>
      <c r="GS567" s="6"/>
      <c r="GT567" s="6"/>
      <c r="GU567" s="6"/>
      <c r="GV567" s="6"/>
      <c r="GW567" s="6"/>
      <c r="GX567" s="6"/>
      <c r="GY567" s="6"/>
      <c r="GZ567" s="6"/>
      <c r="HA567" s="6"/>
      <c r="HB567" s="6"/>
      <c r="HC567" s="6"/>
      <c r="HD567" s="6"/>
      <c r="HE567" s="6"/>
      <c r="HF567" s="6"/>
      <c r="HG567" s="6"/>
      <c r="HH567" s="6"/>
      <c r="HI567" s="6"/>
      <c r="HJ567" s="6"/>
      <c r="HK567" s="6"/>
      <c r="HL567" s="6"/>
      <c r="HM567" s="6"/>
      <c r="HN567" s="6"/>
      <c r="HO567" s="6"/>
      <c r="HP567" s="6"/>
      <c r="HQ567" s="6"/>
      <c r="HR567" s="6"/>
      <c r="HS567" s="6"/>
      <c r="HT567" s="6"/>
      <c r="HU567" s="6"/>
    </row>
    <row r="568" spans="9:229"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  <c r="CP568" s="6"/>
      <c r="CQ568" s="6"/>
      <c r="CR568" s="6"/>
      <c r="CS568" s="6"/>
      <c r="CT568" s="6"/>
      <c r="CU568" s="6"/>
      <c r="CV568" s="6"/>
      <c r="CW568" s="6"/>
      <c r="CX568" s="6"/>
      <c r="CY568" s="6"/>
      <c r="CZ568" s="6"/>
      <c r="DA568" s="6"/>
      <c r="DB568" s="6"/>
      <c r="DC568" s="6"/>
      <c r="DD568" s="6"/>
      <c r="DE568" s="6"/>
      <c r="DF568" s="6"/>
      <c r="DG568" s="6"/>
      <c r="DH568" s="6"/>
      <c r="DI568" s="6"/>
      <c r="DJ568" s="6"/>
      <c r="DK568" s="6"/>
      <c r="DL568" s="6"/>
      <c r="DM568" s="6"/>
      <c r="DN568" s="6"/>
      <c r="DO568" s="6"/>
      <c r="DP568" s="6"/>
      <c r="DQ568" s="6"/>
      <c r="DR568" s="6"/>
      <c r="DS568" s="6"/>
      <c r="DT568" s="6"/>
      <c r="DU568" s="6"/>
      <c r="DV568" s="6"/>
      <c r="DW568" s="6"/>
      <c r="DX568" s="6"/>
      <c r="DY568" s="6"/>
      <c r="DZ568" s="6"/>
      <c r="EA568" s="6"/>
      <c r="EB568" s="6"/>
      <c r="EC568" s="6"/>
      <c r="ED568" s="6"/>
      <c r="EE568" s="6"/>
      <c r="EF568" s="6"/>
      <c r="EG568" s="6"/>
      <c r="EH568" s="6"/>
      <c r="EI568" s="6"/>
      <c r="EJ568" s="6"/>
      <c r="EK568" s="6"/>
      <c r="EL568" s="6"/>
      <c r="EM568" s="6"/>
      <c r="EN568" s="6"/>
      <c r="EO568" s="6"/>
      <c r="EP568" s="6"/>
      <c r="EQ568" s="6"/>
      <c r="ER568" s="6"/>
      <c r="ES568" s="6"/>
      <c r="ET568" s="6"/>
      <c r="EU568" s="6"/>
      <c r="EV568" s="6"/>
      <c r="EW568" s="6"/>
      <c r="EX568" s="6"/>
      <c r="EY568" s="6"/>
      <c r="EZ568" s="6"/>
      <c r="FA568" s="6"/>
      <c r="FB568" s="6"/>
      <c r="FC568" s="6"/>
      <c r="FD568" s="6"/>
      <c r="FE568" s="6"/>
      <c r="FF568" s="6"/>
      <c r="FG568" s="6"/>
      <c r="FH568" s="6"/>
      <c r="FI568" s="6"/>
      <c r="FJ568" s="6"/>
      <c r="FK568" s="6"/>
      <c r="FL568" s="6"/>
      <c r="FM568" s="6"/>
      <c r="FN568" s="6"/>
      <c r="FO568" s="6"/>
      <c r="FP568" s="6"/>
      <c r="FQ568" s="6"/>
      <c r="FR568" s="6"/>
      <c r="FS568" s="6"/>
      <c r="FT568" s="6"/>
      <c r="FU568" s="6"/>
      <c r="FV568" s="6"/>
      <c r="FW568" s="6"/>
      <c r="FX568" s="6"/>
      <c r="FY568" s="6"/>
      <c r="FZ568" s="6"/>
      <c r="GA568" s="6"/>
      <c r="GB568" s="6"/>
      <c r="GC568" s="6"/>
      <c r="GD568" s="6"/>
      <c r="GE568" s="6"/>
      <c r="GF568" s="6"/>
      <c r="GG568" s="6"/>
      <c r="GH568" s="6"/>
      <c r="GI568" s="6"/>
      <c r="GJ568" s="6"/>
      <c r="GK568" s="6"/>
      <c r="GL568" s="6"/>
      <c r="GM568" s="6"/>
      <c r="GN568" s="6"/>
      <c r="GO568" s="6"/>
      <c r="GP568" s="6"/>
      <c r="GQ568" s="6"/>
      <c r="GR568" s="6"/>
      <c r="GS568" s="6"/>
      <c r="GT568" s="6"/>
      <c r="GU568" s="6"/>
      <c r="GV568" s="6"/>
      <c r="GW568" s="6"/>
      <c r="GX568" s="6"/>
      <c r="GY568" s="6"/>
      <c r="GZ568" s="6"/>
      <c r="HA568" s="6"/>
      <c r="HB568" s="6"/>
      <c r="HC568" s="6"/>
      <c r="HD568" s="6"/>
      <c r="HE568" s="6"/>
      <c r="HF568" s="6"/>
      <c r="HG568" s="6"/>
      <c r="HH568" s="6"/>
      <c r="HI568" s="6"/>
      <c r="HJ568" s="6"/>
      <c r="HK568" s="6"/>
      <c r="HL568" s="6"/>
      <c r="HM568" s="6"/>
      <c r="HN568" s="6"/>
      <c r="HO568" s="6"/>
      <c r="HP568" s="6"/>
      <c r="HQ568" s="6"/>
      <c r="HR568" s="6"/>
      <c r="HS568" s="6"/>
      <c r="HT568" s="6"/>
      <c r="HU568" s="6"/>
    </row>
    <row r="569" spans="9:229"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  <c r="CP569" s="6"/>
      <c r="CQ569" s="6"/>
      <c r="CR569" s="6"/>
      <c r="CS569" s="6"/>
      <c r="CT569" s="6"/>
      <c r="CU569" s="6"/>
      <c r="CV569" s="6"/>
      <c r="CW569" s="6"/>
      <c r="CX569" s="6"/>
      <c r="CY569" s="6"/>
      <c r="CZ569" s="6"/>
      <c r="DA569" s="6"/>
      <c r="DB569" s="6"/>
      <c r="DC569" s="6"/>
      <c r="DD569" s="6"/>
      <c r="DE569" s="6"/>
      <c r="DF569" s="6"/>
      <c r="DG569" s="6"/>
      <c r="DH569" s="6"/>
      <c r="DI569" s="6"/>
      <c r="DJ569" s="6"/>
      <c r="DK569" s="6"/>
      <c r="DL569" s="6"/>
      <c r="DM569" s="6"/>
      <c r="DN569" s="6"/>
      <c r="DO569" s="6"/>
      <c r="DP569" s="6"/>
      <c r="DQ569" s="6"/>
      <c r="DR569" s="6"/>
      <c r="DS569" s="6"/>
      <c r="DT569" s="6"/>
      <c r="DU569" s="6"/>
      <c r="DV569" s="6"/>
      <c r="DW569" s="6"/>
      <c r="DX569" s="6"/>
      <c r="DY569" s="6"/>
      <c r="DZ569" s="6"/>
      <c r="EA569" s="6"/>
      <c r="EB569" s="6"/>
      <c r="EC569" s="6"/>
      <c r="ED569" s="6"/>
      <c r="EE569" s="6"/>
      <c r="EF569" s="6"/>
      <c r="EG569" s="6"/>
      <c r="EH569" s="6"/>
      <c r="EI569" s="6"/>
      <c r="EJ569" s="6"/>
      <c r="EK569" s="6"/>
      <c r="EL569" s="6"/>
      <c r="EM569" s="6"/>
      <c r="EN569" s="6"/>
      <c r="EO569" s="6"/>
      <c r="EP569" s="6"/>
      <c r="EQ569" s="6"/>
      <c r="ER569" s="6"/>
      <c r="ES569" s="6"/>
      <c r="ET569" s="6"/>
      <c r="EU569" s="6"/>
      <c r="EV569" s="6"/>
      <c r="EW569" s="6"/>
      <c r="EX569" s="6"/>
      <c r="EY569" s="6"/>
      <c r="EZ569" s="6"/>
      <c r="FA569" s="6"/>
      <c r="FB569" s="6"/>
      <c r="FC569" s="6"/>
      <c r="FD569" s="6"/>
      <c r="FE569" s="6"/>
      <c r="FF569" s="6"/>
      <c r="FG569" s="6"/>
      <c r="FH569" s="6"/>
      <c r="FI569" s="6"/>
      <c r="FJ569" s="6"/>
      <c r="FK569" s="6"/>
      <c r="FL569" s="6"/>
      <c r="FM569" s="6"/>
      <c r="FN569" s="6"/>
      <c r="FO569" s="6"/>
      <c r="FP569" s="6"/>
      <c r="FQ569" s="6"/>
      <c r="FR569" s="6"/>
      <c r="FS569" s="6"/>
      <c r="FT569" s="6"/>
      <c r="FU569" s="6"/>
      <c r="FV569" s="6"/>
      <c r="FW569" s="6"/>
      <c r="FX569" s="6"/>
      <c r="FY569" s="6"/>
      <c r="FZ569" s="6"/>
      <c r="GA569" s="6"/>
      <c r="GB569" s="6"/>
      <c r="GC569" s="6"/>
      <c r="GD569" s="6"/>
      <c r="GE569" s="6"/>
      <c r="GF569" s="6"/>
      <c r="GG569" s="6"/>
      <c r="GH569" s="6"/>
      <c r="GI569" s="6"/>
      <c r="GJ569" s="6"/>
      <c r="GK569" s="6"/>
      <c r="GL569" s="6"/>
      <c r="GM569" s="6"/>
      <c r="GN569" s="6"/>
      <c r="GO569" s="6"/>
      <c r="GP569" s="6"/>
      <c r="GQ569" s="6"/>
      <c r="GR569" s="6"/>
      <c r="GS569" s="6"/>
      <c r="GT569" s="6"/>
      <c r="GU569" s="6"/>
      <c r="GV569" s="6"/>
      <c r="GW569" s="6"/>
      <c r="GX569" s="6"/>
      <c r="GY569" s="6"/>
      <c r="GZ569" s="6"/>
      <c r="HA569" s="6"/>
      <c r="HB569" s="6"/>
      <c r="HC569" s="6"/>
      <c r="HD569" s="6"/>
      <c r="HE569" s="6"/>
      <c r="HF569" s="6"/>
      <c r="HG569" s="6"/>
      <c r="HH569" s="6"/>
      <c r="HI569" s="6"/>
      <c r="HJ569" s="6"/>
      <c r="HK569" s="6"/>
      <c r="HL569" s="6"/>
      <c r="HM569" s="6"/>
      <c r="HN569" s="6"/>
      <c r="HO569" s="6"/>
      <c r="HP569" s="6"/>
      <c r="HQ569" s="6"/>
      <c r="HR569" s="6"/>
      <c r="HS569" s="6"/>
      <c r="HT569" s="6"/>
      <c r="HU569" s="6"/>
    </row>
    <row r="570" spans="9:229"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  <c r="CP570" s="6"/>
      <c r="CQ570" s="6"/>
      <c r="CR570" s="6"/>
      <c r="CS570" s="6"/>
      <c r="CT570" s="6"/>
      <c r="CU570" s="6"/>
      <c r="CV570" s="6"/>
      <c r="CW570" s="6"/>
      <c r="CX570" s="6"/>
      <c r="CY570" s="6"/>
      <c r="CZ570" s="6"/>
      <c r="DA570" s="6"/>
      <c r="DB570" s="6"/>
      <c r="DC570" s="6"/>
      <c r="DD570" s="6"/>
      <c r="DE570" s="6"/>
      <c r="DF570" s="6"/>
      <c r="DG570" s="6"/>
      <c r="DH570" s="6"/>
      <c r="DI570" s="6"/>
      <c r="DJ570" s="6"/>
      <c r="DK570" s="6"/>
      <c r="DL570" s="6"/>
      <c r="DM570" s="6"/>
      <c r="DN570" s="6"/>
      <c r="DO570" s="6"/>
      <c r="DP570" s="6"/>
      <c r="DQ570" s="6"/>
      <c r="DR570" s="6"/>
      <c r="DS570" s="6"/>
      <c r="DT570" s="6"/>
      <c r="DU570" s="6"/>
      <c r="DV570" s="6"/>
      <c r="DW570" s="6"/>
      <c r="DX570" s="6"/>
      <c r="DY570" s="6"/>
      <c r="DZ570" s="6"/>
      <c r="EA570" s="6"/>
      <c r="EB570" s="6"/>
      <c r="EC570" s="6"/>
      <c r="ED570" s="6"/>
      <c r="EE570" s="6"/>
      <c r="EF570" s="6"/>
      <c r="EG570" s="6"/>
      <c r="EH570" s="6"/>
      <c r="EI570" s="6"/>
      <c r="EJ570" s="6"/>
      <c r="EK570" s="6"/>
      <c r="EL570" s="6"/>
      <c r="EM570" s="6"/>
      <c r="EN570" s="6"/>
      <c r="EO570" s="6"/>
      <c r="EP570" s="6"/>
      <c r="EQ570" s="6"/>
      <c r="ER570" s="6"/>
      <c r="ES570" s="6"/>
      <c r="ET570" s="6"/>
      <c r="EU570" s="6"/>
      <c r="EV570" s="6"/>
      <c r="EW570" s="6"/>
      <c r="EX570" s="6"/>
      <c r="EY570" s="6"/>
      <c r="EZ570" s="6"/>
      <c r="FA570" s="6"/>
      <c r="FB570" s="6"/>
      <c r="FC570" s="6"/>
      <c r="FD570" s="6"/>
      <c r="FE570" s="6"/>
      <c r="FF570" s="6"/>
      <c r="FG570" s="6"/>
      <c r="FH570" s="6"/>
      <c r="FI570" s="6"/>
      <c r="FJ570" s="6"/>
      <c r="FK570" s="6"/>
      <c r="FL570" s="6"/>
      <c r="FM570" s="6"/>
      <c r="FN570" s="6"/>
      <c r="FO570" s="6"/>
      <c r="FP570" s="6"/>
      <c r="FQ570" s="6"/>
      <c r="FR570" s="6"/>
      <c r="FS570" s="6"/>
      <c r="FT570" s="6"/>
      <c r="FU570" s="6"/>
      <c r="FV570" s="6"/>
      <c r="FW570" s="6"/>
      <c r="FX570" s="6"/>
      <c r="FY570" s="6"/>
      <c r="FZ570" s="6"/>
      <c r="GA570" s="6"/>
      <c r="GB570" s="6"/>
      <c r="GC570" s="6"/>
      <c r="GD570" s="6"/>
      <c r="GE570" s="6"/>
      <c r="GF570" s="6"/>
      <c r="GG570" s="6"/>
      <c r="GH570" s="6"/>
      <c r="GI570" s="6"/>
      <c r="GJ570" s="6"/>
      <c r="GK570" s="6"/>
      <c r="GL570" s="6"/>
      <c r="GM570" s="6"/>
      <c r="GN570" s="6"/>
      <c r="GO570" s="6"/>
      <c r="GP570" s="6"/>
      <c r="GQ570" s="6"/>
      <c r="GR570" s="6"/>
      <c r="GS570" s="6"/>
      <c r="GT570" s="6"/>
      <c r="GU570" s="6"/>
      <c r="GV570" s="6"/>
      <c r="GW570" s="6"/>
      <c r="GX570" s="6"/>
      <c r="GY570" s="6"/>
      <c r="GZ570" s="6"/>
      <c r="HA570" s="6"/>
      <c r="HB570" s="6"/>
      <c r="HC570" s="6"/>
      <c r="HD570" s="6"/>
      <c r="HE570" s="6"/>
      <c r="HF570" s="6"/>
      <c r="HG570" s="6"/>
      <c r="HH570" s="6"/>
      <c r="HI570" s="6"/>
      <c r="HJ570" s="6"/>
      <c r="HK570" s="6"/>
      <c r="HL570" s="6"/>
      <c r="HM570" s="6"/>
      <c r="HN570" s="6"/>
      <c r="HO570" s="6"/>
      <c r="HP570" s="6"/>
      <c r="HQ570" s="6"/>
      <c r="HR570" s="6"/>
      <c r="HS570" s="6"/>
      <c r="HT570" s="6"/>
      <c r="HU570" s="6"/>
    </row>
    <row r="571" spans="9:229"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  <c r="CP571" s="6"/>
      <c r="CQ571" s="6"/>
      <c r="CR571" s="6"/>
      <c r="CS571" s="6"/>
      <c r="CT571" s="6"/>
      <c r="CU571" s="6"/>
      <c r="CV571" s="6"/>
      <c r="CW571" s="6"/>
      <c r="CX571" s="6"/>
      <c r="CY571" s="6"/>
      <c r="CZ571" s="6"/>
      <c r="DA571" s="6"/>
      <c r="DB571" s="6"/>
      <c r="DC571" s="6"/>
      <c r="DD571" s="6"/>
      <c r="DE571" s="6"/>
      <c r="DF571" s="6"/>
      <c r="DG571" s="6"/>
      <c r="DH571" s="6"/>
      <c r="DI571" s="6"/>
      <c r="DJ571" s="6"/>
      <c r="DK571" s="6"/>
      <c r="DL571" s="6"/>
      <c r="DM571" s="6"/>
      <c r="DN571" s="6"/>
      <c r="DO571" s="6"/>
      <c r="DP571" s="6"/>
      <c r="DQ571" s="6"/>
      <c r="DR571" s="6"/>
      <c r="DS571" s="6"/>
      <c r="DT571" s="6"/>
      <c r="DU571" s="6"/>
      <c r="DV571" s="6"/>
      <c r="DW571" s="6"/>
      <c r="DX571" s="6"/>
      <c r="DY571" s="6"/>
      <c r="DZ571" s="6"/>
      <c r="EA571" s="6"/>
      <c r="EB571" s="6"/>
      <c r="EC571" s="6"/>
      <c r="ED571" s="6"/>
      <c r="EE571" s="6"/>
      <c r="EF571" s="6"/>
      <c r="EG571" s="6"/>
      <c r="EH571" s="6"/>
      <c r="EI571" s="6"/>
      <c r="EJ571" s="6"/>
      <c r="EK571" s="6"/>
      <c r="EL571" s="6"/>
      <c r="EM571" s="6"/>
      <c r="EN571" s="6"/>
      <c r="EO571" s="6"/>
      <c r="EP571" s="6"/>
      <c r="EQ571" s="6"/>
      <c r="ER571" s="6"/>
      <c r="ES571" s="6"/>
      <c r="ET571" s="6"/>
      <c r="EU571" s="6"/>
      <c r="EV571" s="6"/>
      <c r="EW571" s="6"/>
      <c r="EX571" s="6"/>
      <c r="EY571" s="6"/>
      <c r="EZ571" s="6"/>
      <c r="FA571" s="6"/>
      <c r="FB571" s="6"/>
      <c r="FC571" s="6"/>
      <c r="FD571" s="6"/>
      <c r="FE571" s="6"/>
      <c r="FF571" s="6"/>
      <c r="FG571" s="6"/>
      <c r="FH571" s="6"/>
      <c r="FI571" s="6"/>
      <c r="FJ571" s="6"/>
      <c r="FK571" s="6"/>
      <c r="FL571" s="6"/>
      <c r="FM571" s="6"/>
      <c r="FN571" s="6"/>
      <c r="FO571" s="6"/>
      <c r="FP571" s="6"/>
      <c r="FQ571" s="6"/>
      <c r="FR571" s="6"/>
      <c r="FS571" s="6"/>
      <c r="FT571" s="6"/>
      <c r="FU571" s="6"/>
      <c r="FV571" s="6"/>
      <c r="FW571" s="6"/>
      <c r="FX571" s="6"/>
      <c r="FY571" s="6"/>
      <c r="FZ571" s="6"/>
      <c r="GA571" s="6"/>
      <c r="GB571" s="6"/>
      <c r="GC571" s="6"/>
      <c r="GD571" s="6"/>
      <c r="GE571" s="6"/>
      <c r="GF571" s="6"/>
      <c r="GG571" s="6"/>
      <c r="GH571" s="6"/>
      <c r="GI571" s="6"/>
      <c r="GJ571" s="6"/>
      <c r="GK571" s="6"/>
      <c r="GL571" s="6"/>
      <c r="GM571" s="6"/>
      <c r="GN571" s="6"/>
      <c r="GO571" s="6"/>
      <c r="GP571" s="6"/>
      <c r="GQ571" s="6"/>
      <c r="GR571" s="6"/>
      <c r="GS571" s="6"/>
      <c r="GT571" s="6"/>
      <c r="GU571" s="6"/>
      <c r="GV571" s="6"/>
      <c r="GW571" s="6"/>
      <c r="GX571" s="6"/>
      <c r="GY571" s="6"/>
      <c r="GZ571" s="6"/>
      <c r="HA571" s="6"/>
      <c r="HB571" s="6"/>
      <c r="HC571" s="6"/>
      <c r="HD571" s="6"/>
      <c r="HE571" s="6"/>
      <c r="HF571" s="6"/>
      <c r="HG571" s="6"/>
      <c r="HH571" s="6"/>
      <c r="HI571" s="6"/>
      <c r="HJ571" s="6"/>
      <c r="HK571" s="6"/>
      <c r="HL571" s="6"/>
      <c r="HM571" s="6"/>
      <c r="HN571" s="6"/>
      <c r="HO571" s="6"/>
      <c r="HP571" s="6"/>
      <c r="HQ571" s="6"/>
      <c r="HR571" s="6"/>
      <c r="HS571" s="6"/>
      <c r="HT571" s="6"/>
      <c r="HU571" s="6"/>
    </row>
    <row r="572" spans="9:229"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  <c r="CP572" s="6"/>
      <c r="CQ572" s="6"/>
      <c r="CR572" s="6"/>
      <c r="CS572" s="6"/>
      <c r="CT572" s="6"/>
      <c r="CU572" s="6"/>
      <c r="CV572" s="6"/>
      <c r="CW572" s="6"/>
      <c r="CX572" s="6"/>
      <c r="CY572" s="6"/>
      <c r="CZ572" s="6"/>
      <c r="DA572" s="6"/>
      <c r="DB572" s="6"/>
      <c r="DC572" s="6"/>
      <c r="DD572" s="6"/>
      <c r="DE572" s="6"/>
      <c r="DF572" s="6"/>
      <c r="DG572" s="6"/>
      <c r="DH572" s="6"/>
      <c r="DI572" s="6"/>
      <c r="DJ572" s="6"/>
      <c r="DK572" s="6"/>
      <c r="DL572" s="6"/>
      <c r="DM572" s="6"/>
      <c r="DN572" s="6"/>
      <c r="DO572" s="6"/>
      <c r="DP572" s="6"/>
      <c r="DQ572" s="6"/>
      <c r="DR572" s="6"/>
      <c r="DS572" s="6"/>
      <c r="DT572" s="6"/>
      <c r="DU572" s="6"/>
      <c r="DV572" s="6"/>
      <c r="DW572" s="6"/>
      <c r="DX572" s="6"/>
      <c r="DY572" s="6"/>
      <c r="DZ572" s="6"/>
      <c r="EA572" s="6"/>
      <c r="EB572" s="6"/>
      <c r="EC572" s="6"/>
      <c r="ED572" s="6"/>
      <c r="EE572" s="6"/>
      <c r="EF572" s="6"/>
      <c r="EG572" s="6"/>
      <c r="EH572" s="6"/>
      <c r="EI572" s="6"/>
      <c r="EJ572" s="6"/>
      <c r="EK572" s="6"/>
      <c r="EL572" s="6"/>
      <c r="EM572" s="6"/>
      <c r="EN572" s="6"/>
      <c r="EO572" s="6"/>
      <c r="EP572" s="6"/>
      <c r="EQ572" s="6"/>
      <c r="ER572" s="6"/>
      <c r="ES572" s="6"/>
      <c r="ET572" s="6"/>
      <c r="EU572" s="6"/>
      <c r="EV572" s="6"/>
      <c r="EW572" s="6"/>
      <c r="EX572" s="6"/>
      <c r="EY572" s="6"/>
      <c r="EZ572" s="6"/>
      <c r="FA572" s="6"/>
      <c r="FB572" s="6"/>
      <c r="FC572" s="6"/>
      <c r="FD572" s="6"/>
      <c r="FE572" s="6"/>
      <c r="FF572" s="6"/>
      <c r="FG572" s="6"/>
      <c r="FH572" s="6"/>
      <c r="FI572" s="6"/>
      <c r="FJ572" s="6"/>
      <c r="FK572" s="6"/>
      <c r="FL572" s="6"/>
      <c r="FM572" s="6"/>
      <c r="FN572" s="6"/>
      <c r="FO572" s="6"/>
      <c r="FP572" s="6"/>
      <c r="FQ572" s="6"/>
      <c r="FR572" s="6"/>
      <c r="FS572" s="6"/>
      <c r="FT572" s="6"/>
      <c r="FU572" s="6"/>
      <c r="FV572" s="6"/>
      <c r="FW572" s="6"/>
      <c r="FX572" s="6"/>
      <c r="FY572" s="6"/>
      <c r="FZ572" s="6"/>
      <c r="GA572" s="6"/>
      <c r="GB572" s="6"/>
      <c r="GC572" s="6"/>
      <c r="GD572" s="6"/>
      <c r="GE572" s="6"/>
      <c r="GF572" s="6"/>
      <c r="GG572" s="6"/>
      <c r="GH572" s="6"/>
      <c r="GI572" s="6"/>
      <c r="GJ572" s="6"/>
      <c r="GK572" s="6"/>
      <c r="GL572" s="6"/>
      <c r="GM572" s="6"/>
      <c r="GN572" s="6"/>
      <c r="GO572" s="6"/>
      <c r="GP572" s="6"/>
      <c r="GQ572" s="6"/>
      <c r="GR572" s="6"/>
      <c r="GS572" s="6"/>
      <c r="GT572" s="6"/>
      <c r="GU572" s="6"/>
      <c r="GV572" s="6"/>
      <c r="GW572" s="6"/>
      <c r="GX572" s="6"/>
      <c r="GY572" s="6"/>
      <c r="GZ572" s="6"/>
      <c r="HA572" s="6"/>
      <c r="HB572" s="6"/>
      <c r="HC572" s="6"/>
      <c r="HD572" s="6"/>
      <c r="HE572" s="6"/>
      <c r="HF572" s="6"/>
      <c r="HG572" s="6"/>
      <c r="HH572" s="6"/>
      <c r="HI572" s="6"/>
      <c r="HJ572" s="6"/>
      <c r="HK572" s="6"/>
      <c r="HL572" s="6"/>
      <c r="HM572" s="6"/>
      <c r="HN572" s="6"/>
      <c r="HO572" s="6"/>
      <c r="HP572" s="6"/>
      <c r="HQ572" s="6"/>
      <c r="HR572" s="6"/>
      <c r="HS572" s="6"/>
      <c r="HT572" s="6"/>
      <c r="HU572" s="6"/>
    </row>
    <row r="573" spans="9:229"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  <c r="CP573" s="6"/>
      <c r="CQ573" s="6"/>
      <c r="CR573" s="6"/>
      <c r="CS573" s="6"/>
      <c r="CT573" s="6"/>
      <c r="CU573" s="6"/>
      <c r="CV573" s="6"/>
      <c r="CW573" s="6"/>
      <c r="CX573" s="6"/>
      <c r="CY573" s="6"/>
      <c r="CZ573" s="6"/>
      <c r="DA573" s="6"/>
      <c r="DB573" s="6"/>
      <c r="DC573" s="6"/>
      <c r="DD573" s="6"/>
      <c r="DE573" s="6"/>
      <c r="DF573" s="6"/>
      <c r="DG573" s="6"/>
      <c r="DH573" s="6"/>
      <c r="DI573" s="6"/>
      <c r="DJ573" s="6"/>
      <c r="DK573" s="6"/>
      <c r="DL573" s="6"/>
      <c r="DM573" s="6"/>
      <c r="DN573" s="6"/>
      <c r="DO573" s="6"/>
      <c r="DP573" s="6"/>
      <c r="DQ573" s="6"/>
      <c r="DR573" s="6"/>
      <c r="DS573" s="6"/>
      <c r="DT573" s="6"/>
      <c r="DU573" s="6"/>
      <c r="DV573" s="6"/>
      <c r="DW573" s="6"/>
      <c r="DX573" s="6"/>
      <c r="DY573" s="6"/>
      <c r="DZ573" s="6"/>
      <c r="EA573" s="6"/>
      <c r="EB573" s="6"/>
      <c r="EC573" s="6"/>
      <c r="ED573" s="6"/>
      <c r="EE573" s="6"/>
      <c r="EF573" s="6"/>
      <c r="EG573" s="6"/>
      <c r="EH573" s="6"/>
      <c r="EI573" s="6"/>
      <c r="EJ573" s="6"/>
      <c r="EK573" s="6"/>
      <c r="EL573" s="6"/>
      <c r="EM573" s="6"/>
      <c r="EN573" s="6"/>
      <c r="EO573" s="6"/>
      <c r="EP573" s="6"/>
      <c r="EQ573" s="6"/>
      <c r="ER573" s="6"/>
      <c r="ES573" s="6"/>
      <c r="ET573" s="6"/>
      <c r="EU573" s="6"/>
      <c r="EV573" s="6"/>
      <c r="EW573" s="6"/>
      <c r="EX573" s="6"/>
      <c r="EY573" s="6"/>
      <c r="EZ573" s="6"/>
      <c r="FA573" s="6"/>
      <c r="FB573" s="6"/>
      <c r="FC573" s="6"/>
      <c r="FD573" s="6"/>
      <c r="FE573" s="6"/>
      <c r="FF573" s="6"/>
      <c r="FG573" s="6"/>
      <c r="FH573" s="6"/>
      <c r="FI573" s="6"/>
      <c r="FJ573" s="6"/>
      <c r="FK573" s="6"/>
      <c r="FL573" s="6"/>
      <c r="FM573" s="6"/>
      <c r="FN573" s="6"/>
      <c r="FO573" s="6"/>
      <c r="FP573" s="6"/>
      <c r="FQ573" s="6"/>
      <c r="FR573" s="6"/>
      <c r="FS573" s="6"/>
      <c r="FT573" s="6"/>
      <c r="FU573" s="6"/>
      <c r="FV573" s="6"/>
      <c r="FW573" s="6"/>
      <c r="FX573" s="6"/>
      <c r="FY573" s="6"/>
      <c r="FZ573" s="6"/>
      <c r="GA573" s="6"/>
      <c r="GB573" s="6"/>
      <c r="GC573" s="6"/>
      <c r="GD573" s="6"/>
      <c r="GE573" s="6"/>
      <c r="GF573" s="6"/>
      <c r="GG573" s="6"/>
      <c r="GH573" s="6"/>
      <c r="GI573" s="6"/>
      <c r="GJ573" s="6"/>
      <c r="GK573" s="6"/>
      <c r="GL573" s="6"/>
      <c r="GM573" s="6"/>
      <c r="GN573" s="6"/>
      <c r="GO573" s="6"/>
      <c r="GP573" s="6"/>
      <c r="GQ573" s="6"/>
      <c r="GR573" s="6"/>
      <c r="GS573" s="6"/>
      <c r="GT573" s="6"/>
      <c r="GU573" s="6"/>
      <c r="GV573" s="6"/>
      <c r="GW573" s="6"/>
      <c r="GX573" s="6"/>
      <c r="GY573" s="6"/>
      <c r="GZ573" s="6"/>
      <c r="HA573" s="6"/>
      <c r="HB573" s="6"/>
      <c r="HC573" s="6"/>
      <c r="HD573" s="6"/>
      <c r="HE573" s="6"/>
      <c r="HF573" s="6"/>
      <c r="HG573" s="6"/>
      <c r="HH573" s="6"/>
      <c r="HI573" s="6"/>
      <c r="HJ573" s="6"/>
      <c r="HK573" s="6"/>
      <c r="HL573" s="6"/>
      <c r="HM573" s="6"/>
      <c r="HN573" s="6"/>
      <c r="HO573" s="6"/>
      <c r="HP573" s="6"/>
      <c r="HQ573" s="6"/>
      <c r="HR573" s="6"/>
      <c r="HS573" s="6"/>
      <c r="HT573" s="6"/>
      <c r="HU573" s="6"/>
    </row>
    <row r="574" spans="9:229"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  <c r="CP574" s="6"/>
      <c r="CQ574" s="6"/>
      <c r="CR574" s="6"/>
      <c r="CS574" s="6"/>
      <c r="CT574" s="6"/>
      <c r="CU574" s="6"/>
      <c r="CV574" s="6"/>
      <c r="CW574" s="6"/>
      <c r="CX574" s="6"/>
      <c r="CY574" s="6"/>
      <c r="CZ574" s="6"/>
      <c r="DA574" s="6"/>
      <c r="DB574" s="6"/>
      <c r="DC574" s="6"/>
      <c r="DD574" s="6"/>
      <c r="DE574" s="6"/>
      <c r="DF574" s="6"/>
      <c r="DG574" s="6"/>
      <c r="DH574" s="6"/>
      <c r="DI574" s="6"/>
      <c r="DJ574" s="6"/>
      <c r="DK574" s="6"/>
      <c r="DL574" s="6"/>
      <c r="DM574" s="6"/>
      <c r="DN574" s="6"/>
      <c r="DO574" s="6"/>
      <c r="DP574" s="6"/>
      <c r="DQ574" s="6"/>
      <c r="DR574" s="6"/>
      <c r="DS574" s="6"/>
      <c r="DT574" s="6"/>
      <c r="DU574" s="6"/>
      <c r="DV574" s="6"/>
      <c r="DW574" s="6"/>
      <c r="DX574" s="6"/>
      <c r="DY574" s="6"/>
      <c r="DZ574" s="6"/>
      <c r="EA574" s="6"/>
      <c r="EB574" s="6"/>
      <c r="EC574" s="6"/>
      <c r="ED574" s="6"/>
      <c r="EE574" s="6"/>
      <c r="EF574" s="6"/>
      <c r="EG574" s="6"/>
      <c r="EH574" s="6"/>
      <c r="EI574" s="6"/>
      <c r="EJ574" s="6"/>
      <c r="EK574" s="6"/>
      <c r="EL574" s="6"/>
      <c r="EM574" s="6"/>
      <c r="EN574" s="6"/>
      <c r="EO574" s="6"/>
      <c r="EP574" s="6"/>
      <c r="EQ574" s="6"/>
      <c r="ER574" s="6"/>
      <c r="ES574" s="6"/>
      <c r="ET574" s="6"/>
      <c r="EU574" s="6"/>
      <c r="EV574" s="6"/>
      <c r="EW574" s="6"/>
      <c r="EX574" s="6"/>
      <c r="EY574" s="6"/>
      <c r="EZ574" s="6"/>
      <c r="FA574" s="6"/>
      <c r="FB574" s="6"/>
      <c r="FC574" s="6"/>
      <c r="FD574" s="6"/>
      <c r="FE574" s="6"/>
      <c r="FF574" s="6"/>
      <c r="FG574" s="6"/>
      <c r="FH574" s="6"/>
      <c r="FI574" s="6"/>
      <c r="FJ574" s="6"/>
      <c r="FK574" s="6"/>
      <c r="FL574" s="6"/>
      <c r="FM574" s="6"/>
      <c r="FN574" s="6"/>
      <c r="FO574" s="6"/>
      <c r="FP574" s="6"/>
      <c r="FQ574" s="6"/>
      <c r="FR574" s="6"/>
      <c r="FS574" s="6"/>
      <c r="FT574" s="6"/>
      <c r="FU574" s="6"/>
      <c r="FV574" s="6"/>
      <c r="FW574" s="6"/>
      <c r="FX574" s="6"/>
      <c r="FY574" s="6"/>
      <c r="FZ574" s="6"/>
      <c r="GA574" s="6"/>
      <c r="GB574" s="6"/>
      <c r="GC574" s="6"/>
      <c r="GD574" s="6"/>
      <c r="GE574" s="6"/>
      <c r="GF574" s="6"/>
      <c r="GG574" s="6"/>
      <c r="GH574" s="6"/>
      <c r="GI574" s="6"/>
      <c r="GJ574" s="6"/>
      <c r="GK574" s="6"/>
      <c r="GL574" s="6"/>
      <c r="GM574" s="6"/>
      <c r="GN574" s="6"/>
      <c r="GO574" s="6"/>
      <c r="GP574" s="6"/>
      <c r="GQ574" s="6"/>
      <c r="GR574" s="6"/>
      <c r="GS574" s="6"/>
      <c r="GT574" s="6"/>
      <c r="GU574" s="6"/>
      <c r="GV574" s="6"/>
      <c r="GW574" s="6"/>
      <c r="GX574" s="6"/>
      <c r="GY574" s="6"/>
      <c r="GZ574" s="6"/>
      <c r="HA574" s="6"/>
      <c r="HB574" s="6"/>
      <c r="HC574" s="6"/>
      <c r="HD574" s="6"/>
      <c r="HE574" s="6"/>
      <c r="HF574" s="6"/>
      <c r="HG574" s="6"/>
      <c r="HH574" s="6"/>
      <c r="HI574" s="6"/>
      <c r="HJ574" s="6"/>
      <c r="HK574" s="6"/>
      <c r="HL574" s="6"/>
      <c r="HM574" s="6"/>
      <c r="HN574" s="6"/>
      <c r="HO574" s="6"/>
      <c r="HP574" s="6"/>
      <c r="HQ574" s="6"/>
      <c r="HR574" s="6"/>
      <c r="HS574" s="6"/>
      <c r="HT574" s="6"/>
      <c r="HU574" s="6"/>
    </row>
    <row r="575" spans="9:229"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  <c r="CP575" s="6"/>
      <c r="CQ575" s="6"/>
      <c r="CR575" s="6"/>
      <c r="CS575" s="6"/>
      <c r="CT575" s="6"/>
      <c r="CU575" s="6"/>
      <c r="CV575" s="6"/>
      <c r="CW575" s="6"/>
      <c r="CX575" s="6"/>
      <c r="CY575" s="6"/>
      <c r="CZ575" s="6"/>
      <c r="DA575" s="6"/>
      <c r="DB575" s="6"/>
      <c r="DC575" s="6"/>
      <c r="DD575" s="6"/>
      <c r="DE575" s="6"/>
      <c r="DF575" s="6"/>
      <c r="DG575" s="6"/>
      <c r="DH575" s="6"/>
      <c r="DI575" s="6"/>
      <c r="DJ575" s="6"/>
      <c r="DK575" s="6"/>
      <c r="DL575" s="6"/>
      <c r="DM575" s="6"/>
      <c r="DN575" s="6"/>
      <c r="DO575" s="6"/>
      <c r="DP575" s="6"/>
      <c r="DQ575" s="6"/>
      <c r="DR575" s="6"/>
      <c r="DS575" s="6"/>
      <c r="DT575" s="6"/>
      <c r="DU575" s="6"/>
      <c r="DV575" s="6"/>
      <c r="DW575" s="6"/>
      <c r="DX575" s="6"/>
      <c r="DY575" s="6"/>
      <c r="DZ575" s="6"/>
      <c r="EA575" s="6"/>
      <c r="EB575" s="6"/>
      <c r="EC575" s="6"/>
      <c r="ED575" s="6"/>
      <c r="EE575" s="6"/>
      <c r="EF575" s="6"/>
      <c r="EG575" s="6"/>
      <c r="EH575" s="6"/>
      <c r="EI575" s="6"/>
      <c r="EJ575" s="6"/>
      <c r="EK575" s="6"/>
      <c r="EL575" s="6"/>
      <c r="EM575" s="6"/>
      <c r="EN575" s="6"/>
      <c r="EO575" s="6"/>
      <c r="EP575" s="6"/>
      <c r="EQ575" s="6"/>
      <c r="ER575" s="6"/>
      <c r="ES575" s="6"/>
      <c r="ET575" s="6"/>
      <c r="EU575" s="6"/>
      <c r="EV575" s="6"/>
      <c r="EW575" s="6"/>
      <c r="EX575" s="6"/>
      <c r="EY575" s="6"/>
      <c r="EZ575" s="6"/>
      <c r="FA575" s="6"/>
      <c r="FB575" s="6"/>
      <c r="FC575" s="6"/>
      <c r="FD575" s="6"/>
      <c r="FE575" s="6"/>
      <c r="FF575" s="6"/>
      <c r="FG575" s="6"/>
      <c r="FH575" s="6"/>
      <c r="FI575" s="6"/>
      <c r="FJ575" s="6"/>
      <c r="FK575" s="6"/>
      <c r="FL575" s="6"/>
      <c r="FM575" s="6"/>
      <c r="FN575" s="6"/>
      <c r="FO575" s="6"/>
      <c r="FP575" s="6"/>
      <c r="FQ575" s="6"/>
      <c r="FR575" s="6"/>
      <c r="FS575" s="6"/>
      <c r="FT575" s="6"/>
      <c r="FU575" s="6"/>
      <c r="FV575" s="6"/>
      <c r="FW575" s="6"/>
      <c r="FX575" s="6"/>
      <c r="FY575" s="6"/>
      <c r="FZ575" s="6"/>
      <c r="GA575" s="6"/>
      <c r="GB575" s="6"/>
      <c r="GC575" s="6"/>
      <c r="GD575" s="6"/>
      <c r="GE575" s="6"/>
      <c r="GF575" s="6"/>
      <c r="GG575" s="6"/>
      <c r="GH575" s="6"/>
      <c r="GI575" s="6"/>
      <c r="GJ575" s="6"/>
      <c r="GK575" s="6"/>
      <c r="GL575" s="6"/>
      <c r="GM575" s="6"/>
      <c r="GN575" s="6"/>
      <c r="GO575" s="6"/>
      <c r="GP575" s="6"/>
      <c r="GQ575" s="6"/>
      <c r="GR575" s="6"/>
      <c r="GS575" s="6"/>
      <c r="GT575" s="6"/>
      <c r="GU575" s="6"/>
      <c r="GV575" s="6"/>
      <c r="GW575" s="6"/>
      <c r="GX575" s="6"/>
      <c r="GY575" s="6"/>
      <c r="GZ575" s="6"/>
      <c r="HA575" s="6"/>
      <c r="HB575" s="6"/>
      <c r="HC575" s="6"/>
      <c r="HD575" s="6"/>
      <c r="HE575" s="6"/>
      <c r="HF575" s="6"/>
      <c r="HG575" s="6"/>
      <c r="HH575" s="6"/>
      <c r="HI575" s="6"/>
      <c r="HJ575" s="6"/>
      <c r="HK575" s="6"/>
      <c r="HL575" s="6"/>
      <c r="HM575" s="6"/>
      <c r="HN575" s="6"/>
      <c r="HO575" s="6"/>
      <c r="HP575" s="6"/>
      <c r="HQ575" s="6"/>
      <c r="HR575" s="6"/>
      <c r="HS575" s="6"/>
      <c r="HT575" s="6"/>
      <c r="HU575" s="6"/>
    </row>
    <row r="576" spans="9:229"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  <c r="CP576" s="6"/>
      <c r="CQ576" s="6"/>
      <c r="CR576" s="6"/>
      <c r="CS576" s="6"/>
      <c r="CT576" s="6"/>
      <c r="CU576" s="6"/>
      <c r="CV576" s="6"/>
      <c r="CW576" s="6"/>
      <c r="CX576" s="6"/>
      <c r="CY576" s="6"/>
      <c r="CZ576" s="6"/>
      <c r="DA576" s="6"/>
      <c r="DB576" s="6"/>
      <c r="DC576" s="6"/>
      <c r="DD576" s="6"/>
      <c r="DE576" s="6"/>
      <c r="DF576" s="6"/>
      <c r="DG576" s="6"/>
      <c r="DH576" s="6"/>
      <c r="DI576" s="6"/>
      <c r="DJ576" s="6"/>
      <c r="DK576" s="6"/>
      <c r="DL576" s="6"/>
      <c r="DM576" s="6"/>
      <c r="DN576" s="6"/>
      <c r="DO576" s="6"/>
      <c r="DP576" s="6"/>
      <c r="DQ576" s="6"/>
      <c r="DR576" s="6"/>
      <c r="DS576" s="6"/>
      <c r="DT576" s="6"/>
      <c r="DU576" s="6"/>
      <c r="DV576" s="6"/>
      <c r="DW576" s="6"/>
      <c r="DX576" s="6"/>
      <c r="DY576" s="6"/>
      <c r="DZ576" s="6"/>
      <c r="EA576" s="6"/>
      <c r="EB576" s="6"/>
      <c r="EC576" s="6"/>
      <c r="ED576" s="6"/>
      <c r="EE576" s="6"/>
      <c r="EF576" s="6"/>
      <c r="EG576" s="6"/>
      <c r="EH576" s="6"/>
      <c r="EI576" s="6"/>
      <c r="EJ576" s="6"/>
      <c r="EK576" s="6"/>
      <c r="EL576" s="6"/>
      <c r="EM576" s="6"/>
      <c r="EN576" s="6"/>
      <c r="EO576" s="6"/>
      <c r="EP576" s="6"/>
      <c r="EQ576" s="6"/>
      <c r="ER576" s="6"/>
      <c r="ES576" s="6"/>
      <c r="ET576" s="6"/>
      <c r="EU576" s="6"/>
      <c r="EV576" s="6"/>
      <c r="EW576" s="6"/>
      <c r="EX576" s="6"/>
      <c r="EY576" s="6"/>
      <c r="EZ576" s="6"/>
      <c r="FA576" s="6"/>
      <c r="FB576" s="6"/>
      <c r="FC576" s="6"/>
      <c r="FD576" s="6"/>
      <c r="FE576" s="6"/>
      <c r="FF576" s="6"/>
      <c r="FG576" s="6"/>
      <c r="FH576" s="6"/>
      <c r="FI576" s="6"/>
      <c r="FJ576" s="6"/>
      <c r="FK576" s="6"/>
      <c r="FL576" s="6"/>
      <c r="FM576" s="6"/>
      <c r="FN576" s="6"/>
      <c r="FO576" s="6"/>
      <c r="FP576" s="6"/>
      <c r="FQ576" s="6"/>
      <c r="FR576" s="6"/>
      <c r="FS576" s="6"/>
      <c r="FT576" s="6"/>
      <c r="FU576" s="6"/>
      <c r="FV576" s="6"/>
      <c r="FW576" s="6"/>
      <c r="FX576" s="6"/>
      <c r="FY576" s="6"/>
      <c r="FZ576" s="6"/>
      <c r="GA576" s="6"/>
      <c r="GB576" s="6"/>
      <c r="GC576" s="6"/>
      <c r="GD576" s="6"/>
      <c r="GE576" s="6"/>
      <c r="GF576" s="6"/>
      <c r="GG576" s="6"/>
      <c r="GH576" s="6"/>
      <c r="GI576" s="6"/>
      <c r="GJ576" s="6"/>
      <c r="GK576" s="6"/>
      <c r="GL576" s="6"/>
      <c r="GM576" s="6"/>
      <c r="GN576" s="6"/>
      <c r="GO576" s="6"/>
      <c r="GP576" s="6"/>
      <c r="GQ576" s="6"/>
      <c r="GR576" s="6"/>
      <c r="GS576" s="6"/>
      <c r="GT576" s="6"/>
      <c r="GU576" s="6"/>
      <c r="GV576" s="6"/>
      <c r="GW576" s="6"/>
      <c r="GX576" s="6"/>
      <c r="GY576" s="6"/>
      <c r="GZ576" s="6"/>
      <c r="HA576" s="6"/>
      <c r="HB576" s="6"/>
      <c r="HC576" s="6"/>
      <c r="HD576" s="6"/>
      <c r="HE576" s="6"/>
      <c r="HF576" s="6"/>
      <c r="HG576" s="6"/>
      <c r="HH576" s="6"/>
      <c r="HI576" s="6"/>
      <c r="HJ576" s="6"/>
      <c r="HK576" s="6"/>
      <c r="HL576" s="6"/>
      <c r="HM576" s="6"/>
      <c r="HN576" s="6"/>
      <c r="HO576" s="6"/>
      <c r="HP576" s="6"/>
      <c r="HQ576" s="6"/>
      <c r="HR576" s="6"/>
      <c r="HS576" s="6"/>
      <c r="HT576" s="6"/>
      <c r="HU576" s="6"/>
    </row>
    <row r="577" spans="9:229"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  <c r="CP577" s="6"/>
      <c r="CQ577" s="6"/>
      <c r="CR577" s="6"/>
      <c r="CS577" s="6"/>
      <c r="CT577" s="6"/>
      <c r="CU577" s="6"/>
      <c r="CV577" s="6"/>
      <c r="CW577" s="6"/>
      <c r="CX577" s="6"/>
      <c r="CY577" s="6"/>
      <c r="CZ577" s="6"/>
      <c r="DA577" s="6"/>
      <c r="DB577" s="6"/>
      <c r="DC577" s="6"/>
      <c r="DD577" s="6"/>
      <c r="DE577" s="6"/>
      <c r="DF577" s="6"/>
      <c r="DG577" s="6"/>
      <c r="DH577" s="6"/>
      <c r="DI577" s="6"/>
      <c r="DJ577" s="6"/>
      <c r="DK577" s="6"/>
      <c r="DL577" s="6"/>
      <c r="DM577" s="6"/>
      <c r="DN577" s="6"/>
      <c r="DO577" s="6"/>
      <c r="DP577" s="6"/>
      <c r="DQ577" s="6"/>
      <c r="DR577" s="6"/>
      <c r="DS577" s="6"/>
      <c r="DT577" s="6"/>
      <c r="DU577" s="6"/>
      <c r="DV577" s="6"/>
      <c r="DW577" s="6"/>
      <c r="DX577" s="6"/>
      <c r="DY577" s="6"/>
      <c r="DZ577" s="6"/>
      <c r="EA577" s="6"/>
      <c r="EB577" s="6"/>
      <c r="EC577" s="6"/>
      <c r="ED577" s="6"/>
      <c r="EE577" s="6"/>
      <c r="EF577" s="6"/>
      <c r="EG577" s="6"/>
      <c r="EH577" s="6"/>
      <c r="EI577" s="6"/>
      <c r="EJ577" s="6"/>
      <c r="EK577" s="6"/>
      <c r="EL577" s="6"/>
      <c r="EM577" s="6"/>
      <c r="EN577" s="6"/>
      <c r="EO577" s="6"/>
      <c r="EP577" s="6"/>
      <c r="EQ577" s="6"/>
      <c r="ER577" s="6"/>
      <c r="ES577" s="6"/>
      <c r="ET577" s="6"/>
      <c r="EU577" s="6"/>
      <c r="EV577" s="6"/>
      <c r="EW577" s="6"/>
      <c r="EX577" s="6"/>
      <c r="EY577" s="6"/>
      <c r="EZ577" s="6"/>
      <c r="FA577" s="6"/>
      <c r="FB577" s="6"/>
      <c r="FC577" s="6"/>
      <c r="FD577" s="6"/>
      <c r="FE577" s="6"/>
      <c r="FF577" s="6"/>
      <c r="FG577" s="6"/>
      <c r="FH577" s="6"/>
      <c r="FI577" s="6"/>
      <c r="FJ577" s="6"/>
      <c r="FK577" s="6"/>
      <c r="FL577" s="6"/>
      <c r="FM577" s="6"/>
      <c r="FN577" s="6"/>
      <c r="FO577" s="6"/>
      <c r="FP577" s="6"/>
      <c r="FQ577" s="6"/>
      <c r="FR577" s="6"/>
      <c r="FS577" s="6"/>
      <c r="FT577" s="6"/>
      <c r="FU577" s="6"/>
      <c r="FV577" s="6"/>
      <c r="FW577" s="6"/>
      <c r="FX577" s="6"/>
      <c r="FY577" s="6"/>
      <c r="FZ577" s="6"/>
      <c r="GA577" s="6"/>
      <c r="GB577" s="6"/>
      <c r="GC577" s="6"/>
      <c r="GD577" s="6"/>
      <c r="GE577" s="6"/>
      <c r="GF577" s="6"/>
      <c r="GG577" s="6"/>
      <c r="GH577" s="6"/>
      <c r="GI577" s="6"/>
      <c r="GJ577" s="6"/>
      <c r="GK577" s="6"/>
      <c r="GL577" s="6"/>
      <c r="GM577" s="6"/>
      <c r="GN577" s="6"/>
      <c r="GO577" s="6"/>
      <c r="GP577" s="6"/>
      <c r="GQ577" s="6"/>
      <c r="GR577" s="6"/>
      <c r="GS577" s="6"/>
      <c r="GT577" s="6"/>
      <c r="GU577" s="6"/>
      <c r="GV577" s="6"/>
      <c r="GW577" s="6"/>
      <c r="GX577" s="6"/>
      <c r="GY577" s="6"/>
      <c r="GZ577" s="6"/>
      <c r="HA577" s="6"/>
      <c r="HB577" s="6"/>
      <c r="HC577" s="6"/>
      <c r="HD577" s="6"/>
      <c r="HE577" s="6"/>
      <c r="HF577" s="6"/>
      <c r="HG577" s="6"/>
      <c r="HH577" s="6"/>
      <c r="HI577" s="6"/>
      <c r="HJ577" s="6"/>
      <c r="HK577" s="6"/>
      <c r="HL577" s="6"/>
      <c r="HM577" s="6"/>
      <c r="HN577" s="6"/>
      <c r="HO577" s="6"/>
      <c r="HP577" s="6"/>
      <c r="HQ577" s="6"/>
      <c r="HR577" s="6"/>
      <c r="HS577" s="6"/>
      <c r="HT577" s="6"/>
      <c r="HU577" s="6"/>
    </row>
    <row r="578" spans="9:229"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  <c r="CP578" s="6"/>
      <c r="CQ578" s="6"/>
      <c r="CR578" s="6"/>
      <c r="CS578" s="6"/>
      <c r="CT578" s="6"/>
      <c r="CU578" s="6"/>
      <c r="CV578" s="6"/>
      <c r="CW578" s="6"/>
      <c r="CX578" s="6"/>
      <c r="CY578" s="6"/>
      <c r="CZ578" s="6"/>
      <c r="DA578" s="6"/>
      <c r="DB578" s="6"/>
      <c r="DC578" s="6"/>
      <c r="DD578" s="6"/>
      <c r="DE578" s="6"/>
      <c r="DF578" s="6"/>
      <c r="DG578" s="6"/>
      <c r="DH578" s="6"/>
      <c r="DI578" s="6"/>
      <c r="DJ578" s="6"/>
      <c r="DK578" s="6"/>
      <c r="DL578" s="6"/>
      <c r="DM578" s="6"/>
      <c r="DN578" s="6"/>
      <c r="DO578" s="6"/>
      <c r="DP578" s="6"/>
      <c r="DQ578" s="6"/>
      <c r="DR578" s="6"/>
      <c r="DS578" s="6"/>
      <c r="DT578" s="6"/>
      <c r="DU578" s="6"/>
      <c r="DV578" s="6"/>
      <c r="DW578" s="6"/>
      <c r="DX578" s="6"/>
      <c r="DY578" s="6"/>
      <c r="DZ578" s="6"/>
      <c r="EA578" s="6"/>
      <c r="EB578" s="6"/>
      <c r="EC578" s="6"/>
      <c r="ED578" s="6"/>
      <c r="EE578" s="6"/>
      <c r="EF578" s="6"/>
      <c r="EG578" s="6"/>
      <c r="EH578" s="6"/>
      <c r="EI578" s="6"/>
      <c r="EJ578" s="6"/>
      <c r="EK578" s="6"/>
      <c r="EL578" s="6"/>
      <c r="EM578" s="6"/>
      <c r="EN578" s="6"/>
      <c r="EO578" s="6"/>
      <c r="EP578" s="6"/>
      <c r="EQ578" s="6"/>
      <c r="ER578" s="6"/>
      <c r="ES578" s="6"/>
      <c r="ET578" s="6"/>
      <c r="EU578" s="6"/>
      <c r="EV578" s="6"/>
      <c r="EW578" s="6"/>
      <c r="EX578" s="6"/>
      <c r="EY578" s="6"/>
      <c r="EZ578" s="6"/>
      <c r="FA578" s="6"/>
      <c r="FB578" s="6"/>
      <c r="FC578" s="6"/>
      <c r="FD578" s="6"/>
      <c r="FE578" s="6"/>
      <c r="FF578" s="6"/>
      <c r="FG578" s="6"/>
      <c r="FH578" s="6"/>
      <c r="FI578" s="6"/>
      <c r="FJ578" s="6"/>
      <c r="FK578" s="6"/>
      <c r="FL578" s="6"/>
      <c r="FM578" s="6"/>
      <c r="FN578" s="6"/>
      <c r="FO578" s="6"/>
      <c r="FP578" s="6"/>
      <c r="FQ578" s="6"/>
      <c r="FR578" s="6"/>
      <c r="FS578" s="6"/>
      <c r="FT578" s="6"/>
      <c r="FU578" s="6"/>
      <c r="FV578" s="6"/>
      <c r="FW578" s="6"/>
      <c r="FX578" s="6"/>
      <c r="FY578" s="6"/>
      <c r="FZ578" s="6"/>
      <c r="GA578" s="6"/>
      <c r="GB578" s="6"/>
      <c r="GC578" s="6"/>
      <c r="GD578" s="6"/>
      <c r="GE578" s="6"/>
      <c r="GF578" s="6"/>
      <c r="GG578" s="6"/>
      <c r="GH578" s="6"/>
      <c r="GI578" s="6"/>
      <c r="GJ578" s="6"/>
      <c r="GK578" s="6"/>
      <c r="GL578" s="6"/>
      <c r="GM578" s="6"/>
      <c r="GN578" s="6"/>
      <c r="GO578" s="6"/>
      <c r="GP578" s="6"/>
      <c r="GQ578" s="6"/>
      <c r="GR578" s="6"/>
      <c r="GS578" s="6"/>
      <c r="GT578" s="6"/>
      <c r="GU578" s="6"/>
      <c r="GV578" s="6"/>
      <c r="GW578" s="6"/>
      <c r="GX578" s="6"/>
      <c r="GY578" s="6"/>
      <c r="GZ578" s="6"/>
      <c r="HA578" s="6"/>
      <c r="HB578" s="6"/>
      <c r="HC578" s="6"/>
      <c r="HD578" s="6"/>
      <c r="HE578" s="6"/>
      <c r="HF578" s="6"/>
      <c r="HG578" s="6"/>
      <c r="HH578" s="6"/>
      <c r="HI578" s="6"/>
      <c r="HJ578" s="6"/>
      <c r="HK578" s="6"/>
      <c r="HL578" s="6"/>
      <c r="HM578" s="6"/>
      <c r="HN578" s="6"/>
      <c r="HO578" s="6"/>
      <c r="HP578" s="6"/>
      <c r="HQ578" s="6"/>
      <c r="HR578" s="6"/>
      <c r="HS578" s="6"/>
      <c r="HT578" s="6"/>
      <c r="HU578" s="6"/>
    </row>
    <row r="579" spans="9:229"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  <c r="CP579" s="6"/>
      <c r="CQ579" s="6"/>
      <c r="CR579" s="6"/>
      <c r="CS579" s="6"/>
      <c r="CT579" s="6"/>
      <c r="CU579" s="6"/>
      <c r="CV579" s="6"/>
      <c r="CW579" s="6"/>
      <c r="CX579" s="6"/>
      <c r="CY579" s="6"/>
      <c r="CZ579" s="6"/>
      <c r="DA579" s="6"/>
      <c r="DB579" s="6"/>
      <c r="DC579" s="6"/>
      <c r="DD579" s="6"/>
      <c r="DE579" s="6"/>
      <c r="DF579" s="6"/>
      <c r="DG579" s="6"/>
      <c r="DH579" s="6"/>
      <c r="DI579" s="6"/>
      <c r="DJ579" s="6"/>
      <c r="DK579" s="6"/>
      <c r="DL579" s="6"/>
      <c r="DM579" s="6"/>
      <c r="DN579" s="6"/>
      <c r="DO579" s="6"/>
      <c r="DP579" s="6"/>
      <c r="DQ579" s="6"/>
      <c r="DR579" s="6"/>
      <c r="DS579" s="6"/>
      <c r="DT579" s="6"/>
      <c r="DU579" s="6"/>
      <c r="DV579" s="6"/>
      <c r="DW579" s="6"/>
      <c r="DX579" s="6"/>
      <c r="DY579" s="6"/>
      <c r="DZ579" s="6"/>
      <c r="EA579" s="6"/>
      <c r="EB579" s="6"/>
      <c r="EC579" s="6"/>
      <c r="ED579" s="6"/>
      <c r="EE579" s="6"/>
      <c r="EF579" s="6"/>
      <c r="EG579" s="6"/>
      <c r="EH579" s="6"/>
      <c r="EI579" s="6"/>
      <c r="EJ579" s="6"/>
      <c r="EK579" s="6"/>
      <c r="EL579" s="6"/>
      <c r="EM579" s="6"/>
      <c r="EN579" s="6"/>
      <c r="EO579" s="6"/>
      <c r="EP579" s="6"/>
      <c r="EQ579" s="6"/>
      <c r="ER579" s="6"/>
      <c r="ES579" s="6"/>
      <c r="ET579" s="6"/>
      <c r="EU579" s="6"/>
      <c r="EV579" s="6"/>
      <c r="EW579" s="6"/>
      <c r="EX579" s="6"/>
      <c r="EY579" s="6"/>
      <c r="EZ579" s="6"/>
      <c r="FA579" s="6"/>
      <c r="FB579" s="6"/>
      <c r="FC579" s="6"/>
      <c r="FD579" s="6"/>
      <c r="FE579" s="6"/>
      <c r="FF579" s="6"/>
      <c r="FG579" s="6"/>
      <c r="FH579" s="6"/>
      <c r="FI579" s="6"/>
      <c r="FJ579" s="6"/>
      <c r="FK579" s="6"/>
      <c r="FL579" s="6"/>
      <c r="FM579" s="6"/>
      <c r="FN579" s="6"/>
      <c r="FO579" s="6"/>
      <c r="FP579" s="6"/>
      <c r="FQ579" s="6"/>
      <c r="FR579" s="6"/>
      <c r="FS579" s="6"/>
      <c r="FT579" s="6"/>
      <c r="FU579" s="6"/>
      <c r="FV579" s="6"/>
      <c r="FW579" s="6"/>
      <c r="FX579" s="6"/>
      <c r="FY579" s="6"/>
      <c r="FZ579" s="6"/>
      <c r="GA579" s="6"/>
      <c r="GB579" s="6"/>
      <c r="GC579" s="6"/>
      <c r="GD579" s="6"/>
      <c r="GE579" s="6"/>
      <c r="GF579" s="6"/>
      <c r="GG579" s="6"/>
      <c r="GH579" s="6"/>
      <c r="GI579" s="6"/>
      <c r="GJ579" s="6"/>
      <c r="GK579" s="6"/>
      <c r="GL579" s="6"/>
      <c r="GM579" s="6"/>
      <c r="GN579" s="6"/>
      <c r="GO579" s="6"/>
      <c r="GP579" s="6"/>
      <c r="GQ579" s="6"/>
      <c r="GR579" s="6"/>
      <c r="GS579" s="6"/>
      <c r="GT579" s="6"/>
      <c r="GU579" s="6"/>
      <c r="GV579" s="6"/>
      <c r="GW579" s="6"/>
      <c r="GX579" s="6"/>
      <c r="GY579" s="6"/>
      <c r="GZ579" s="6"/>
      <c r="HA579" s="6"/>
      <c r="HB579" s="6"/>
      <c r="HC579" s="6"/>
      <c r="HD579" s="6"/>
      <c r="HE579" s="6"/>
      <c r="HF579" s="6"/>
      <c r="HG579" s="6"/>
      <c r="HH579" s="6"/>
      <c r="HI579" s="6"/>
      <c r="HJ579" s="6"/>
      <c r="HK579" s="6"/>
      <c r="HL579" s="6"/>
      <c r="HM579" s="6"/>
      <c r="HN579" s="6"/>
      <c r="HO579" s="6"/>
      <c r="HP579" s="6"/>
      <c r="HQ579" s="6"/>
      <c r="HR579" s="6"/>
      <c r="HS579" s="6"/>
      <c r="HT579" s="6"/>
      <c r="HU579" s="6"/>
    </row>
    <row r="580" spans="9:229"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  <c r="CP580" s="6"/>
      <c r="CQ580" s="6"/>
      <c r="CR580" s="6"/>
      <c r="CS580" s="6"/>
      <c r="CT580" s="6"/>
      <c r="CU580" s="6"/>
      <c r="CV580" s="6"/>
      <c r="CW580" s="6"/>
      <c r="CX580" s="6"/>
      <c r="CY580" s="6"/>
      <c r="CZ580" s="6"/>
      <c r="DA580" s="6"/>
      <c r="DB580" s="6"/>
      <c r="DC580" s="6"/>
      <c r="DD580" s="6"/>
      <c r="DE580" s="6"/>
      <c r="DF580" s="6"/>
      <c r="DG580" s="6"/>
      <c r="DH580" s="6"/>
      <c r="DI580" s="6"/>
      <c r="DJ580" s="6"/>
      <c r="DK580" s="6"/>
      <c r="DL580" s="6"/>
      <c r="DM580" s="6"/>
      <c r="DN580" s="6"/>
      <c r="DO580" s="6"/>
      <c r="DP580" s="6"/>
      <c r="DQ580" s="6"/>
      <c r="DR580" s="6"/>
      <c r="DS580" s="6"/>
      <c r="DT580" s="6"/>
      <c r="DU580" s="6"/>
      <c r="DV580" s="6"/>
      <c r="DW580" s="6"/>
      <c r="DX580" s="6"/>
      <c r="DY580" s="6"/>
      <c r="DZ580" s="6"/>
      <c r="EA580" s="6"/>
      <c r="EB580" s="6"/>
      <c r="EC580" s="6"/>
      <c r="ED580" s="6"/>
      <c r="EE580" s="6"/>
      <c r="EF580" s="6"/>
      <c r="EG580" s="6"/>
      <c r="EH580" s="6"/>
      <c r="EI580" s="6"/>
      <c r="EJ580" s="6"/>
      <c r="EK580" s="6"/>
      <c r="EL580" s="6"/>
      <c r="EM580" s="6"/>
      <c r="EN580" s="6"/>
      <c r="EO580" s="6"/>
      <c r="EP580" s="6"/>
      <c r="EQ580" s="6"/>
      <c r="ER580" s="6"/>
      <c r="ES580" s="6"/>
      <c r="ET580" s="6"/>
      <c r="EU580" s="6"/>
      <c r="EV580" s="6"/>
      <c r="EW580" s="6"/>
      <c r="EX580" s="6"/>
      <c r="EY580" s="6"/>
      <c r="EZ580" s="6"/>
      <c r="FA580" s="6"/>
      <c r="FB580" s="6"/>
      <c r="FC580" s="6"/>
      <c r="FD580" s="6"/>
      <c r="FE580" s="6"/>
      <c r="FF580" s="6"/>
      <c r="FG580" s="6"/>
      <c r="FH580" s="6"/>
      <c r="FI580" s="6"/>
      <c r="FJ580" s="6"/>
      <c r="FK580" s="6"/>
      <c r="FL580" s="6"/>
      <c r="FM580" s="6"/>
      <c r="FN580" s="6"/>
      <c r="FO580" s="6"/>
      <c r="FP580" s="6"/>
      <c r="FQ580" s="6"/>
      <c r="FR580" s="6"/>
      <c r="FS580" s="6"/>
      <c r="FT580" s="6"/>
      <c r="FU580" s="6"/>
      <c r="FV580" s="6"/>
      <c r="FW580" s="6"/>
      <c r="FX580" s="6"/>
      <c r="FY580" s="6"/>
      <c r="FZ580" s="6"/>
      <c r="GA580" s="6"/>
      <c r="GB580" s="6"/>
      <c r="GC580" s="6"/>
      <c r="GD580" s="6"/>
      <c r="GE580" s="6"/>
      <c r="GF580" s="6"/>
      <c r="GG580" s="6"/>
      <c r="GH580" s="6"/>
      <c r="GI580" s="6"/>
      <c r="GJ580" s="6"/>
      <c r="GK580" s="6"/>
      <c r="GL580" s="6"/>
      <c r="GM580" s="6"/>
      <c r="GN580" s="6"/>
      <c r="GO580" s="6"/>
      <c r="GP580" s="6"/>
      <c r="GQ580" s="6"/>
      <c r="GR580" s="6"/>
      <c r="GS580" s="6"/>
      <c r="GT580" s="6"/>
      <c r="GU580" s="6"/>
      <c r="GV580" s="6"/>
      <c r="GW580" s="6"/>
      <c r="GX580" s="6"/>
      <c r="GY580" s="6"/>
      <c r="GZ580" s="6"/>
      <c r="HA580" s="6"/>
      <c r="HB580" s="6"/>
      <c r="HC580" s="6"/>
      <c r="HD580" s="6"/>
      <c r="HE580" s="6"/>
      <c r="HF580" s="6"/>
      <c r="HG580" s="6"/>
      <c r="HH580" s="6"/>
      <c r="HI580" s="6"/>
      <c r="HJ580" s="6"/>
      <c r="HK580" s="6"/>
      <c r="HL580" s="6"/>
      <c r="HM580" s="6"/>
      <c r="HN580" s="6"/>
      <c r="HO580" s="6"/>
      <c r="HP580" s="6"/>
      <c r="HQ580" s="6"/>
      <c r="HR580" s="6"/>
      <c r="HS580" s="6"/>
      <c r="HT580" s="6"/>
      <c r="HU580" s="6"/>
    </row>
    <row r="581" spans="9:229"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  <c r="CP581" s="6"/>
      <c r="CQ581" s="6"/>
      <c r="CR581" s="6"/>
      <c r="CS581" s="6"/>
      <c r="CT581" s="6"/>
      <c r="CU581" s="6"/>
      <c r="CV581" s="6"/>
      <c r="CW581" s="6"/>
      <c r="CX581" s="6"/>
      <c r="CY581" s="6"/>
      <c r="CZ581" s="6"/>
      <c r="DA581" s="6"/>
      <c r="DB581" s="6"/>
      <c r="DC581" s="6"/>
      <c r="DD581" s="6"/>
      <c r="DE581" s="6"/>
      <c r="DF581" s="6"/>
      <c r="DG581" s="6"/>
      <c r="DH581" s="6"/>
      <c r="DI581" s="6"/>
      <c r="DJ581" s="6"/>
      <c r="DK581" s="6"/>
      <c r="DL581" s="6"/>
      <c r="DM581" s="6"/>
      <c r="DN581" s="6"/>
      <c r="DO581" s="6"/>
      <c r="DP581" s="6"/>
      <c r="DQ581" s="6"/>
      <c r="DR581" s="6"/>
      <c r="DS581" s="6"/>
      <c r="DT581" s="6"/>
      <c r="DU581" s="6"/>
      <c r="DV581" s="6"/>
      <c r="DW581" s="6"/>
      <c r="DX581" s="6"/>
      <c r="DY581" s="6"/>
      <c r="DZ581" s="6"/>
      <c r="EA581" s="6"/>
      <c r="EB581" s="6"/>
      <c r="EC581" s="6"/>
      <c r="ED581" s="6"/>
      <c r="EE581" s="6"/>
      <c r="EF581" s="6"/>
      <c r="EG581" s="6"/>
      <c r="EH581" s="6"/>
      <c r="EI581" s="6"/>
      <c r="EJ581" s="6"/>
      <c r="EK581" s="6"/>
      <c r="EL581" s="6"/>
      <c r="EM581" s="6"/>
      <c r="EN581" s="6"/>
      <c r="EO581" s="6"/>
      <c r="EP581" s="6"/>
      <c r="EQ581" s="6"/>
      <c r="ER581" s="6"/>
      <c r="ES581" s="6"/>
      <c r="ET581" s="6"/>
      <c r="EU581" s="6"/>
      <c r="EV581" s="6"/>
      <c r="EW581" s="6"/>
      <c r="EX581" s="6"/>
      <c r="EY581" s="6"/>
      <c r="EZ581" s="6"/>
      <c r="FA581" s="6"/>
      <c r="FB581" s="6"/>
      <c r="FC581" s="6"/>
      <c r="FD581" s="6"/>
      <c r="FE581" s="6"/>
      <c r="FF581" s="6"/>
      <c r="FG581" s="6"/>
      <c r="FH581" s="6"/>
      <c r="FI581" s="6"/>
      <c r="FJ581" s="6"/>
      <c r="FK581" s="6"/>
      <c r="FL581" s="6"/>
      <c r="FM581" s="6"/>
      <c r="FN581" s="6"/>
      <c r="FO581" s="6"/>
      <c r="FP581" s="6"/>
      <c r="FQ581" s="6"/>
      <c r="FR581" s="6"/>
      <c r="FS581" s="6"/>
      <c r="FT581" s="6"/>
      <c r="FU581" s="6"/>
      <c r="FV581" s="6"/>
      <c r="FW581" s="6"/>
      <c r="FX581" s="6"/>
      <c r="FY581" s="6"/>
      <c r="FZ581" s="6"/>
      <c r="GA581" s="6"/>
      <c r="GB581" s="6"/>
      <c r="GC581" s="6"/>
      <c r="GD581" s="6"/>
      <c r="GE581" s="6"/>
      <c r="GF581" s="6"/>
      <c r="GG581" s="6"/>
      <c r="GH581" s="6"/>
      <c r="GI581" s="6"/>
      <c r="GJ581" s="6"/>
      <c r="GK581" s="6"/>
      <c r="GL581" s="6"/>
      <c r="GM581" s="6"/>
      <c r="GN581" s="6"/>
      <c r="GO581" s="6"/>
      <c r="GP581" s="6"/>
      <c r="GQ581" s="6"/>
      <c r="GR581" s="6"/>
      <c r="GS581" s="6"/>
      <c r="GT581" s="6"/>
      <c r="GU581" s="6"/>
      <c r="GV581" s="6"/>
      <c r="GW581" s="6"/>
      <c r="GX581" s="6"/>
      <c r="GY581" s="6"/>
      <c r="GZ581" s="6"/>
      <c r="HA581" s="6"/>
      <c r="HB581" s="6"/>
      <c r="HC581" s="6"/>
      <c r="HD581" s="6"/>
      <c r="HE581" s="6"/>
      <c r="HF581" s="6"/>
      <c r="HG581" s="6"/>
      <c r="HH581" s="6"/>
      <c r="HI581" s="6"/>
      <c r="HJ581" s="6"/>
      <c r="HK581" s="6"/>
      <c r="HL581" s="6"/>
      <c r="HM581" s="6"/>
      <c r="HN581" s="6"/>
      <c r="HO581" s="6"/>
      <c r="HP581" s="6"/>
      <c r="HQ581" s="6"/>
      <c r="HR581" s="6"/>
      <c r="HS581" s="6"/>
      <c r="HT581" s="6"/>
      <c r="HU581" s="6"/>
    </row>
    <row r="582" spans="9:229"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  <c r="CP582" s="6"/>
      <c r="CQ582" s="6"/>
      <c r="CR582" s="6"/>
      <c r="CS582" s="6"/>
      <c r="CT582" s="6"/>
      <c r="CU582" s="6"/>
      <c r="CV582" s="6"/>
      <c r="CW582" s="6"/>
      <c r="CX582" s="6"/>
      <c r="CY582" s="6"/>
      <c r="CZ582" s="6"/>
      <c r="DA582" s="6"/>
      <c r="DB582" s="6"/>
      <c r="DC582" s="6"/>
      <c r="DD582" s="6"/>
      <c r="DE582" s="6"/>
      <c r="DF582" s="6"/>
      <c r="DG582" s="6"/>
      <c r="DH582" s="6"/>
      <c r="DI582" s="6"/>
      <c r="DJ582" s="6"/>
      <c r="DK582" s="6"/>
      <c r="DL582" s="6"/>
      <c r="DM582" s="6"/>
      <c r="DN582" s="6"/>
      <c r="DO582" s="6"/>
      <c r="DP582" s="6"/>
      <c r="DQ582" s="6"/>
      <c r="DR582" s="6"/>
      <c r="DS582" s="6"/>
      <c r="DT582" s="6"/>
      <c r="DU582" s="6"/>
      <c r="DV582" s="6"/>
      <c r="DW582" s="6"/>
      <c r="DX582" s="6"/>
      <c r="DY582" s="6"/>
      <c r="DZ582" s="6"/>
      <c r="EA582" s="6"/>
      <c r="EB582" s="6"/>
      <c r="EC582" s="6"/>
      <c r="ED582" s="6"/>
      <c r="EE582" s="6"/>
      <c r="EF582" s="6"/>
      <c r="EG582" s="6"/>
      <c r="EH582" s="6"/>
      <c r="EI582" s="6"/>
      <c r="EJ582" s="6"/>
      <c r="EK582" s="6"/>
      <c r="EL582" s="6"/>
      <c r="EM582" s="6"/>
      <c r="EN582" s="6"/>
      <c r="EO582" s="6"/>
      <c r="EP582" s="6"/>
      <c r="EQ582" s="6"/>
      <c r="ER582" s="6"/>
      <c r="ES582" s="6"/>
      <c r="ET582" s="6"/>
      <c r="EU582" s="6"/>
      <c r="EV582" s="6"/>
      <c r="EW582" s="6"/>
      <c r="EX582" s="6"/>
      <c r="EY582" s="6"/>
      <c r="EZ582" s="6"/>
      <c r="FA582" s="6"/>
      <c r="FB582" s="6"/>
      <c r="FC582" s="6"/>
      <c r="FD582" s="6"/>
      <c r="FE582" s="6"/>
      <c r="FF582" s="6"/>
      <c r="FG582" s="6"/>
      <c r="FH582" s="6"/>
      <c r="FI582" s="6"/>
      <c r="FJ582" s="6"/>
      <c r="FK582" s="6"/>
      <c r="FL582" s="6"/>
      <c r="FM582" s="6"/>
      <c r="FN582" s="6"/>
      <c r="FO582" s="6"/>
      <c r="FP582" s="6"/>
      <c r="FQ582" s="6"/>
      <c r="FR582" s="6"/>
      <c r="FS582" s="6"/>
      <c r="FT582" s="6"/>
      <c r="FU582" s="6"/>
      <c r="FV582" s="6"/>
      <c r="FW582" s="6"/>
      <c r="FX582" s="6"/>
      <c r="FY582" s="6"/>
      <c r="FZ582" s="6"/>
      <c r="GA582" s="6"/>
      <c r="GB582" s="6"/>
      <c r="GC582" s="6"/>
      <c r="GD582" s="6"/>
      <c r="GE582" s="6"/>
      <c r="GF582" s="6"/>
      <c r="GG582" s="6"/>
      <c r="GH582" s="6"/>
      <c r="GI582" s="6"/>
      <c r="GJ582" s="6"/>
      <c r="GK582" s="6"/>
      <c r="GL582" s="6"/>
      <c r="GM582" s="6"/>
      <c r="GN582" s="6"/>
      <c r="GO582" s="6"/>
      <c r="GP582" s="6"/>
      <c r="GQ582" s="6"/>
      <c r="GR582" s="6"/>
      <c r="GS582" s="6"/>
      <c r="GT582" s="6"/>
      <c r="GU582" s="6"/>
      <c r="GV582" s="6"/>
      <c r="GW582" s="6"/>
      <c r="GX582" s="6"/>
      <c r="GY582" s="6"/>
      <c r="GZ582" s="6"/>
      <c r="HA582" s="6"/>
      <c r="HB582" s="6"/>
      <c r="HC582" s="6"/>
      <c r="HD582" s="6"/>
      <c r="HE582" s="6"/>
      <c r="HF582" s="6"/>
      <c r="HG582" s="6"/>
      <c r="HH582" s="6"/>
      <c r="HI582" s="6"/>
      <c r="HJ582" s="6"/>
      <c r="HK582" s="6"/>
      <c r="HL582" s="6"/>
      <c r="HM582" s="6"/>
      <c r="HN582" s="6"/>
      <c r="HO582" s="6"/>
      <c r="HP582" s="6"/>
      <c r="HQ582" s="6"/>
      <c r="HR582" s="6"/>
      <c r="HS582" s="6"/>
      <c r="HT582" s="6"/>
      <c r="HU582" s="6"/>
    </row>
    <row r="583" spans="9:229"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  <c r="CP583" s="6"/>
      <c r="CQ583" s="6"/>
      <c r="CR583" s="6"/>
      <c r="CS583" s="6"/>
      <c r="CT583" s="6"/>
      <c r="CU583" s="6"/>
      <c r="CV583" s="6"/>
      <c r="CW583" s="6"/>
      <c r="CX583" s="6"/>
      <c r="CY583" s="6"/>
      <c r="CZ583" s="6"/>
      <c r="DA583" s="6"/>
      <c r="DB583" s="6"/>
      <c r="DC583" s="6"/>
      <c r="DD583" s="6"/>
      <c r="DE583" s="6"/>
      <c r="DF583" s="6"/>
      <c r="DG583" s="6"/>
      <c r="DH583" s="6"/>
      <c r="DI583" s="6"/>
      <c r="DJ583" s="6"/>
      <c r="DK583" s="6"/>
      <c r="DL583" s="6"/>
      <c r="DM583" s="6"/>
      <c r="DN583" s="6"/>
      <c r="DO583" s="6"/>
      <c r="DP583" s="6"/>
      <c r="DQ583" s="6"/>
      <c r="DR583" s="6"/>
      <c r="DS583" s="6"/>
      <c r="DT583" s="6"/>
      <c r="DU583" s="6"/>
      <c r="DV583" s="6"/>
      <c r="DW583" s="6"/>
      <c r="DX583" s="6"/>
      <c r="DY583" s="6"/>
      <c r="DZ583" s="6"/>
      <c r="EA583" s="6"/>
      <c r="EB583" s="6"/>
      <c r="EC583" s="6"/>
      <c r="ED583" s="6"/>
      <c r="EE583" s="6"/>
      <c r="EF583" s="6"/>
      <c r="EG583" s="6"/>
      <c r="EH583" s="6"/>
      <c r="EI583" s="6"/>
      <c r="EJ583" s="6"/>
      <c r="EK583" s="6"/>
      <c r="EL583" s="6"/>
      <c r="EM583" s="6"/>
      <c r="EN583" s="6"/>
      <c r="EO583" s="6"/>
      <c r="EP583" s="6"/>
      <c r="EQ583" s="6"/>
      <c r="ER583" s="6"/>
      <c r="ES583" s="6"/>
      <c r="ET583" s="6"/>
      <c r="EU583" s="6"/>
      <c r="EV583" s="6"/>
      <c r="EW583" s="6"/>
      <c r="EX583" s="6"/>
      <c r="EY583" s="6"/>
      <c r="EZ583" s="6"/>
      <c r="FA583" s="6"/>
      <c r="FB583" s="6"/>
      <c r="FC583" s="6"/>
      <c r="FD583" s="6"/>
      <c r="FE583" s="6"/>
      <c r="FF583" s="6"/>
      <c r="FG583" s="6"/>
      <c r="FH583" s="6"/>
      <c r="FI583" s="6"/>
      <c r="FJ583" s="6"/>
      <c r="FK583" s="6"/>
      <c r="FL583" s="6"/>
      <c r="FM583" s="6"/>
      <c r="FN583" s="6"/>
      <c r="FO583" s="6"/>
      <c r="FP583" s="6"/>
      <c r="FQ583" s="6"/>
      <c r="FR583" s="6"/>
      <c r="FS583" s="6"/>
      <c r="FT583" s="6"/>
      <c r="FU583" s="6"/>
      <c r="FV583" s="6"/>
      <c r="FW583" s="6"/>
      <c r="FX583" s="6"/>
      <c r="FY583" s="6"/>
      <c r="FZ583" s="6"/>
      <c r="GA583" s="6"/>
      <c r="GB583" s="6"/>
      <c r="GC583" s="6"/>
      <c r="GD583" s="6"/>
      <c r="GE583" s="6"/>
      <c r="GF583" s="6"/>
      <c r="GG583" s="6"/>
      <c r="GH583" s="6"/>
      <c r="GI583" s="6"/>
      <c r="GJ583" s="6"/>
      <c r="GK583" s="6"/>
      <c r="GL583" s="6"/>
      <c r="GM583" s="6"/>
      <c r="GN583" s="6"/>
      <c r="GO583" s="6"/>
      <c r="GP583" s="6"/>
      <c r="GQ583" s="6"/>
      <c r="GR583" s="6"/>
      <c r="GS583" s="6"/>
      <c r="GT583" s="6"/>
      <c r="GU583" s="6"/>
      <c r="GV583" s="6"/>
      <c r="GW583" s="6"/>
      <c r="GX583" s="6"/>
      <c r="GY583" s="6"/>
      <c r="GZ583" s="6"/>
      <c r="HA583" s="6"/>
      <c r="HB583" s="6"/>
      <c r="HC583" s="6"/>
      <c r="HD583" s="6"/>
      <c r="HE583" s="6"/>
      <c r="HF583" s="6"/>
      <c r="HG583" s="6"/>
      <c r="HH583" s="6"/>
      <c r="HI583" s="6"/>
      <c r="HJ583" s="6"/>
      <c r="HK583" s="6"/>
      <c r="HL583" s="6"/>
      <c r="HM583" s="6"/>
      <c r="HN583" s="6"/>
      <c r="HO583" s="6"/>
      <c r="HP583" s="6"/>
      <c r="HQ583" s="6"/>
      <c r="HR583" s="6"/>
      <c r="HS583" s="6"/>
      <c r="HT583" s="6"/>
      <c r="HU583" s="6"/>
    </row>
    <row r="584" spans="9:229"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  <c r="CP584" s="6"/>
      <c r="CQ584" s="6"/>
      <c r="CR584" s="6"/>
      <c r="CS584" s="6"/>
      <c r="CT584" s="6"/>
      <c r="CU584" s="6"/>
      <c r="CV584" s="6"/>
      <c r="CW584" s="6"/>
      <c r="CX584" s="6"/>
      <c r="CY584" s="6"/>
      <c r="CZ584" s="6"/>
      <c r="DA584" s="6"/>
      <c r="DB584" s="6"/>
      <c r="DC584" s="6"/>
      <c r="DD584" s="6"/>
      <c r="DE584" s="6"/>
      <c r="DF584" s="6"/>
      <c r="DG584" s="6"/>
      <c r="DH584" s="6"/>
      <c r="DI584" s="6"/>
      <c r="DJ584" s="6"/>
      <c r="DK584" s="6"/>
      <c r="DL584" s="6"/>
      <c r="DM584" s="6"/>
      <c r="DN584" s="6"/>
      <c r="DO584" s="6"/>
      <c r="DP584" s="6"/>
      <c r="DQ584" s="6"/>
      <c r="DR584" s="6"/>
      <c r="DS584" s="6"/>
      <c r="DT584" s="6"/>
      <c r="DU584" s="6"/>
      <c r="DV584" s="6"/>
      <c r="DW584" s="6"/>
      <c r="DX584" s="6"/>
      <c r="DY584" s="6"/>
      <c r="DZ584" s="6"/>
      <c r="EA584" s="6"/>
      <c r="EB584" s="6"/>
      <c r="EC584" s="6"/>
      <c r="ED584" s="6"/>
      <c r="EE584" s="6"/>
      <c r="EF584" s="6"/>
      <c r="EG584" s="6"/>
      <c r="EH584" s="6"/>
      <c r="EI584" s="6"/>
      <c r="EJ584" s="6"/>
      <c r="EK584" s="6"/>
      <c r="EL584" s="6"/>
      <c r="EM584" s="6"/>
      <c r="EN584" s="6"/>
      <c r="EO584" s="6"/>
      <c r="EP584" s="6"/>
      <c r="EQ584" s="6"/>
      <c r="ER584" s="6"/>
      <c r="ES584" s="6"/>
      <c r="ET584" s="6"/>
      <c r="EU584" s="6"/>
      <c r="EV584" s="6"/>
      <c r="EW584" s="6"/>
      <c r="EX584" s="6"/>
      <c r="EY584" s="6"/>
      <c r="EZ584" s="6"/>
      <c r="FA584" s="6"/>
      <c r="FB584" s="6"/>
      <c r="FC584" s="6"/>
      <c r="FD584" s="6"/>
      <c r="FE584" s="6"/>
      <c r="FF584" s="6"/>
      <c r="FG584" s="6"/>
      <c r="FH584" s="6"/>
      <c r="FI584" s="6"/>
      <c r="FJ584" s="6"/>
      <c r="FK584" s="6"/>
      <c r="FL584" s="6"/>
      <c r="FM584" s="6"/>
      <c r="FN584" s="6"/>
      <c r="FO584" s="6"/>
      <c r="FP584" s="6"/>
      <c r="FQ584" s="6"/>
      <c r="FR584" s="6"/>
      <c r="FS584" s="6"/>
      <c r="FT584" s="6"/>
      <c r="FU584" s="6"/>
      <c r="FV584" s="6"/>
      <c r="FW584" s="6"/>
      <c r="FX584" s="6"/>
      <c r="FY584" s="6"/>
      <c r="FZ584" s="6"/>
      <c r="GA584" s="6"/>
      <c r="GB584" s="6"/>
      <c r="GC584" s="6"/>
      <c r="GD584" s="6"/>
      <c r="GE584" s="6"/>
      <c r="GF584" s="6"/>
      <c r="GG584" s="6"/>
      <c r="GH584" s="6"/>
      <c r="GI584" s="6"/>
      <c r="GJ584" s="6"/>
      <c r="GK584" s="6"/>
      <c r="GL584" s="6"/>
      <c r="GM584" s="6"/>
      <c r="GN584" s="6"/>
      <c r="GO584" s="6"/>
      <c r="GP584" s="6"/>
      <c r="GQ584" s="6"/>
      <c r="GR584" s="6"/>
      <c r="GS584" s="6"/>
      <c r="GT584" s="6"/>
      <c r="GU584" s="6"/>
      <c r="GV584" s="6"/>
      <c r="GW584" s="6"/>
      <c r="GX584" s="6"/>
      <c r="GY584" s="6"/>
      <c r="GZ584" s="6"/>
      <c r="HA584" s="6"/>
      <c r="HB584" s="6"/>
      <c r="HC584" s="6"/>
      <c r="HD584" s="6"/>
      <c r="HE584" s="6"/>
      <c r="HF584" s="6"/>
      <c r="HG584" s="6"/>
      <c r="HH584" s="6"/>
      <c r="HI584" s="6"/>
      <c r="HJ584" s="6"/>
      <c r="HK584" s="6"/>
      <c r="HL584" s="6"/>
      <c r="HM584" s="6"/>
      <c r="HN584" s="6"/>
      <c r="HO584" s="6"/>
      <c r="HP584" s="6"/>
      <c r="HQ584" s="6"/>
      <c r="HR584" s="6"/>
      <c r="HS584" s="6"/>
      <c r="HT584" s="6"/>
      <c r="HU584" s="6"/>
    </row>
    <row r="585" spans="9:229"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  <c r="CP585" s="6"/>
      <c r="CQ585" s="6"/>
      <c r="CR585" s="6"/>
      <c r="CS585" s="6"/>
      <c r="CT585" s="6"/>
      <c r="CU585" s="6"/>
      <c r="CV585" s="6"/>
      <c r="CW585" s="6"/>
      <c r="CX585" s="6"/>
      <c r="CY585" s="6"/>
      <c r="CZ585" s="6"/>
      <c r="DA585" s="6"/>
      <c r="DB585" s="6"/>
      <c r="DC585" s="6"/>
      <c r="DD585" s="6"/>
      <c r="DE585" s="6"/>
      <c r="DF585" s="6"/>
      <c r="DG585" s="6"/>
      <c r="DH585" s="6"/>
      <c r="DI585" s="6"/>
      <c r="DJ585" s="6"/>
      <c r="DK585" s="6"/>
      <c r="DL585" s="6"/>
      <c r="DM585" s="6"/>
      <c r="DN585" s="6"/>
      <c r="DO585" s="6"/>
      <c r="DP585" s="6"/>
      <c r="DQ585" s="6"/>
      <c r="DR585" s="6"/>
      <c r="DS585" s="6"/>
      <c r="DT585" s="6"/>
      <c r="DU585" s="6"/>
      <c r="DV585" s="6"/>
      <c r="DW585" s="6"/>
      <c r="DX585" s="6"/>
      <c r="DY585" s="6"/>
      <c r="DZ585" s="6"/>
      <c r="EA585" s="6"/>
      <c r="EB585" s="6"/>
      <c r="EC585" s="6"/>
      <c r="ED585" s="6"/>
      <c r="EE585" s="6"/>
      <c r="EF585" s="6"/>
      <c r="EG585" s="6"/>
      <c r="EH585" s="6"/>
      <c r="EI585" s="6"/>
      <c r="EJ585" s="6"/>
      <c r="EK585" s="6"/>
      <c r="EL585" s="6"/>
      <c r="EM585" s="6"/>
      <c r="EN585" s="6"/>
      <c r="EO585" s="6"/>
      <c r="EP585" s="6"/>
      <c r="EQ585" s="6"/>
      <c r="ER585" s="6"/>
      <c r="ES585" s="6"/>
      <c r="ET585" s="6"/>
      <c r="EU585" s="6"/>
      <c r="EV585" s="6"/>
      <c r="EW585" s="6"/>
      <c r="EX585" s="6"/>
      <c r="EY585" s="6"/>
      <c r="EZ585" s="6"/>
      <c r="FA585" s="6"/>
      <c r="FB585" s="6"/>
      <c r="FC585" s="6"/>
      <c r="FD585" s="6"/>
      <c r="FE585" s="6"/>
      <c r="FF585" s="6"/>
      <c r="FG585" s="6"/>
      <c r="FH585" s="6"/>
      <c r="FI585" s="6"/>
      <c r="FJ585" s="6"/>
      <c r="FK585" s="6"/>
      <c r="FL585" s="6"/>
      <c r="FM585" s="6"/>
      <c r="FN585" s="6"/>
      <c r="FO585" s="6"/>
      <c r="FP585" s="6"/>
      <c r="FQ585" s="6"/>
      <c r="FR585" s="6"/>
      <c r="FS585" s="6"/>
      <c r="FT585" s="6"/>
      <c r="FU585" s="6"/>
      <c r="FV585" s="6"/>
      <c r="FW585" s="6"/>
      <c r="FX585" s="6"/>
      <c r="FY585" s="6"/>
      <c r="FZ585" s="6"/>
      <c r="GA585" s="6"/>
      <c r="GB585" s="6"/>
      <c r="GC585" s="6"/>
      <c r="GD585" s="6"/>
      <c r="GE585" s="6"/>
      <c r="GF585" s="6"/>
      <c r="GG585" s="6"/>
      <c r="GH585" s="6"/>
      <c r="GI585" s="6"/>
      <c r="GJ585" s="6"/>
      <c r="GK585" s="6"/>
      <c r="GL585" s="6"/>
      <c r="GM585" s="6"/>
      <c r="GN585" s="6"/>
      <c r="GO585" s="6"/>
      <c r="GP585" s="6"/>
      <c r="GQ585" s="6"/>
      <c r="GR585" s="6"/>
      <c r="GS585" s="6"/>
      <c r="GT585" s="6"/>
      <c r="GU585" s="6"/>
      <c r="GV585" s="6"/>
      <c r="GW585" s="6"/>
      <c r="GX585" s="6"/>
      <c r="GY585" s="6"/>
      <c r="GZ585" s="6"/>
      <c r="HA585" s="6"/>
      <c r="HB585" s="6"/>
      <c r="HC585" s="6"/>
      <c r="HD585" s="6"/>
      <c r="HE585" s="6"/>
      <c r="HF585" s="6"/>
      <c r="HG585" s="6"/>
      <c r="HH585" s="6"/>
      <c r="HI585" s="6"/>
      <c r="HJ585" s="6"/>
      <c r="HK585" s="6"/>
      <c r="HL585" s="6"/>
      <c r="HM585" s="6"/>
      <c r="HN585" s="6"/>
      <c r="HO585" s="6"/>
      <c r="HP585" s="6"/>
      <c r="HQ585" s="6"/>
      <c r="HR585" s="6"/>
      <c r="HS585" s="6"/>
      <c r="HT585" s="6"/>
      <c r="HU585" s="6"/>
    </row>
    <row r="586" spans="9:229"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  <c r="CP586" s="6"/>
      <c r="CQ586" s="6"/>
      <c r="CR586" s="6"/>
      <c r="CS586" s="6"/>
      <c r="CT586" s="6"/>
      <c r="CU586" s="6"/>
      <c r="CV586" s="6"/>
      <c r="CW586" s="6"/>
      <c r="CX586" s="6"/>
      <c r="CY586" s="6"/>
      <c r="CZ586" s="6"/>
      <c r="DA586" s="6"/>
      <c r="DB586" s="6"/>
      <c r="DC586" s="6"/>
      <c r="DD586" s="6"/>
      <c r="DE586" s="6"/>
      <c r="DF586" s="6"/>
      <c r="DG586" s="6"/>
      <c r="DH586" s="6"/>
      <c r="DI586" s="6"/>
      <c r="DJ586" s="6"/>
      <c r="DK586" s="6"/>
      <c r="DL586" s="6"/>
      <c r="DM586" s="6"/>
      <c r="DN586" s="6"/>
      <c r="DO586" s="6"/>
      <c r="DP586" s="6"/>
      <c r="DQ586" s="6"/>
      <c r="DR586" s="6"/>
      <c r="DS586" s="6"/>
      <c r="DT586" s="6"/>
      <c r="DU586" s="6"/>
      <c r="DV586" s="6"/>
      <c r="DW586" s="6"/>
      <c r="DX586" s="6"/>
      <c r="DY586" s="6"/>
      <c r="DZ586" s="6"/>
      <c r="EA586" s="6"/>
      <c r="EB586" s="6"/>
      <c r="EC586" s="6"/>
      <c r="ED586" s="6"/>
      <c r="EE586" s="6"/>
      <c r="EF586" s="6"/>
      <c r="EG586" s="6"/>
      <c r="EH586" s="6"/>
      <c r="EI586" s="6"/>
      <c r="EJ586" s="6"/>
      <c r="EK586" s="6"/>
      <c r="EL586" s="6"/>
      <c r="EM586" s="6"/>
      <c r="EN586" s="6"/>
      <c r="EO586" s="6"/>
      <c r="EP586" s="6"/>
      <c r="EQ586" s="6"/>
      <c r="ER586" s="6"/>
      <c r="ES586" s="6"/>
      <c r="ET586" s="6"/>
      <c r="EU586" s="6"/>
      <c r="EV586" s="6"/>
      <c r="EW586" s="6"/>
      <c r="EX586" s="6"/>
      <c r="EY586" s="6"/>
      <c r="EZ586" s="6"/>
      <c r="FA586" s="6"/>
      <c r="FB586" s="6"/>
      <c r="FC586" s="6"/>
      <c r="FD586" s="6"/>
      <c r="FE586" s="6"/>
      <c r="FF586" s="6"/>
      <c r="FG586" s="6"/>
      <c r="FH586" s="6"/>
      <c r="FI586" s="6"/>
      <c r="FJ586" s="6"/>
      <c r="FK586" s="6"/>
      <c r="FL586" s="6"/>
      <c r="FM586" s="6"/>
      <c r="FN586" s="6"/>
      <c r="FO586" s="6"/>
      <c r="FP586" s="6"/>
      <c r="FQ586" s="6"/>
      <c r="FR586" s="6"/>
      <c r="FS586" s="6"/>
      <c r="FT586" s="6"/>
      <c r="FU586" s="6"/>
      <c r="FV586" s="6"/>
      <c r="FW586" s="6"/>
      <c r="FX586" s="6"/>
      <c r="FY586" s="6"/>
      <c r="FZ586" s="6"/>
      <c r="GA586" s="6"/>
      <c r="GB586" s="6"/>
      <c r="GC586" s="6"/>
      <c r="GD586" s="6"/>
      <c r="GE586" s="6"/>
      <c r="GF586" s="6"/>
      <c r="GG586" s="6"/>
      <c r="GH586" s="6"/>
      <c r="GI586" s="6"/>
      <c r="GJ586" s="6"/>
      <c r="GK586" s="6"/>
      <c r="GL586" s="6"/>
      <c r="GM586" s="6"/>
      <c r="GN586" s="6"/>
      <c r="GO586" s="6"/>
      <c r="GP586" s="6"/>
      <c r="GQ586" s="6"/>
      <c r="GR586" s="6"/>
      <c r="GS586" s="6"/>
      <c r="GT586" s="6"/>
      <c r="GU586" s="6"/>
      <c r="GV586" s="6"/>
      <c r="GW586" s="6"/>
      <c r="GX586" s="6"/>
      <c r="GY586" s="6"/>
      <c r="GZ586" s="6"/>
      <c r="HA586" s="6"/>
      <c r="HB586" s="6"/>
      <c r="HC586" s="6"/>
      <c r="HD586" s="6"/>
      <c r="HE586" s="6"/>
      <c r="HF586" s="6"/>
      <c r="HG586" s="6"/>
      <c r="HH586" s="6"/>
      <c r="HI586" s="6"/>
      <c r="HJ586" s="6"/>
      <c r="HK586" s="6"/>
      <c r="HL586" s="6"/>
      <c r="HM586" s="6"/>
      <c r="HN586" s="6"/>
      <c r="HO586" s="6"/>
      <c r="HP586" s="6"/>
      <c r="HQ586" s="6"/>
      <c r="HR586" s="6"/>
      <c r="HS586" s="6"/>
      <c r="HT586" s="6"/>
      <c r="HU586" s="6"/>
    </row>
    <row r="587" spans="9:229"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  <c r="CP587" s="6"/>
      <c r="CQ587" s="6"/>
      <c r="CR587" s="6"/>
      <c r="CS587" s="6"/>
      <c r="CT587" s="6"/>
      <c r="CU587" s="6"/>
      <c r="CV587" s="6"/>
      <c r="CW587" s="6"/>
      <c r="CX587" s="6"/>
      <c r="CY587" s="6"/>
      <c r="CZ587" s="6"/>
      <c r="DA587" s="6"/>
      <c r="DB587" s="6"/>
      <c r="DC587" s="6"/>
      <c r="DD587" s="6"/>
      <c r="DE587" s="6"/>
      <c r="DF587" s="6"/>
      <c r="DG587" s="6"/>
      <c r="DH587" s="6"/>
      <c r="DI587" s="6"/>
      <c r="DJ587" s="6"/>
      <c r="DK587" s="6"/>
      <c r="DL587" s="6"/>
      <c r="DM587" s="6"/>
      <c r="DN587" s="6"/>
      <c r="DO587" s="6"/>
      <c r="DP587" s="6"/>
      <c r="DQ587" s="6"/>
      <c r="DR587" s="6"/>
      <c r="DS587" s="6"/>
      <c r="DT587" s="6"/>
      <c r="DU587" s="6"/>
      <c r="DV587" s="6"/>
      <c r="DW587" s="6"/>
      <c r="DX587" s="6"/>
      <c r="DY587" s="6"/>
      <c r="DZ587" s="6"/>
      <c r="EA587" s="6"/>
      <c r="EB587" s="6"/>
      <c r="EC587" s="6"/>
      <c r="ED587" s="6"/>
      <c r="EE587" s="6"/>
      <c r="EF587" s="6"/>
      <c r="EG587" s="6"/>
      <c r="EH587" s="6"/>
      <c r="EI587" s="6"/>
      <c r="EJ587" s="6"/>
      <c r="EK587" s="6"/>
      <c r="EL587" s="6"/>
      <c r="EM587" s="6"/>
      <c r="EN587" s="6"/>
      <c r="EO587" s="6"/>
      <c r="EP587" s="6"/>
      <c r="EQ587" s="6"/>
      <c r="ER587" s="6"/>
      <c r="ES587" s="6"/>
      <c r="ET587" s="6"/>
      <c r="EU587" s="6"/>
      <c r="EV587" s="6"/>
      <c r="EW587" s="6"/>
      <c r="EX587" s="6"/>
      <c r="EY587" s="6"/>
      <c r="EZ587" s="6"/>
      <c r="FA587" s="6"/>
      <c r="FB587" s="6"/>
      <c r="FC587" s="6"/>
      <c r="FD587" s="6"/>
      <c r="FE587" s="6"/>
      <c r="FF587" s="6"/>
      <c r="FG587" s="6"/>
      <c r="FH587" s="6"/>
      <c r="FI587" s="6"/>
      <c r="FJ587" s="6"/>
      <c r="FK587" s="6"/>
      <c r="FL587" s="6"/>
      <c r="FM587" s="6"/>
      <c r="FN587" s="6"/>
      <c r="FO587" s="6"/>
      <c r="FP587" s="6"/>
      <c r="FQ587" s="6"/>
      <c r="FR587" s="6"/>
      <c r="FS587" s="6"/>
      <c r="FT587" s="6"/>
      <c r="FU587" s="6"/>
      <c r="FV587" s="6"/>
      <c r="FW587" s="6"/>
      <c r="FX587" s="6"/>
      <c r="FY587" s="6"/>
      <c r="FZ587" s="6"/>
      <c r="GA587" s="6"/>
      <c r="GB587" s="6"/>
      <c r="GC587" s="6"/>
      <c r="GD587" s="6"/>
      <c r="GE587" s="6"/>
      <c r="GF587" s="6"/>
      <c r="GG587" s="6"/>
      <c r="GH587" s="6"/>
      <c r="GI587" s="6"/>
      <c r="GJ587" s="6"/>
      <c r="GK587" s="6"/>
      <c r="GL587" s="6"/>
      <c r="GM587" s="6"/>
      <c r="GN587" s="6"/>
      <c r="GO587" s="6"/>
      <c r="GP587" s="6"/>
      <c r="GQ587" s="6"/>
      <c r="GR587" s="6"/>
      <c r="GS587" s="6"/>
      <c r="GT587" s="6"/>
      <c r="GU587" s="6"/>
      <c r="GV587" s="6"/>
      <c r="GW587" s="6"/>
      <c r="GX587" s="6"/>
      <c r="GY587" s="6"/>
      <c r="GZ587" s="6"/>
      <c r="HA587" s="6"/>
      <c r="HB587" s="6"/>
      <c r="HC587" s="6"/>
      <c r="HD587" s="6"/>
      <c r="HE587" s="6"/>
      <c r="HF587" s="6"/>
      <c r="HG587" s="6"/>
      <c r="HH587" s="6"/>
      <c r="HI587" s="6"/>
      <c r="HJ587" s="6"/>
      <c r="HK587" s="6"/>
      <c r="HL587" s="6"/>
      <c r="HM587" s="6"/>
      <c r="HN587" s="6"/>
      <c r="HO587" s="6"/>
      <c r="HP587" s="6"/>
      <c r="HQ587" s="6"/>
      <c r="HR587" s="6"/>
      <c r="HS587" s="6"/>
      <c r="HT587" s="6"/>
      <c r="HU587" s="6"/>
    </row>
    <row r="588" spans="9:229"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  <c r="CP588" s="6"/>
      <c r="CQ588" s="6"/>
      <c r="CR588" s="6"/>
      <c r="CS588" s="6"/>
      <c r="CT588" s="6"/>
      <c r="CU588" s="6"/>
      <c r="CV588" s="6"/>
      <c r="CW588" s="6"/>
      <c r="CX588" s="6"/>
      <c r="CY588" s="6"/>
      <c r="CZ588" s="6"/>
      <c r="DA588" s="6"/>
      <c r="DB588" s="6"/>
      <c r="DC588" s="6"/>
      <c r="DD588" s="6"/>
      <c r="DE588" s="6"/>
      <c r="DF588" s="6"/>
      <c r="DG588" s="6"/>
      <c r="DH588" s="6"/>
      <c r="DI588" s="6"/>
      <c r="DJ588" s="6"/>
      <c r="DK588" s="6"/>
      <c r="DL588" s="6"/>
      <c r="DM588" s="6"/>
      <c r="DN588" s="6"/>
      <c r="DO588" s="6"/>
      <c r="DP588" s="6"/>
      <c r="DQ588" s="6"/>
      <c r="DR588" s="6"/>
      <c r="DS588" s="6"/>
      <c r="DT588" s="6"/>
      <c r="DU588" s="6"/>
      <c r="DV588" s="6"/>
      <c r="DW588" s="6"/>
      <c r="DX588" s="6"/>
      <c r="DY588" s="6"/>
      <c r="DZ588" s="6"/>
      <c r="EA588" s="6"/>
      <c r="EB588" s="6"/>
      <c r="EC588" s="6"/>
      <c r="ED588" s="6"/>
      <c r="EE588" s="6"/>
      <c r="EF588" s="6"/>
      <c r="EG588" s="6"/>
      <c r="EH588" s="6"/>
      <c r="EI588" s="6"/>
      <c r="EJ588" s="6"/>
      <c r="EK588" s="6"/>
      <c r="EL588" s="6"/>
      <c r="EM588" s="6"/>
      <c r="EN588" s="6"/>
      <c r="EO588" s="6"/>
      <c r="EP588" s="6"/>
      <c r="EQ588" s="6"/>
      <c r="ER588" s="6"/>
      <c r="ES588" s="6"/>
      <c r="ET588" s="6"/>
      <c r="EU588" s="6"/>
      <c r="EV588" s="6"/>
      <c r="EW588" s="6"/>
      <c r="EX588" s="6"/>
      <c r="EY588" s="6"/>
      <c r="EZ588" s="6"/>
      <c r="FA588" s="6"/>
      <c r="FB588" s="6"/>
      <c r="FC588" s="6"/>
      <c r="FD588" s="6"/>
      <c r="FE588" s="6"/>
      <c r="FF588" s="6"/>
      <c r="FG588" s="6"/>
      <c r="FH588" s="6"/>
      <c r="FI588" s="6"/>
      <c r="FJ588" s="6"/>
      <c r="FK588" s="6"/>
      <c r="FL588" s="6"/>
      <c r="FM588" s="6"/>
      <c r="FN588" s="6"/>
      <c r="FO588" s="6"/>
      <c r="FP588" s="6"/>
      <c r="FQ588" s="6"/>
      <c r="FR588" s="6"/>
      <c r="FS588" s="6"/>
      <c r="FT588" s="6"/>
      <c r="FU588" s="6"/>
      <c r="FV588" s="6"/>
      <c r="FW588" s="6"/>
      <c r="FX588" s="6"/>
      <c r="FY588" s="6"/>
      <c r="FZ588" s="6"/>
      <c r="GA588" s="6"/>
      <c r="GB588" s="6"/>
      <c r="GC588" s="6"/>
      <c r="GD588" s="6"/>
      <c r="GE588" s="6"/>
      <c r="GF588" s="6"/>
      <c r="GG588" s="6"/>
      <c r="GH588" s="6"/>
      <c r="GI588" s="6"/>
      <c r="GJ588" s="6"/>
      <c r="GK588" s="6"/>
      <c r="GL588" s="6"/>
      <c r="GM588" s="6"/>
      <c r="GN588" s="6"/>
      <c r="GO588" s="6"/>
      <c r="GP588" s="6"/>
      <c r="GQ588" s="6"/>
      <c r="GR588" s="6"/>
      <c r="GS588" s="6"/>
      <c r="GT588" s="6"/>
      <c r="GU588" s="6"/>
      <c r="GV588" s="6"/>
      <c r="GW588" s="6"/>
      <c r="GX588" s="6"/>
      <c r="GY588" s="6"/>
      <c r="GZ588" s="6"/>
      <c r="HA588" s="6"/>
      <c r="HB588" s="6"/>
      <c r="HC588" s="6"/>
      <c r="HD588" s="6"/>
      <c r="HE588" s="6"/>
      <c r="HF588" s="6"/>
      <c r="HG588" s="6"/>
      <c r="HH588" s="6"/>
      <c r="HI588" s="6"/>
      <c r="HJ588" s="6"/>
      <c r="HK588" s="6"/>
      <c r="HL588" s="6"/>
      <c r="HM588" s="6"/>
      <c r="HN588" s="6"/>
      <c r="HO588" s="6"/>
      <c r="HP588" s="6"/>
      <c r="HQ588" s="6"/>
      <c r="HR588" s="6"/>
      <c r="HS588" s="6"/>
      <c r="HT588" s="6"/>
      <c r="HU588" s="6"/>
    </row>
    <row r="589" spans="9:229"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  <c r="CP589" s="6"/>
      <c r="CQ589" s="6"/>
      <c r="CR589" s="6"/>
      <c r="CS589" s="6"/>
      <c r="CT589" s="6"/>
      <c r="CU589" s="6"/>
      <c r="CV589" s="6"/>
      <c r="CW589" s="6"/>
      <c r="CX589" s="6"/>
      <c r="CY589" s="6"/>
      <c r="CZ589" s="6"/>
      <c r="DA589" s="6"/>
      <c r="DB589" s="6"/>
      <c r="DC589" s="6"/>
      <c r="DD589" s="6"/>
      <c r="DE589" s="6"/>
      <c r="DF589" s="6"/>
      <c r="DG589" s="6"/>
      <c r="DH589" s="6"/>
      <c r="DI589" s="6"/>
      <c r="DJ589" s="6"/>
      <c r="DK589" s="6"/>
      <c r="DL589" s="6"/>
      <c r="DM589" s="6"/>
      <c r="DN589" s="6"/>
      <c r="DO589" s="6"/>
      <c r="DP589" s="6"/>
      <c r="DQ589" s="6"/>
      <c r="DR589" s="6"/>
      <c r="DS589" s="6"/>
      <c r="DT589" s="6"/>
      <c r="DU589" s="6"/>
      <c r="DV589" s="6"/>
      <c r="DW589" s="6"/>
      <c r="DX589" s="6"/>
      <c r="DY589" s="6"/>
      <c r="DZ589" s="6"/>
      <c r="EA589" s="6"/>
      <c r="EB589" s="6"/>
      <c r="EC589" s="6"/>
      <c r="ED589" s="6"/>
      <c r="EE589" s="6"/>
      <c r="EF589" s="6"/>
      <c r="EG589" s="6"/>
      <c r="EH589" s="6"/>
      <c r="EI589" s="6"/>
      <c r="EJ589" s="6"/>
      <c r="EK589" s="6"/>
      <c r="EL589" s="6"/>
      <c r="EM589" s="6"/>
      <c r="EN589" s="6"/>
      <c r="EO589" s="6"/>
      <c r="EP589" s="6"/>
      <c r="EQ589" s="6"/>
      <c r="ER589" s="6"/>
      <c r="ES589" s="6"/>
      <c r="ET589" s="6"/>
      <c r="EU589" s="6"/>
      <c r="EV589" s="6"/>
      <c r="EW589" s="6"/>
      <c r="EX589" s="6"/>
      <c r="EY589" s="6"/>
      <c r="EZ589" s="6"/>
      <c r="FA589" s="6"/>
      <c r="FB589" s="6"/>
      <c r="FC589" s="6"/>
      <c r="FD589" s="6"/>
      <c r="FE589" s="6"/>
      <c r="FF589" s="6"/>
      <c r="FG589" s="6"/>
      <c r="FH589" s="6"/>
      <c r="FI589" s="6"/>
      <c r="FJ589" s="6"/>
      <c r="FK589" s="6"/>
      <c r="FL589" s="6"/>
      <c r="FM589" s="6"/>
      <c r="FN589" s="6"/>
      <c r="FO589" s="6"/>
      <c r="FP589" s="6"/>
      <c r="FQ589" s="6"/>
      <c r="FR589" s="6"/>
      <c r="FS589" s="6"/>
      <c r="FT589" s="6"/>
      <c r="FU589" s="6"/>
      <c r="FV589" s="6"/>
      <c r="FW589" s="6"/>
      <c r="FX589" s="6"/>
      <c r="FY589" s="6"/>
      <c r="FZ589" s="6"/>
      <c r="GA589" s="6"/>
      <c r="GB589" s="6"/>
      <c r="GC589" s="6"/>
      <c r="GD589" s="6"/>
      <c r="GE589" s="6"/>
      <c r="GF589" s="6"/>
      <c r="GG589" s="6"/>
      <c r="GH589" s="6"/>
      <c r="GI589" s="6"/>
      <c r="GJ589" s="6"/>
      <c r="GK589" s="6"/>
      <c r="GL589" s="6"/>
      <c r="GM589" s="6"/>
      <c r="GN589" s="6"/>
      <c r="GO589" s="6"/>
      <c r="GP589" s="6"/>
      <c r="GQ589" s="6"/>
      <c r="GR589" s="6"/>
      <c r="GS589" s="6"/>
      <c r="GT589" s="6"/>
      <c r="GU589" s="6"/>
      <c r="GV589" s="6"/>
      <c r="GW589" s="6"/>
      <c r="GX589" s="6"/>
      <c r="GY589" s="6"/>
      <c r="GZ589" s="6"/>
      <c r="HA589" s="6"/>
      <c r="HB589" s="6"/>
      <c r="HC589" s="6"/>
      <c r="HD589" s="6"/>
      <c r="HE589" s="6"/>
      <c r="HF589" s="6"/>
      <c r="HG589" s="6"/>
      <c r="HH589" s="6"/>
      <c r="HI589" s="6"/>
      <c r="HJ589" s="6"/>
      <c r="HK589" s="6"/>
      <c r="HL589" s="6"/>
      <c r="HM589" s="6"/>
      <c r="HN589" s="6"/>
      <c r="HO589" s="6"/>
      <c r="HP589" s="6"/>
      <c r="HQ589" s="6"/>
      <c r="HR589" s="6"/>
      <c r="HS589" s="6"/>
      <c r="HT589" s="6"/>
      <c r="HU589" s="6"/>
    </row>
    <row r="590" spans="9:229">
      <c r="BV590" s="6"/>
      <c r="BW590" s="6"/>
      <c r="BX590" s="6"/>
      <c r="BY590" s="6"/>
      <c r="BZ590" s="6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  <c r="CP590" s="6"/>
      <c r="CQ590" s="6"/>
      <c r="CR590" s="6"/>
      <c r="CS590" s="6"/>
      <c r="CT590" s="6"/>
      <c r="CU590" s="6"/>
      <c r="CV590" s="6"/>
      <c r="CW590" s="6"/>
      <c r="CX590" s="6"/>
      <c r="CY590" s="6"/>
      <c r="CZ590" s="6"/>
      <c r="DA590" s="6"/>
      <c r="DB590" s="6"/>
      <c r="DC590" s="6"/>
      <c r="DD590" s="6"/>
      <c r="DE590" s="6"/>
      <c r="DF590" s="6"/>
      <c r="DG590" s="6"/>
      <c r="DH590" s="6"/>
      <c r="DI590" s="6"/>
      <c r="DJ590" s="6"/>
      <c r="DK590" s="6"/>
      <c r="DL590" s="6"/>
      <c r="DM590" s="6"/>
      <c r="DN590" s="6"/>
      <c r="DO590" s="6"/>
      <c r="DP590" s="6"/>
      <c r="DQ590" s="6"/>
      <c r="DR590" s="6"/>
      <c r="DS590" s="6"/>
      <c r="DT590" s="6"/>
      <c r="DU590" s="6"/>
      <c r="DV590" s="6"/>
      <c r="DW590" s="6"/>
      <c r="DX590" s="6"/>
      <c r="DY590" s="6"/>
      <c r="DZ590" s="6"/>
      <c r="EA590" s="6"/>
      <c r="EB590" s="6"/>
      <c r="EC590" s="6"/>
      <c r="ED590" s="6"/>
      <c r="EE590" s="6"/>
      <c r="EF590" s="6"/>
      <c r="EG590" s="6"/>
      <c r="EH590" s="6"/>
      <c r="EI590" s="6"/>
      <c r="EJ590" s="6"/>
      <c r="EK590" s="6"/>
      <c r="EL590" s="6"/>
      <c r="EM590" s="6"/>
      <c r="EN590" s="6"/>
      <c r="EO590" s="6"/>
      <c r="EP590" s="6"/>
      <c r="EQ590" s="6"/>
      <c r="ER590" s="6"/>
      <c r="ES590" s="6"/>
      <c r="ET590" s="6"/>
      <c r="EU590" s="6"/>
      <c r="EV590" s="6"/>
      <c r="EW590" s="6"/>
      <c r="EX590" s="6"/>
      <c r="EY590" s="6"/>
      <c r="EZ590" s="6"/>
      <c r="FA590" s="6"/>
      <c r="FB590" s="6"/>
      <c r="FC590" s="6"/>
      <c r="FD590" s="6"/>
      <c r="FE590" s="6"/>
      <c r="FF590" s="6"/>
      <c r="FG590" s="6"/>
      <c r="FH590" s="6"/>
      <c r="FI590" s="6"/>
      <c r="FJ590" s="6"/>
      <c r="FK590" s="6"/>
      <c r="FL590" s="6"/>
      <c r="FM590" s="6"/>
      <c r="FN590" s="6"/>
      <c r="FO590" s="6"/>
      <c r="FP590" s="6"/>
      <c r="FQ590" s="6"/>
      <c r="FR590" s="6"/>
      <c r="FS590" s="6"/>
      <c r="FT590" s="6"/>
      <c r="FU590" s="6"/>
      <c r="FV590" s="6"/>
      <c r="FW590" s="6"/>
      <c r="FX590" s="6"/>
      <c r="FY590" s="6"/>
      <c r="FZ590" s="6"/>
      <c r="GA590" s="6"/>
      <c r="GB590" s="6"/>
      <c r="GC590" s="6"/>
      <c r="GD590" s="6"/>
      <c r="GE590" s="6"/>
      <c r="GF590" s="6"/>
      <c r="GG590" s="6"/>
      <c r="GH590" s="6"/>
      <c r="GI590" s="6"/>
      <c r="GJ590" s="6"/>
      <c r="GK590" s="6"/>
      <c r="GL590" s="6"/>
      <c r="GM590" s="6"/>
      <c r="GN590" s="6"/>
      <c r="GO590" s="6"/>
      <c r="GP590" s="6"/>
      <c r="GQ590" s="6"/>
      <c r="GR590" s="6"/>
      <c r="GS590" s="6"/>
      <c r="GT590" s="6"/>
      <c r="GU590" s="6"/>
      <c r="GV590" s="6"/>
      <c r="GW590" s="6"/>
      <c r="GX590" s="6"/>
      <c r="GY590" s="6"/>
      <c r="GZ590" s="6"/>
      <c r="HA590" s="6"/>
      <c r="HB590" s="6"/>
      <c r="HC590" s="6"/>
      <c r="HD590" s="6"/>
      <c r="HE590" s="6"/>
      <c r="HF590" s="6"/>
      <c r="HG590" s="6"/>
      <c r="HH590" s="6"/>
      <c r="HI590" s="6"/>
      <c r="HJ590" s="6"/>
      <c r="HK590" s="6"/>
      <c r="HL590" s="6"/>
      <c r="HM590" s="6"/>
      <c r="HN590" s="6"/>
      <c r="HO590" s="6"/>
      <c r="HP590" s="6"/>
      <c r="HQ590" s="6"/>
      <c r="HR590" s="6"/>
      <c r="HS590" s="6"/>
      <c r="HT590" s="6"/>
      <c r="HU590" s="6"/>
    </row>
    <row r="591" spans="9:229"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  <c r="CP591" s="6"/>
      <c r="CQ591" s="6"/>
      <c r="CR591" s="6"/>
      <c r="CS591" s="6"/>
      <c r="CT591" s="6"/>
      <c r="CU591" s="6"/>
      <c r="CV591" s="6"/>
      <c r="CW591" s="6"/>
      <c r="CX591" s="6"/>
      <c r="CY591" s="6"/>
      <c r="CZ591" s="6"/>
      <c r="DA591" s="6"/>
      <c r="DB591" s="6"/>
      <c r="DC591" s="6"/>
      <c r="DD591" s="6"/>
      <c r="DE591" s="6"/>
      <c r="DF591" s="6"/>
      <c r="DG591" s="6"/>
      <c r="DH591" s="6"/>
      <c r="DI591" s="6"/>
      <c r="DJ591" s="6"/>
      <c r="DK591" s="6"/>
      <c r="DL591" s="6"/>
      <c r="DM591" s="6"/>
      <c r="DN591" s="6"/>
      <c r="DO591" s="6"/>
      <c r="DP591" s="6"/>
      <c r="DQ591" s="6"/>
      <c r="DR591" s="6"/>
      <c r="DS591" s="6"/>
      <c r="DT591" s="6"/>
      <c r="DU591" s="6"/>
      <c r="DV591" s="6"/>
      <c r="DW591" s="6"/>
      <c r="DX591" s="6"/>
      <c r="DY591" s="6"/>
      <c r="DZ591" s="6"/>
      <c r="EA591" s="6"/>
      <c r="EB591" s="6"/>
      <c r="EC591" s="6"/>
      <c r="ED591" s="6"/>
      <c r="EE591" s="6"/>
      <c r="EF591" s="6"/>
      <c r="EG591" s="6"/>
      <c r="EH591" s="6"/>
      <c r="EI591" s="6"/>
      <c r="EJ591" s="6"/>
      <c r="EK591" s="6"/>
      <c r="EL591" s="6"/>
      <c r="EM591" s="6"/>
      <c r="EN591" s="6"/>
      <c r="EO591" s="6"/>
      <c r="EP591" s="6"/>
      <c r="EQ591" s="6"/>
      <c r="ER591" s="6"/>
      <c r="ES591" s="6"/>
      <c r="ET591" s="6"/>
      <c r="EU591" s="6"/>
      <c r="EV591" s="6"/>
      <c r="EW591" s="6"/>
      <c r="EX591" s="6"/>
      <c r="EY591" s="6"/>
      <c r="EZ591" s="6"/>
      <c r="FA591" s="6"/>
      <c r="FB591" s="6"/>
      <c r="FC591" s="6"/>
      <c r="FD591" s="6"/>
      <c r="FE591" s="6"/>
      <c r="FF591" s="6"/>
      <c r="FG591" s="6"/>
      <c r="FH591" s="6"/>
      <c r="FI591" s="6"/>
      <c r="FJ591" s="6"/>
      <c r="FK591" s="6"/>
      <c r="FL591" s="6"/>
      <c r="FM591" s="6"/>
      <c r="FN591" s="6"/>
      <c r="FO591" s="6"/>
      <c r="FP591" s="6"/>
      <c r="FQ591" s="6"/>
      <c r="FR591" s="6"/>
      <c r="FS591" s="6"/>
      <c r="FT591" s="6"/>
      <c r="FU591" s="6"/>
      <c r="FV591" s="6"/>
      <c r="FW591" s="6"/>
      <c r="FX591" s="6"/>
      <c r="FY591" s="6"/>
      <c r="FZ591" s="6"/>
      <c r="GA591" s="6"/>
      <c r="GB591" s="6"/>
      <c r="GC591" s="6"/>
      <c r="GD591" s="6"/>
      <c r="GE591" s="6"/>
      <c r="GF591" s="6"/>
      <c r="GG591" s="6"/>
      <c r="GH591" s="6"/>
      <c r="GI591" s="6"/>
      <c r="GJ591" s="6"/>
      <c r="GK591" s="6"/>
      <c r="GL591" s="6"/>
      <c r="GM591" s="6"/>
      <c r="GN591" s="6"/>
      <c r="GO591" s="6"/>
      <c r="GP591" s="6"/>
      <c r="GQ591" s="6"/>
      <c r="GR591" s="6"/>
      <c r="GS591" s="6"/>
      <c r="GT591" s="6"/>
      <c r="GU591" s="6"/>
      <c r="GV591" s="6"/>
      <c r="GW591" s="6"/>
      <c r="GX591" s="6"/>
      <c r="GY591" s="6"/>
      <c r="GZ591" s="6"/>
      <c r="HA591" s="6"/>
      <c r="HB591" s="6"/>
      <c r="HC591" s="6"/>
      <c r="HD591" s="6"/>
      <c r="HE591" s="6"/>
      <c r="HF591" s="6"/>
      <c r="HG591" s="6"/>
      <c r="HH591" s="6"/>
      <c r="HI591" s="6"/>
      <c r="HJ591" s="6"/>
      <c r="HK591" s="6"/>
      <c r="HL591" s="6"/>
      <c r="HM591" s="6"/>
      <c r="HN591" s="6"/>
      <c r="HO591" s="6"/>
      <c r="HP591" s="6"/>
      <c r="HQ591" s="6"/>
      <c r="HR591" s="6"/>
      <c r="HS591" s="6"/>
      <c r="HT591" s="6"/>
      <c r="HU591" s="6"/>
    </row>
    <row r="592" spans="9:229"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  <c r="CP592" s="6"/>
      <c r="CQ592" s="6"/>
      <c r="CR592" s="6"/>
      <c r="CS592" s="6"/>
      <c r="CT592" s="6"/>
      <c r="CU592" s="6"/>
      <c r="CV592" s="6"/>
      <c r="CW592" s="6"/>
      <c r="CX592" s="6"/>
      <c r="CY592" s="6"/>
      <c r="CZ592" s="6"/>
      <c r="DA592" s="6"/>
      <c r="DB592" s="6"/>
      <c r="DC592" s="6"/>
      <c r="DD592" s="6"/>
      <c r="DE592" s="6"/>
      <c r="DF592" s="6"/>
      <c r="DG592" s="6"/>
      <c r="DH592" s="6"/>
      <c r="DI592" s="6"/>
      <c r="DJ592" s="6"/>
      <c r="DK592" s="6"/>
      <c r="DL592" s="6"/>
      <c r="DM592" s="6"/>
      <c r="DN592" s="6"/>
      <c r="DO592" s="6"/>
      <c r="DP592" s="6"/>
      <c r="DQ592" s="6"/>
      <c r="DR592" s="6"/>
      <c r="DS592" s="6"/>
      <c r="DT592" s="6"/>
      <c r="DU592" s="6"/>
      <c r="DV592" s="6"/>
      <c r="DW592" s="6"/>
      <c r="DX592" s="6"/>
      <c r="DY592" s="6"/>
      <c r="DZ592" s="6"/>
      <c r="EA592" s="6"/>
      <c r="EB592" s="6"/>
      <c r="EC592" s="6"/>
      <c r="ED592" s="6"/>
      <c r="EE592" s="6"/>
      <c r="EF592" s="6"/>
      <c r="EG592" s="6"/>
      <c r="EH592" s="6"/>
      <c r="EI592" s="6"/>
      <c r="EJ592" s="6"/>
      <c r="EK592" s="6"/>
      <c r="EL592" s="6"/>
      <c r="EM592" s="6"/>
      <c r="EN592" s="6"/>
      <c r="EO592" s="6"/>
      <c r="EP592" s="6"/>
      <c r="EQ592" s="6"/>
      <c r="ER592" s="6"/>
      <c r="ES592" s="6"/>
      <c r="ET592" s="6"/>
      <c r="EU592" s="6"/>
      <c r="EV592" s="6"/>
      <c r="EW592" s="6"/>
      <c r="EX592" s="6"/>
      <c r="EY592" s="6"/>
      <c r="EZ592" s="6"/>
      <c r="FA592" s="6"/>
      <c r="FB592" s="6"/>
      <c r="FC592" s="6"/>
      <c r="FD592" s="6"/>
      <c r="FE592" s="6"/>
      <c r="FF592" s="6"/>
      <c r="FG592" s="6"/>
      <c r="FH592" s="6"/>
      <c r="FI592" s="6"/>
      <c r="FJ592" s="6"/>
      <c r="FK592" s="6"/>
      <c r="FL592" s="6"/>
      <c r="FM592" s="6"/>
      <c r="FN592" s="6"/>
      <c r="FO592" s="6"/>
      <c r="FP592" s="6"/>
      <c r="FQ592" s="6"/>
      <c r="FR592" s="6"/>
      <c r="FS592" s="6"/>
      <c r="FT592" s="6"/>
      <c r="FU592" s="6"/>
      <c r="FV592" s="6"/>
      <c r="FW592" s="6"/>
      <c r="FX592" s="6"/>
      <c r="FY592" s="6"/>
      <c r="FZ592" s="6"/>
      <c r="GA592" s="6"/>
      <c r="GB592" s="6"/>
      <c r="GC592" s="6"/>
      <c r="GD592" s="6"/>
      <c r="GE592" s="6"/>
      <c r="GF592" s="6"/>
      <c r="GG592" s="6"/>
      <c r="GH592" s="6"/>
      <c r="GI592" s="6"/>
      <c r="GJ592" s="6"/>
      <c r="GK592" s="6"/>
      <c r="GL592" s="6"/>
      <c r="GM592" s="6"/>
      <c r="GN592" s="6"/>
      <c r="GO592" s="6"/>
      <c r="GP592" s="6"/>
      <c r="GQ592" s="6"/>
      <c r="GR592" s="6"/>
      <c r="GS592" s="6"/>
      <c r="GT592" s="6"/>
      <c r="GU592" s="6"/>
      <c r="GV592" s="6"/>
      <c r="GW592" s="6"/>
      <c r="GX592" s="6"/>
      <c r="GY592" s="6"/>
      <c r="GZ592" s="6"/>
      <c r="HA592" s="6"/>
      <c r="HB592" s="6"/>
      <c r="HC592" s="6"/>
      <c r="HD592" s="6"/>
      <c r="HE592" s="6"/>
      <c r="HF592" s="6"/>
      <c r="HG592" s="6"/>
      <c r="HH592" s="6"/>
      <c r="HI592" s="6"/>
      <c r="HJ592" s="6"/>
      <c r="HK592" s="6"/>
      <c r="HL592" s="6"/>
      <c r="HM592" s="6"/>
      <c r="HN592" s="6"/>
      <c r="HO592" s="6"/>
      <c r="HP592" s="6"/>
      <c r="HQ592" s="6"/>
      <c r="HR592" s="6"/>
      <c r="HS592" s="6"/>
      <c r="HT592" s="6"/>
      <c r="HU592" s="6"/>
    </row>
    <row r="593" spans="74:229"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  <c r="CP593" s="6"/>
      <c r="CQ593" s="6"/>
      <c r="CR593" s="6"/>
      <c r="CS593" s="6"/>
      <c r="CT593" s="6"/>
      <c r="CU593" s="6"/>
      <c r="CV593" s="6"/>
      <c r="CW593" s="6"/>
      <c r="CX593" s="6"/>
      <c r="CY593" s="6"/>
      <c r="CZ593" s="6"/>
      <c r="DA593" s="6"/>
      <c r="DB593" s="6"/>
      <c r="DC593" s="6"/>
      <c r="DD593" s="6"/>
      <c r="DE593" s="6"/>
      <c r="DF593" s="6"/>
      <c r="DG593" s="6"/>
      <c r="DH593" s="6"/>
      <c r="DI593" s="6"/>
      <c r="DJ593" s="6"/>
      <c r="DK593" s="6"/>
      <c r="DL593" s="6"/>
      <c r="DM593" s="6"/>
      <c r="DN593" s="6"/>
      <c r="DO593" s="6"/>
      <c r="DP593" s="6"/>
      <c r="DQ593" s="6"/>
      <c r="DR593" s="6"/>
      <c r="DS593" s="6"/>
      <c r="DT593" s="6"/>
      <c r="DU593" s="6"/>
      <c r="DV593" s="6"/>
      <c r="DW593" s="6"/>
      <c r="DX593" s="6"/>
      <c r="DY593" s="6"/>
      <c r="DZ593" s="6"/>
      <c r="EA593" s="6"/>
      <c r="EB593" s="6"/>
      <c r="EC593" s="6"/>
      <c r="ED593" s="6"/>
      <c r="EE593" s="6"/>
      <c r="EF593" s="6"/>
      <c r="EG593" s="6"/>
      <c r="EH593" s="6"/>
      <c r="EI593" s="6"/>
      <c r="EJ593" s="6"/>
      <c r="EK593" s="6"/>
      <c r="EL593" s="6"/>
      <c r="EM593" s="6"/>
      <c r="EN593" s="6"/>
      <c r="EO593" s="6"/>
      <c r="EP593" s="6"/>
      <c r="EQ593" s="6"/>
      <c r="ER593" s="6"/>
      <c r="ES593" s="6"/>
      <c r="ET593" s="6"/>
      <c r="EU593" s="6"/>
      <c r="EV593" s="6"/>
      <c r="EW593" s="6"/>
      <c r="EX593" s="6"/>
      <c r="EY593" s="6"/>
      <c r="EZ593" s="6"/>
      <c r="FA593" s="6"/>
      <c r="FB593" s="6"/>
      <c r="FC593" s="6"/>
      <c r="FD593" s="6"/>
      <c r="FE593" s="6"/>
      <c r="FF593" s="6"/>
      <c r="FG593" s="6"/>
      <c r="FH593" s="6"/>
      <c r="FI593" s="6"/>
      <c r="FJ593" s="6"/>
      <c r="FK593" s="6"/>
      <c r="FL593" s="6"/>
      <c r="FM593" s="6"/>
      <c r="FN593" s="6"/>
      <c r="FO593" s="6"/>
      <c r="FP593" s="6"/>
      <c r="FQ593" s="6"/>
      <c r="FR593" s="6"/>
      <c r="FS593" s="6"/>
      <c r="FT593" s="6"/>
      <c r="FU593" s="6"/>
      <c r="FV593" s="6"/>
      <c r="FW593" s="6"/>
      <c r="FX593" s="6"/>
      <c r="FY593" s="6"/>
      <c r="FZ593" s="6"/>
      <c r="GA593" s="6"/>
      <c r="GB593" s="6"/>
      <c r="GC593" s="6"/>
      <c r="GD593" s="6"/>
      <c r="GE593" s="6"/>
      <c r="GF593" s="6"/>
      <c r="GG593" s="6"/>
      <c r="GH593" s="6"/>
      <c r="GI593" s="6"/>
      <c r="GJ593" s="6"/>
      <c r="GK593" s="6"/>
      <c r="GL593" s="6"/>
      <c r="GM593" s="6"/>
      <c r="GN593" s="6"/>
      <c r="GO593" s="6"/>
      <c r="GP593" s="6"/>
      <c r="GQ593" s="6"/>
      <c r="GR593" s="6"/>
      <c r="GS593" s="6"/>
      <c r="GT593" s="6"/>
      <c r="GU593" s="6"/>
      <c r="GV593" s="6"/>
      <c r="GW593" s="6"/>
      <c r="GX593" s="6"/>
      <c r="GY593" s="6"/>
      <c r="GZ593" s="6"/>
      <c r="HA593" s="6"/>
      <c r="HB593" s="6"/>
      <c r="HC593" s="6"/>
      <c r="HD593" s="6"/>
      <c r="HE593" s="6"/>
      <c r="HF593" s="6"/>
      <c r="HG593" s="6"/>
      <c r="HH593" s="6"/>
      <c r="HI593" s="6"/>
      <c r="HJ593" s="6"/>
      <c r="HK593" s="6"/>
      <c r="HL593" s="6"/>
      <c r="HM593" s="6"/>
      <c r="HN593" s="6"/>
      <c r="HO593" s="6"/>
      <c r="HP593" s="6"/>
      <c r="HQ593" s="6"/>
      <c r="HR593" s="6"/>
      <c r="HS593" s="6"/>
      <c r="HT593" s="6"/>
      <c r="HU593" s="6"/>
    </row>
    <row r="594" spans="74:229"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  <c r="CP594" s="6"/>
      <c r="CQ594" s="6"/>
      <c r="CR594" s="6"/>
      <c r="CS594" s="6"/>
      <c r="CT594" s="6"/>
      <c r="CU594" s="6"/>
      <c r="CV594" s="6"/>
      <c r="CW594" s="6"/>
      <c r="CX594" s="6"/>
      <c r="CY594" s="6"/>
      <c r="CZ594" s="6"/>
      <c r="DA594" s="6"/>
      <c r="DB594" s="6"/>
      <c r="DC594" s="6"/>
      <c r="DD594" s="6"/>
      <c r="DE594" s="6"/>
      <c r="DF594" s="6"/>
      <c r="DG594" s="6"/>
      <c r="DH594" s="6"/>
      <c r="DI594" s="6"/>
      <c r="DJ594" s="6"/>
      <c r="DK594" s="6"/>
      <c r="DL594" s="6"/>
      <c r="DM594" s="6"/>
      <c r="DN594" s="6"/>
      <c r="DO594" s="6"/>
      <c r="DP594" s="6"/>
      <c r="DQ594" s="6"/>
      <c r="DR594" s="6"/>
      <c r="DS594" s="6"/>
      <c r="DT594" s="6"/>
      <c r="DU594" s="6"/>
      <c r="DV594" s="6"/>
      <c r="DW594" s="6"/>
      <c r="DX594" s="6"/>
      <c r="DY594" s="6"/>
      <c r="DZ594" s="6"/>
      <c r="EA594" s="6"/>
      <c r="EB594" s="6"/>
      <c r="EC594" s="6"/>
      <c r="ED594" s="6"/>
      <c r="EE594" s="6"/>
      <c r="EF594" s="6"/>
      <c r="EG594" s="6"/>
      <c r="EH594" s="6"/>
      <c r="EI594" s="6"/>
      <c r="EJ594" s="6"/>
      <c r="EK594" s="6"/>
      <c r="EL594" s="6"/>
      <c r="EM594" s="6"/>
      <c r="EN594" s="6"/>
      <c r="EO594" s="6"/>
      <c r="EP594" s="6"/>
      <c r="EQ594" s="6"/>
      <c r="ER594" s="6"/>
      <c r="ES594" s="6"/>
      <c r="ET594" s="6"/>
      <c r="EU594" s="6"/>
      <c r="EV594" s="6"/>
      <c r="EW594" s="6"/>
      <c r="EX594" s="6"/>
      <c r="EY594" s="6"/>
      <c r="EZ594" s="6"/>
      <c r="FA594" s="6"/>
      <c r="FB594" s="6"/>
      <c r="FC594" s="6"/>
      <c r="FD594" s="6"/>
      <c r="FE594" s="6"/>
      <c r="FF594" s="6"/>
      <c r="FG594" s="6"/>
      <c r="FH594" s="6"/>
      <c r="FI594" s="6"/>
      <c r="FJ594" s="6"/>
      <c r="FK594" s="6"/>
      <c r="FL594" s="6"/>
      <c r="FM594" s="6"/>
      <c r="FN594" s="6"/>
      <c r="FO594" s="6"/>
      <c r="FP594" s="6"/>
      <c r="FQ594" s="6"/>
      <c r="FR594" s="6"/>
      <c r="FS594" s="6"/>
      <c r="FT594" s="6"/>
      <c r="FU594" s="6"/>
      <c r="FV594" s="6"/>
      <c r="FW594" s="6"/>
      <c r="FX594" s="6"/>
      <c r="FY594" s="6"/>
      <c r="FZ594" s="6"/>
      <c r="GA594" s="6"/>
      <c r="GB594" s="6"/>
      <c r="GC594" s="6"/>
      <c r="GD594" s="6"/>
      <c r="GE594" s="6"/>
      <c r="GF594" s="6"/>
      <c r="GG594" s="6"/>
      <c r="GH594" s="6"/>
      <c r="GI594" s="6"/>
      <c r="GJ594" s="6"/>
      <c r="GK594" s="6"/>
      <c r="GL594" s="6"/>
      <c r="GM594" s="6"/>
      <c r="GN594" s="6"/>
      <c r="GO594" s="6"/>
      <c r="GP594" s="6"/>
      <c r="GQ594" s="6"/>
      <c r="GR594" s="6"/>
      <c r="GS594" s="6"/>
      <c r="GT594" s="6"/>
      <c r="GU594" s="6"/>
      <c r="GV594" s="6"/>
      <c r="GW594" s="6"/>
      <c r="GX594" s="6"/>
      <c r="GY594" s="6"/>
      <c r="GZ594" s="6"/>
      <c r="HA594" s="6"/>
      <c r="HB594" s="6"/>
      <c r="HC594" s="6"/>
      <c r="HD594" s="6"/>
      <c r="HE594" s="6"/>
      <c r="HF594" s="6"/>
      <c r="HG594" s="6"/>
      <c r="HH594" s="6"/>
      <c r="HI594" s="6"/>
      <c r="HJ594" s="6"/>
      <c r="HK594" s="6"/>
      <c r="HL594" s="6"/>
      <c r="HM594" s="6"/>
      <c r="HN594" s="6"/>
      <c r="HO594" s="6"/>
      <c r="HP594" s="6"/>
      <c r="HQ594" s="6"/>
      <c r="HR594" s="6"/>
      <c r="HS594" s="6"/>
      <c r="HT594" s="6"/>
      <c r="HU594" s="6"/>
    </row>
    <row r="595" spans="74:229"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  <c r="CP595" s="6"/>
      <c r="CQ595" s="6"/>
      <c r="CR595" s="6"/>
      <c r="CS595" s="6"/>
      <c r="CT595" s="6"/>
      <c r="CU595" s="6"/>
      <c r="CV595" s="6"/>
      <c r="CW595" s="6"/>
      <c r="CX595" s="6"/>
      <c r="CY595" s="6"/>
      <c r="CZ595" s="6"/>
      <c r="DA595" s="6"/>
      <c r="DB595" s="6"/>
      <c r="DC595" s="6"/>
      <c r="DD595" s="6"/>
      <c r="DE595" s="6"/>
      <c r="DF595" s="6"/>
      <c r="DG595" s="6"/>
      <c r="DH595" s="6"/>
      <c r="DI595" s="6"/>
      <c r="DJ595" s="6"/>
      <c r="DK595" s="6"/>
      <c r="DL595" s="6"/>
      <c r="DM595" s="6"/>
      <c r="DN595" s="6"/>
      <c r="DO595" s="6"/>
      <c r="DP595" s="6"/>
      <c r="DQ595" s="6"/>
      <c r="DR595" s="6"/>
      <c r="DS595" s="6"/>
      <c r="DT595" s="6"/>
      <c r="DU595" s="6"/>
      <c r="DV595" s="6"/>
      <c r="DW595" s="6"/>
      <c r="DX595" s="6"/>
      <c r="DY595" s="6"/>
      <c r="DZ595" s="6"/>
      <c r="EA595" s="6"/>
      <c r="EB595" s="6"/>
      <c r="EC595" s="6"/>
      <c r="ED595" s="6"/>
      <c r="EE595" s="6"/>
      <c r="EF595" s="6"/>
      <c r="EG595" s="6"/>
      <c r="EH595" s="6"/>
      <c r="EI595" s="6"/>
      <c r="EJ595" s="6"/>
      <c r="EK595" s="6"/>
      <c r="EL595" s="6"/>
      <c r="EM595" s="6"/>
      <c r="EN595" s="6"/>
      <c r="EO595" s="6"/>
      <c r="EP595" s="6"/>
      <c r="EQ595" s="6"/>
      <c r="ER595" s="6"/>
      <c r="ES595" s="6"/>
      <c r="ET595" s="6"/>
      <c r="EU595" s="6"/>
      <c r="EV595" s="6"/>
      <c r="EW595" s="6"/>
      <c r="EX595" s="6"/>
      <c r="EY595" s="6"/>
      <c r="EZ595" s="6"/>
      <c r="FA595" s="6"/>
      <c r="FB595" s="6"/>
      <c r="FC595" s="6"/>
      <c r="FD595" s="6"/>
      <c r="FE595" s="6"/>
      <c r="FF595" s="6"/>
      <c r="FG595" s="6"/>
      <c r="FH595" s="6"/>
      <c r="FI595" s="6"/>
      <c r="FJ595" s="6"/>
      <c r="FK595" s="6"/>
      <c r="FL595" s="6"/>
      <c r="FM595" s="6"/>
      <c r="FN595" s="6"/>
      <c r="FO595" s="6"/>
      <c r="FP595" s="6"/>
      <c r="FQ595" s="6"/>
      <c r="FR595" s="6"/>
      <c r="FS595" s="6"/>
      <c r="FT595" s="6"/>
      <c r="FU595" s="6"/>
      <c r="FV595" s="6"/>
      <c r="FW595" s="6"/>
      <c r="FX595" s="6"/>
      <c r="FY595" s="6"/>
      <c r="FZ595" s="6"/>
      <c r="GA595" s="6"/>
      <c r="GB595" s="6"/>
      <c r="GC595" s="6"/>
      <c r="GD595" s="6"/>
      <c r="GE595" s="6"/>
      <c r="GF595" s="6"/>
      <c r="GG595" s="6"/>
      <c r="GH595" s="6"/>
      <c r="GI595" s="6"/>
      <c r="GJ595" s="6"/>
      <c r="GK595" s="6"/>
      <c r="GL595" s="6"/>
      <c r="GM595" s="6"/>
      <c r="GN595" s="6"/>
      <c r="GO595" s="6"/>
      <c r="GP595" s="6"/>
      <c r="GQ595" s="6"/>
      <c r="GR595" s="6"/>
      <c r="GS595" s="6"/>
      <c r="GT595" s="6"/>
      <c r="GU595" s="6"/>
      <c r="GV595" s="6"/>
      <c r="GW595" s="6"/>
      <c r="GX595" s="6"/>
      <c r="GY595" s="6"/>
      <c r="GZ595" s="6"/>
      <c r="HA595" s="6"/>
      <c r="HB595" s="6"/>
      <c r="HC595" s="6"/>
      <c r="HD595" s="6"/>
      <c r="HE595" s="6"/>
      <c r="HF595" s="6"/>
      <c r="HG595" s="6"/>
      <c r="HH595" s="6"/>
      <c r="HI595" s="6"/>
      <c r="HJ595" s="6"/>
      <c r="HK595" s="6"/>
      <c r="HL595" s="6"/>
      <c r="HM595" s="6"/>
      <c r="HN595" s="6"/>
      <c r="HO595" s="6"/>
      <c r="HP595" s="6"/>
      <c r="HQ595" s="6"/>
      <c r="HR595" s="6"/>
      <c r="HS595" s="6"/>
      <c r="HT595" s="6"/>
      <c r="HU595" s="6"/>
    </row>
    <row r="596" spans="74:229"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  <c r="CP596" s="6"/>
      <c r="CQ596" s="6"/>
      <c r="CR596" s="6"/>
      <c r="CS596" s="6"/>
      <c r="CT596" s="6"/>
      <c r="CU596" s="6"/>
      <c r="CV596" s="6"/>
      <c r="CW596" s="6"/>
      <c r="CX596" s="6"/>
      <c r="CY596" s="6"/>
      <c r="CZ596" s="6"/>
      <c r="DA596" s="6"/>
      <c r="DB596" s="6"/>
      <c r="DC596" s="6"/>
      <c r="DD596" s="6"/>
      <c r="DE596" s="6"/>
      <c r="DF596" s="6"/>
      <c r="DG596" s="6"/>
      <c r="DH596" s="6"/>
      <c r="DI596" s="6"/>
      <c r="DJ596" s="6"/>
      <c r="DK596" s="6"/>
      <c r="DL596" s="6"/>
      <c r="DM596" s="6"/>
      <c r="DN596" s="6"/>
      <c r="DO596" s="6"/>
      <c r="DP596" s="6"/>
      <c r="DQ596" s="6"/>
      <c r="DR596" s="6"/>
      <c r="DS596" s="6"/>
      <c r="DT596" s="6"/>
      <c r="DU596" s="6"/>
      <c r="DV596" s="6"/>
      <c r="DW596" s="6"/>
      <c r="DX596" s="6"/>
      <c r="DY596" s="6"/>
      <c r="DZ596" s="6"/>
      <c r="EA596" s="6"/>
      <c r="EB596" s="6"/>
      <c r="EC596" s="6"/>
      <c r="ED596" s="6"/>
      <c r="EE596" s="6"/>
      <c r="EF596" s="6"/>
      <c r="EG596" s="6"/>
      <c r="EH596" s="6"/>
      <c r="EI596" s="6"/>
      <c r="EJ596" s="6"/>
      <c r="EK596" s="6"/>
      <c r="EL596" s="6"/>
      <c r="EM596" s="6"/>
      <c r="EN596" s="6"/>
      <c r="EO596" s="6"/>
      <c r="EP596" s="6"/>
      <c r="EQ596" s="6"/>
      <c r="ER596" s="6"/>
      <c r="ES596" s="6"/>
      <c r="ET596" s="6"/>
      <c r="EU596" s="6"/>
      <c r="EV596" s="6"/>
      <c r="EW596" s="6"/>
      <c r="EX596" s="6"/>
      <c r="EY596" s="6"/>
      <c r="EZ596" s="6"/>
      <c r="FA596" s="6"/>
      <c r="FB596" s="6"/>
      <c r="FC596" s="6"/>
      <c r="FD596" s="6"/>
      <c r="FE596" s="6"/>
      <c r="FF596" s="6"/>
      <c r="FG596" s="6"/>
      <c r="FH596" s="6"/>
      <c r="FI596" s="6"/>
      <c r="FJ596" s="6"/>
      <c r="FK596" s="6"/>
      <c r="FL596" s="6"/>
      <c r="FM596" s="6"/>
      <c r="FN596" s="6"/>
      <c r="FO596" s="6"/>
      <c r="FP596" s="6"/>
      <c r="FQ596" s="6"/>
      <c r="FR596" s="6"/>
      <c r="FS596" s="6"/>
      <c r="FT596" s="6"/>
      <c r="FU596" s="6"/>
      <c r="FV596" s="6"/>
      <c r="FW596" s="6"/>
      <c r="FX596" s="6"/>
      <c r="FY596" s="6"/>
      <c r="FZ596" s="6"/>
      <c r="GA596" s="6"/>
      <c r="GB596" s="6"/>
      <c r="GC596" s="6"/>
      <c r="GD596" s="6"/>
      <c r="GE596" s="6"/>
      <c r="GF596" s="6"/>
      <c r="GG596" s="6"/>
      <c r="GH596" s="6"/>
      <c r="GI596" s="6"/>
      <c r="GJ596" s="6"/>
      <c r="GK596" s="6"/>
      <c r="GL596" s="6"/>
      <c r="GM596" s="6"/>
      <c r="GN596" s="6"/>
      <c r="GO596" s="6"/>
      <c r="GP596" s="6"/>
      <c r="GQ596" s="6"/>
      <c r="GR596" s="6"/>
      <c r="GS596" s="6"/>
      <c r="GT596" s="6"/>
      <c r="GU596" s="6"/>
      <c r="GV596" s="6"/>
      <c r="GW596" s="6"/>
      <c r="GX596" s="6"/>
      <c r="GY596" s="6"/>
      <c r="GZ596" s="6"/>
      <c r="HA596" s="6"/>
      <c r="HB596" s="6"/>
      <c r="HC596" s="6"/>
      <c r="HD596" s="6"/>
      <c r="HE596" s="6"/>
      <c r="HF596" s="6"/>
      <c r="HG596" s="6"/>
      <c r="HH596" s="6"/>
      <c r="HI596" s="6"/>
      <c r="HJ596" s="6"/>
      <c r="HK596" s="6"/>
      <c r="HL596" s="6"/>
      <c r="HM596" s="6"/>
      <c r="HN596" s="6"/>
      <c r="HO596" s="6"/>
      <c r="HP596" s="6"/>
      <c r="HQ596" s="6"/>
      <c r="HR596" s="6"/>
      <c r="HS596" s="6"/>
      <c r="HT596" s="6"/>
      <c r="HU596" s="6"/>
    </row>
    <row r="597" spans="74:229"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  <c r="CP597" s="6"/>
      <c r="CQ597" s="6"/>
      <c r="CR597" s="6"/>
      <c r="CS597" s="6"/>
      <c r="CT597" s="6"/>
      <c r="CU597" s="6"/>
      <c r="CV597" s="6"/>
      <c r="CW597" s="6"/>
      <c r="CX597" s="6"/>
      <c r="CY597" s="6"/>
      <c r="CZ597" s="6"/>
      <c r="DA597" s="6"/>
      <c r="DB597" s="6"/>
      <c r="DC597" s="6"/>
      <c r="DD597" s="6"/>
      <c r="DE597" s="6"/>
      <c r="DF597" s="6"/>
      <c r="DG597" s="6"/>
      <c r="DH597" s="6"/>
      <c r="DI597" s="6"/>
      <c r="DJ597" s="6"/>
      <c r="DK597" s="6"/>
      <c r="DL597" s="6"/>
      <c r="DM597" s="6"/>
      <c r="DN597" s="6"/>
      <c r="DO597" s="6"/>
      <c r="DP597" s="6"/>
      <c r="DQ597" s="6"/>
      <c r="DR597" s="6"/>
      <c r="DS597" s="6"/>
      <c r="DT597" s="6"/>
      <c r="DU597" s="6"/>
      <c r="DV597" s="6"/>
      <c r="DW597" s="6"/>
      <c r="DX597" s="6"/>
      <c r="DY597" s="6"/>
      <c r="DZ597" s="6"/>
      <c r="EA597" s="6"/>
      <c r="EB597" s="6"/>
      <c r="EC597" s="6"/>
      <c r="ED597" s="6"/>
      <c r="EE597" s="6"/>
      <c r="EF597" s="6"/>
      <c r="EG597" s="6"/>
      <c r="EH597" s="6"/>
      <c r="EI597" s="6"/>
      <c r="EJ597" s="6"/>
      <c r="EK597" s="6"/>
      <c r="EL597" s="6"/>
      <c r="EM597" s="6"/>
      <c r="EN597" s="6"/>
      <c r="EO597" s="6"/>
      <c r="EP597" s="6"/>
      <c r="EQ597" s="6"/>
      <c r="ER597" s="6"/>
      <c r="ES597" s="6"/>
      <c r="ET597" s="6"/>
      <c r="EU597" s="6"/>
      <c r="EV597" s="6"/>
      <c r="EW597" s="6"/>
      <c r="EX597" s="6"/>
      <c r="EY597" s="6"/>
      <c r="EZ597" s="6"/>
      <c r="FA597" s="6"/>
      <c r="FB597" s="6"/>
      <c r="FC597" s="6"/>
      <c r="FD597" s="6"/>
      <c r="FE597" s="6"/>
      <c r="FF597" s="6"/>
      <c r="FG597" s="6"/>
      <c r="FH597" s="6"/>
      <c r="FI597" s="6"/>
      <c r="FJ597" s="6"/>
      <c r="FK597" s="6"/>
      <c r="FL597" s="6"/>
      <c r="FM597" s="6"/>
      <c r="FN597" s="6"/>
      <c r="FO597" s="6"/>
      <c r="FP597" s="6"/>
      <c r="FQ597" s="6"/>
      <c r="FR597" s="6"/>
      <c r="FS597" s="6"/>
      <c r="FT597" s="6"/>
      <c r="FU597" s="6"/>
      <c r="FV597" s="6"/>
      <c r="FW597" s="6"/>
      <c r="FX597" s="6"/>
      <c r="FY597" s="6"/>
      <c r="FZ597" s="6"/>
      <c r="GA597" s="6"/>
      <c r="GB597" s="6"/>
      <c r="GC597" s="6"/>
      <c r="GD597" s="6"/>
      <c r="GE597" s="6"/>
      <c r="GF597" s="6"/>
      <c r="GG597" s="6"/>
      <c r="GH597" s="6"/>
      <c r="GI597" s="6"/>
      <c r="GJ597" s="6"/>
      <c r="GK597" s="6"/>
      <c r="GL597" s="6"/>
      <c r="GM597" s="6"/>
      <c r="GN597" s="6"/>
      <c r="GO597" s="6"/>
      <c r="GP597" s="6"/>
      <c r="GQ597" s="6"/>
      <c r="GR597" s="6"/>
      <c r="GS597" s="6"/>
      <c r="GT597" s="6"/>
      <c r="GU597" s="6"/>
      <c r="GV597" s="6"/>
      <c r="GW597" s="6"/>
      <c r="GX597" s="6"/>
      <c r="GY597" s="6"/>
      <c r="GZ597" s="6"/>
      <c r="HA597" s="6"/>
      <c r="HB597" s="6"/>
      <c r="HC597" s="6"/>
      <c r="HD597" s="6"/>
      <c r="HE597" s="6"/>
      <c r="HF597" s="6"/>
      <c r="HG597" s="6"/>
      <c r="HH597" s="6"/>
      <c r="HI597" s="6"/>
      <c r="HJ597" s="6"/>
      <c r="HK597" s="6"/>
      <c r="HL597" s="6"/>
      <c r="HM597" s="6"/>
      <c r="HN597" s="6"/>
      <c r="HO597" s="6"/>
      <c r="HP597" s="6"/>
      <c r="HQ597" s="6"/>
      <c r="HR597" s="6"/>
      <c r="HS597" s="6"/>
      <c r="HT597" s="6"/>
      <c r="HU597" s="6"/>
    </row>
    <row r="598" spans="74:229"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  <c r="CP598" s="6"/>
      <c r="CQ598" s="6"/>
      <c r="CR598" s="6"/>
      <c r="CS598" s="6"/>
      <c r="CT598" s="6"/>
      <c r="CU598" s="6"/>
      <c r="CV598" s="6"/>
      <c r="CW598" s="6"/>
      <c r="CX598" s="6"/>
      <c r="CY598" s="6"/>
      <c r="CZ598" s="6"/>
      <c r="DA598" s="6"/>
      <c r="DB598" s="6"/>
      <c r="DC598" s="6"/>
      <c r="DD598" s="6"/>
      <c r="DE598" s="6"/>
      <c r="DF598" s="6"/>
      <c r="DG598" s="6"/>
      <c r="DH598" s="6"/>
      <c r="DI598" s="6"/>
      <c r="DJ598" s="6"/>
      <c r="DK598" s="6"/>
      <c r="DL598" s="6"/>
      <c r="DM598" s="6"/>
      <c r="DN598" s="6"/>
      <c r="DO598" s="6"/>
      <c r="DP598" s="6"/>
      <c r="DQ598" s="6"/>
      <c r="DR598" s="6"/>
      <c r="DS598" s="6"/>
      <c r="DT598" s="6"/>
      <c r="DU598" s="6"/>
      <c r="DV598" s="6"/>
      <c r="DW598" s="6"/>
      <c r="DX598" s="6"/>
      <c r="DY598" s="6"/>
      <c r="DZ598" s="6"/>
      <c r="EA598" s="6"/>
      <c r="EB598" s="6"/>
      <c r="EC598" s="6"/>
      <c r="ED598" s="6"/>
      <c r="EE598" s="6"/>
      <c r="EF598" s="6"/>
      <c r="EG598" s="6"/>
      <c r="EH598" s="6"/>
      <c r="EI598" s="6"/>
      <c r="EJ598" s="6"/>
      <c r="EK598" s="6"/>
      <c r="EL598" s="6"/>
      <c r="EM598" s="6"/>
      <c r="EN598" s="6"/>
      <c r="EO598" s="6"/>
      <c r="EP598" s="6"/>
      <c r="EQ598" s="6"/>
      <c r="ER598" s="6"/>
      <c r="ES598" s="6"/>
      <c r="ET598" s="6"/>
      <c r="EU598" s="6"/>
      <c r="EV598" s="6"/>
      <c r="EW598" s="6"/>
      <c r="EX598" s="6"/>
      <c r="EY598" s="6"/>
      <c r="EZ598" s="6"/>
      <c r="FA598" s="6"/>
      <c r="FB598" s="6"/>
      <c r="FC598" s="6"/>
      <c r="FD598" s="6"/>
      <c r="FE598" s="6"/>
      <c r="FF598" s="6"/>
      <c r="FG598" s="6"/>
      <c r="FH598" s="6"/>
      <c r="FI598" s="6"/>
      <c r="FJ598" s="6"/>
      <c r="FK598" s="6"/>
      <c r="FL598" s="6"/>
      <c r="FM598" s="6"/>
      <c r="FN598" s="6"/>
      <c r="FO598" s="6"/>
      <c r="FP598" s="6"/>
      <c r="FQ598" s="6"/>
      <c r="FR598" s="6"/>
      <c r="FS598" s="6"/>
      <c r="FT598" s="6"/>
      <c r="FU598" s="6"/>
      <c r="FV598" s="6"/>
      <c r="FW598" s="6"/>
      <c r="FX598" s="6"/>
      <c r="FY598" s="6"/>
      <c r="FZ598" s="6"/>
      <c r="GA598" s="6"/>
      <c r="GB598" s="6"/>
      <c r="GC598" s="6"/>
      <c r="GD598" s="6"/>
      <c r="GE598" s="6"/>
      <c r="GF598" s="6"/>
      <c r="GG598" s="6"/>
      <c r="GH598" s="6"/>
      <c r="GI598" s="6"/>
      <c r="GJ598" s="6"/>
      <c r="GK598" s="6"/>
      <c r="GL598" s="6"/>
      <c r="GM598" s="6"/>
      <c r="GN598" s="6"/>
      <c r="GO598" s="6"/>
      <c r="GP598" s="6"/>
      <c r="GQ598" s="6"/>
      <c r="GR598" s="6"/>
      <c r="GS598" s="6"/>
      <c r="GT598" s="6"/>
      <c r="GU598" s="6"/>
      <c r="GV598" s="6"/>
      <c r="GW598" s="6"/>
      <c r="GX598" s="6"/>
      <c r="GY598" s="6"/>
      <c r="GZ598" s="6"/>
      <c r="HA598" s="6"/>
      <c r="HB598" s="6"/>
      <c r="HC598" s="6"/>
      <c r="HD598" s="6"/>
      <c r="HE598" s="6"/>
      <c r="HF598" s="6"/>
      <c r="HG598" s="6"/>
      <c r="HH598" s="6"/>
      <c r="HI598" s="6"/>
      <c r="HJ598" s="6"/>
      <c r="HK598" s="6"/>
      <c r="HL598" s="6"/>
      <c r="HM598" s="6"/>
      <c r="HN598" s="6"/>
      <c r="HO598" s="6"/>
      <c r="HP598" s="6"/>
      <c r="HQ598" s="6"/>
      <c r="HR598" s="6"/>
      <c r="HS598" s="6"/>
      <c r="HT598" s="6"/>
      <c r="HU598" s="6"/>
    </row>
    <row r="599" spans="74:229"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  <c r="CP599" s="6"/>
      <c r="CQ599" s="6"/>
      <c r="CR599" s="6"/>
      <c r="CS599" s="6"/>
      <c r="CT599" s="6"/>
      <c r="CU599" s="6"/>
      <c r="CV599" s="6"/>
      <c r="CW599" s="6"/>
      <c r="CX599" s="6"/>
      <c r="CY599" s="6"/>
      <c r="CZ599" s="6"/>
      <c r="DA599" s="6"/>
      <c r="DB599" s="6"/>
      <c r="DC599" s="6"/>
      <c r="DD599" s="6"/>
      <c r="DE599" s="6"/>
      <c r="DF599" s="6"/>
      <c r="DG599" s="6"/>
      <c r="DH599" s="6"/>
      <c r="DI599" s="6"/>
      <c r="DJ599" s="6"/>
      <c r="DK599" s="6"/>
      <c r="DL599" s="6"/>
      <c r="DM599" s="6"/>
      <c r="DN599" s="6"/>
      <c r="DO599" s="6"/>
      <c r="DP599" s="6"/>
      <c r="DQ599" s="6"/>
      <c r="DR599" s="6"/>
      <c r="DS599" s="6"/>
      <c r="DT599" s="6"/>
      <c r="DU599" s="6"/>
      <c r="DV599" s="6"/>
      <c r="DW599" s="6"/>
      <c r="DX599" s="6"/>
      <c r="DY599" s="6"/>
      <c r="DZ599" s="6"/>
      <c r="EA599" s="6"/>
      <c r="EB599" s="6"/>
      <c r="EC599" s="6"/>
      <c r="ED599" s="6"/>
      <c r="EE599" s="6"/>
      <c r="EF599" s="6"/>
      <c r="EG599" s="6"/>
      <c r="EH599" s="6"/>
      <c r="EI599" s="6"/>
      <c r="EJ599" s="6"/>
      <c r="EK599" s="6"/>
      <c r="EL599" s="6"/>
      <c r="EM599" s="6"/>
      <c r="EN599" s="6"/>
      <c r="EO599" s="6"/>
      <c r="EP599" s="6"/>
      <c r="EQ599" s="6"/>
      <c r="ER599" s="6"/>
      <c r="ES599" s="6"/>
      <c r="ET599" s="6"/>
      <c r="EU599" s="6"/>
      <c r="EV599" s="6"/>
      <c r="EW599" s="6"/>
      <c r="EX599" s="6"/>
      <c r="EY599" s="6"/>
      <c r="EZ599" s="6"/>
      <c r="FA599" s="6"/>
      <c r="FB599" s="6"/>
      <c r="FC599" s="6"/>
      <c r="FD599" s="6"/>
      <c r="FE599" s="6"/>
      <c r="FF599" s="6"/>
      <c r="FG599" s="6"/>
      <c r="FH599" s="6"/>
      <c r="FI599" s="6"/>
      <c r="FJ599" s="6"/>
      <c r="FK599" s="6"/>
      <c r="FL599" s="6"/>
      <c r="FM599" s="6"/>
      <c r="FN599" s="6"/>
      <c r="FO599" s="6"/>
      <c r="FP599" s="6"/>
      <c r="FQ599" s="6"/>
      <c r="FR599" s="6"/>
      <c r="FS599" s="6"/>
      <c r="FT599" s="6"/>
      <c r="FU599" s="6"/>
      <c r="FV599" s="6"/>
      <c r="FW599" s="6"/>
      <c r="FX599" s="6"/>
      <c r="FY599" s="6"/>
      <c r="FZ599" s="6"/>
      <c r="GA599" s="6"/>
      <c r="GB599" s="6"/>
      <c r="GC599" s="6"/>
      <c r="GD599" s="6"/>
      <c r="GE599" s="6"/>
      <c r="GF599" s="6"/>
      <c r="GG599" s="6"/>
      <c r="GH599" s="6"/>
      <c r="GI599" s="6"/>
      <c r="GJ599" s="6"/>
      <c r="GK599" s="6"/>
      <c r="GL599" s="6"/>
      <c r="GM599" s="6"/>
      <c r="GN599" s="6"/>
      <c r="GO599" s="6"/>
      <c r="GP599" s="6"/>
      <c r="GQ599" s="6"/>
      <c r="GR599" s="6"/>
      <c r="GS599" s="6"/>
      <c r="GT599" s="6"/>
      <c r="GU599" s="6"/>
      <c r="GV599" s="6"/>
      <c r="GW599" s="6"/>
      <c r="GX599" s="6"/>
      <c r="GY599" s="6"/>
      <c r="GZ599" s="6"/>
      <c r="HA599" s="6"/>
      <c r="HB599" s="6"/>
      <c r="HC599" s="6"/>
      <c r="HD599" s="6"/>
      <c r="HE599" s="6"/>
      <c r="HF599" s="6"/>
      <c r="HG599" s="6"/>
      <c r="HH599" s="6"/>
      <c r="HI599" s="6"/>
      <c r="HJ599" s="6"/>
      <c r="HK599" s="6"/>
      <c r="HL599" s="6"/>
      <c r="HM599" s="6"/>
      <c r="HN599" s="6"/>
      <c r="HO599" s="6"/>
      <c r="HP599" s="6"/>
      <c r="HQ599" s="6"/>
      <c r="HR599" s="6"/>
      <c r="HS599" s="6"/>
      <c r="HT599" s="6"/>
      <c r="HU599" s="6"/>
    </row>
    <row r="600" spans="74:229"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  <c r="CP600" s="6"/>
      <c r="CQ600" s="6"/>
      <c r="CR600" s="6"/>
      <c r="CS600" s="6"/>
      <c r="CT600" s="6"/>
      <c r="CU600" s="6"/>
      <c r="CV600" s="6"/>
      <c r="CW600" s="6"/>
      <c r="CX600" s="6"/>
      <c r="CY600" s="6"/>
      <c r="CZ600" s="6"/>
      <c r="DA600" s="6"/>
      <c r="DB600" s="6"/>
      <c r="DC600" s="6"/>
      <c r="DD600" s="6"/>
      <c r="DE600" s="6"/>
      <c r="DF600" s="6"/>
      <c r="DG600" s="6"/>
      <c r="DH600" s="6"/>
      <c r="DI600" s="6"/>
      <c r="DJ600" s="6"/>
      <c r="DK600" s="6"/>
      <c r="DL600" s="6"/>
      <c r="DM600" s="6"/>
      <c r="DN600" s="6"/>
      <c r="DO600" s="6"/>
      <c r="DP600" s="6"/>
      <c r="DQ600" s="6"/>
      <c r="DR600" s="6"/>
      <c r="DS600" s="6"/>
      <c r="DT600" s="6"/>
      <c r="DU600" s="6"/>
      <c r="DV600" s="6"/>
      <c r="DW600" s="6"/>
      <c r="DX600" s="6"/>
      <c r="DY600" s="6"/>
      <c r="DZ600" s="6"/>
      <c r="EA600" s="6"/>
      <c r="EB600" s="6"/>
      <c r="EC600" s="6"/>
      <c r="ED600" s="6"/>
      <c r="EE600" s="6"/>
      <c r="EF600" s="6"/>
      <c r="EG600" s="6"/>
      <c r="EH600" s="6"/>
      <c r="EI600" s="6"/>
      <c r="EJ600" s="6"/>
      <c r="EK600" s="6"/>
      <c r="EL600" s="6"/>
      <c r="EM600" s="6"/>
      <c r="EN600" s="6"/>
      <c r="EO600" s="6"/>
      <c r="EP600" s="6"/>
      <c r="EQ600" s="6"/>
      <c r="ER600" s="6"/>
      <c r="ES600" s="6"/>
      <c r="ET600" s="6"/>
      <c r="EU600" s="6"/>
      <c r="EV600" s="6"/>
      <c r="EW600" s="6"/>
      <c r="EX600" s="6"/>
      <c r="EY600" s="6"/>
      <c r="EZ600" s="6"/>
      <c r="FA600" s="6"/>
      <c r="FB600" s="6"/>
      <c r="FC600" s="6"/>
      <c r="FD600" s="6"/>
      <c r="FE600" s="6"/>
      <c r="FF600" s="6"/>
      <c r="FG600" s="6"/>
      <c r="FH600" s="6"/>
      <c r="FI600" s="6"/>
      <c r="FJ600" s="6"/>
      <c r="FK600" s="6"/>
      <c r="FL600" s="6"/>
      <c r="FM600" s="6"/>
      <c r="FN600" s="6"/>
      <c r="FO600" s="6"/>
      <c r="FP600" s="6"/>
      <c r="FQ600" s="6"/>
      <c r="FR600" s="6"/>
      <c r="FS600" s="6"/>
      <c r="FT600" s="6"/>
      <c r="FU600" s="6"/>
      <c r="FV600" s="6"/>
      <c r="FW600" s="6"/>
      <c r="FX600" s="6"/>
      <c r="FY600" s="6"/>
      <c r="FZ600" s="6"/>
      <c r="GA600" s="6"/>
      <c r="GB600" s="6"/>
      <c r="GC600" s="6"/>
      <c r="GD600" s="6"/>
      <c r="GE600" s="6"/>
      <c r="GF600" s="6"/>
      <c r="GG600" s="6"/>
      <c r="GH600" s="6"/>
      <c r="GI600" s="6"/>
      <c r="GJ600" s="6"/>
      <c r="GK600" s="6"/>
      <c r="GL600" s="6"/>
      <c r="GM600" s="6"/>
      <c r="GN600" s="6"/>
      <c r="GO600" s="6"/>
      <c r="GP600" s="6"/>
      <c r="GQ600" s="6"/>
      <c r="GR600" s="6"/>
      <c r="GS600" s="6"/>
      <c r="GT600" s="6"/>
      <c r="GU600" s="6"/>
      <c r="GV600" s="6"/>
      <c r="GW600" s="6"/>
      <c r="GX600" s="6"/>
      <c r="GY600" s="6"/>
      <c r="GZ600" s="6"/>
      <c r="HA600" s="6"/>
      <c r="HB600" s="6"/>
      <c r="HC600" s="6"/>
      <c r="HD600" s="6"/>
      <c r="HE600" s="6"/>
      <c r="HF600" s="6"/>
      <c r="HG600" s="6"/>
      <c r="HH600" s="6"/>
      <c r="HI600" s="6"/>
      <c r="HJ600" s="6"/>
      <c r="HK600" s="6"/>
      <c r="HL600" s="6"/>
      <c r="HM600" s="6"/>
      <c r="HN600" s="6"/>
      <c r="HO600" s="6"/>
      <c r="HP600" s="6"/>
      <c r="HQ600" s="6"/>
      <c r="HR600" s="6"/>
      <c r="HS600" s="6"/>
      <c r="HT600" s="6"/>
      <c r="HU600" s="6"/>
    </row>
    <row r="601" spans="74:229"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  <c r="CP601" s="6"/>
      <c r="CQ601" s="6"/>
      <c r="CR601" s="6"/>
      <c r="CS601" s="6"/>
      <c r="CT601" s="6"/>
      <c r="CU601" s="6"/>
      <c r="CV601" s="6"/>
      <c r="CW601" s="6"/>
      <c r="CX601" s="6"/>
      <c r="CY601" s="6"/>
      <c r="CZ601" s="6"/>
      <c r="DA601" s="6"/>
      <c r="DB601" s="6"/>
      <c r="DC601" s="6"/>
      <c r="DD601" s="6"/>
      <c r="DE601" s="6"/>
      <c r="DF601" s="6"/>
      <c r="DG601" s="6"/>
      <c r="DH601" s="6"/>
      <c r="DI601" s="6"/>
      <c r="DJ601" s="6"/>
      <c r="DK601" s="6"/>
      <c r="DL601" s="6"/>
      <c r="DM601" s="6"/>
      <c r="DN601" s="6"/>
      <c r="DO601" s="6"/>
      <c r="DP601" s="6"/>
      <c r="DQ601" s="6"/>
      <c r="DR601" s="6"/>
      <c r="DS601" s="6"/>
      <c r="DT601" s="6"/>
      <c r="DU601" s="6"/>
      <c r="DV601" s="6"/>
      <c r="DW601" s="6"/>
      <c r="DX601" s="6"/>
      <c r="DY601" s="6"/>
      <c r="DZ601" s="6"/>
      <c r="EA601" s="6"/>
      <c r="EB601" s="6"/>
      <c r="EC601" s="6"/>
      <c r="ED601" s="6"/>
      <c r="EE601" s="6"/>
      <c r="EF601" s="6"/>
      <c r="EG601" s="6"/>
      <c r="EH601" s="6"/>
      <c r="EI601" s="6"/>
      <c r="EJ601" s="6"/>
      <c r="EK601" s="6"/>
      <c r="EL601" s="6"/>
      <c r="EM601" s="6"/>
      <c r="EN601" s="6"/>
      <c r="EO601" s="6"/>
      <c r="EP601" s="6"/>
      <c r="EQ601" s="6"/>
      <c r="ER601" s="6"/>
      <c r="ES601" s="6"/>
      <c r="ET601" s="6"/>
      <c r="EU601" s="6"/>
      <c r="EV601" s="6"/>
      <c r="EW601" s="6"/>
      <c r="EX601" s="6"/>
      <c r="EY601" s="6"/>
      <c r="EZ601" s="6"/>
      <c r="FA601" s="6"/>
      <c r="FB601" s="6"/>
      <c r="FC601" s="6"/>
      <c r="FD601" s="6"/>
      <c r="FE601" s="6"/>
      <c r="FF601" s="6"/>
      <c r="FG601" s="6"/>
      <c r="FH601" s="6"/>
      <c r="FI601" s="6"/>
      <c r="FJ601" s="6"/>
      <c r="FK601" s="6"/>
      <c r="FL601" s="6"/>
      <c r="FM601" s="6"/>
      <c r="FN601" s="6"/>
      <c r="FO601" s="6"/>
      <c r="FP601" s="6"/>
      <c r="FQ601" s="6"/>
      <c r="FR601" s="6"/>
      <c r="FS601" s="6"/>
      <c r="FT601" s="6"/>
      <c r="FU601" s="6"/>
      <c r="FV601" s="6"/>
      <c r="FW601" s="6"/>
      <c r="FX601" s="6"/>
      <c r="FY601" s="6"/>
      <c r="FZ601" s="6"/>
      <c r="GA601" s="6"/>
      <c r="GB601" s="6"/>
      <c r="GC601" s="6"/>
      <c r="GD601" s="6"/>
      <c r="GE601" s="6"/>
      <c r="GF601" s="6"/>
      <c r="GG601" s="6"/>
      <c r="GH601" s="6"/>
      <c r="GI601" s="6"/>
      <c r="GJ601" s="6"/>
      <c r="GK601" s="6"/>
      <c r="GL601" s="6"/>
      <c r="GM601" s="6"/>
      <c r="GN601" s="6"/>
      <c r="GO601" s="6"/>
      <c r="GP601" s="6"/>
      <c r="GQ601" s="6"/>
      <c r="GR601" s="6"/>
      <c r="GS601" s="6"/>
      <c r="GT601" s="6"/>
      <c r="GU601" s="6"/>
      <c r="GV601" s="6"/>
      <c r="GW601" s="6"/>
      <c r="GX601" s="6"/>
      <c r="GY601" s="6"/>
      <c r="GZ601" s="6"/>
      <c r="HA601" s="6"/>
      <c r="HB601" s="6"/>
      <c r="HC601" s="6"/>
      <c r="HD601" s="6"/>
      <c r="HE601" s="6"/>
      <c r="HF601" s="6"/>
      <c r="HG601" s="6"/>
      <c r="HH601" s="6"/>
      <c r="HI601" s="6"/>
      <c r="HJ601" s="6"/>
      <c r="HK601" s="6"/>
      <c r="HL601" s="6"/>
      <c r="HM601" s="6"/>
      <c r="HN601" s="6"/>
      <c r="HO601" s="6"/>
      <c r="HP601" s="6"/>
      <c r="HQ601" s="6"/>
      <c r="HR601" s="6"/>
      <c r="HS601" s="6"/>
      <c r="HT601" s="6"/>
      <c r="HU601" s="6"/>
    </row>
    <row r="602" spans="74:229"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  <c r="CP602" s="6"/>
      <c r="CQ602" s="6"/>
      <c r="CR602" s="6"/>
      <c r="CS602" s="6"/>
      <c r="CT602" s="6"/>
      <c r="CU602" s="6"/>
      <c r="CV602" s="6"/>
      <c r="CW602" s="6"/>
      <c r="CX602" s="6"/>
      <c r="CY602" s="6"/>
      <c r="CZ602" s="6"/>
      <c r="DA602" s="6"/>
      <c r="DB602" s="6"/>
      <c r="DC602" s="6"/>
      <c r="DD602" s="6"/>
      <c r="DE602" s="6"/>
      <c r="DF602" s="6"/>
      <c r="DG602" s="6"/>
      <c r="DH602" s="6"/>
      <c r="DI602" s="6"/>
      <c r="DJ602" s="6"/>
      <c r="DK602" s="6"/>
      <c r="DL602" s="6"/>
      <c r="DM602" s="6"/>
      <c r="DN602" s="6"/>
      <c r="DO602" s="6"/>
      <c r="DP602" s="6"/>
      <c r="DQ602" s="6"/>
      <c r="DR602" s="6"/>
      <c r="DS602" s="6"/>
      <c r="DT602" s="6"/>
      <c r="DU602" s="6"/>
      <c r="DV602" s="6"/>
      <c r="DW602" s="6"/>
      <c r="DX602" s="6"/>
      <c r="DY602" s="6"/>
      <c r="DZ602" s="6"/>
      <c r="EA602" s="6"/>
      <c r="EB602" s="6"/>
      <c r="EC602" s="6"/>
      <c r="ED602" s="6"/>
      <c r="EE602" s="6"/>
      <c r="EF602" s="6"/>
      <c r="EG602" s="6"/>
      <c r="EH602" s="6"/>
      <c r="EI602" s="6"/>
      <c r="EJ602" s="6"/>
      <c r="EK602" s="6"/>
      <c r="EL602" s="6"/>
      <c r="EM602" s="6"/>
      <c r="EN602" s="6"/>
      <c r="EO602" s="6"/>
      <c r="EP602" s="6"/>
      <c r="EQ602" s="6"/>
      <c r="ER602" s="6"/>
      <c r="ES602" s="6"/>
      <c r="ET602" s="6"/>
      <c r="EU602" s="6"/>
      <c r="EV602" s="6"/>
      <c r="EW602" s="6"/>
      <c r="EX602" s="6"/>
      <c r="EY602" s="6"/>
      <c r="EZ602" s="6"/>
      <c r="FA602" s="6"/>
      <c r="FB602" s="6"/>
      <c r="FC602" s="6"/>
      <c r="FD602" s="6"/>
      <c r="FE602" s="6"/>
      <c r="FF602" s="6"/>
      <c r="FG602" s="6"/>
      <c r="FH602" s="6"/>
      <c r="FI602" s="6"/>
      <c r="FJ602" s="6"/>
      <c r="FK602" s="6"/>
      <c r="FL602" s="6"/>
      <c r="FM602" s="6"/>
      <c r="FN602" s="6"/>
      <c r="FO602" s="6"/>
      <c r="FP602" s="6"/>
      <c r="FQ602" s="6"/>
      <c r="FR602" s="6"/>
      <c r="FS602" s="6"/>
      <c r="FT602" s="6"/>
      <c r="FU602" s="6"/>
      <c r="FV602" s="6"/>
      <c r="FW602" s="6"/>
      <c r="FX602" s="6"/>
      <c r="FY602" s="6"/>
      <c r="FZ602" s="6"/>
      <c r="GA602" s="6"/>
      <c r="GB602" s="6"/>
      <c r="GC602" s="6"/>
      <c r="GD602" s="6"/>
      <c r="GE602" s="6"/>
      <c r="GF602" s="6"/>
      <c r="GG602" s="6"/>
      <c r="GH602" s="6"/>
      <c r="GI602" s="6"/>
      <c r="GJ602" s="6"/>
      <c r="GK602" s="6"/>
      <c r="GL602" s="6"/>
      <c r="GM602" s="6"/>
      <c r="GN602" s="6"/>
      <c r="GO602" s="6"/>
      <c r="GP602" s="6"/>
      <c r="GQ602" s="6"/>
      <c r="GR602" s="6"/>
      <c r="GS602" s="6"/>
      <c r="GT602" s="6"/>
      <c r="GU602" s="6"/>
      <c r="GV602" s="6"/>
      <c r="GW602" s="6"/>
      <c r="GX602" s="6"/>
      <c r="GY602" s="6"/>
      <c r="GZ602" s="6"/>
      <c r="HA602" s="6"/>
      <c r="HB602" s="6"/>
      <c r="HC602" s="6"/>
      <c r="HD602" s="6"/>
      <c r="HE602" s="6"/>
      <c r="HF602" s="6"/>
      <c r="HG602" s="6"/>
      <c r="HH602" s="6"/>
      <c r="HI602" s="6"/>
      <c r="HJ602" s="6"/>
      <c r="HK602" s="6"/>
      <c r="HL602" s="6"/>
      <c r="HM602" s="6"/>
      <c r="HN602" s="6"/>
      <c r="HO602" s="6"/>
      <c r="HP602" s="6"/>
      <c r="HQ602" s="6"/>
      <c r="HR602" s="6"/>
      <c r="HS602" s="6"/>
      <c r="HT602" s="6"/>
      <c r="HU602" s="6"/>
    </row>
    <row r="603" spans="74:229"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  <c r="CP603" s="6"/>
      <c r="CQ603" s="6"/>
      <c r="CR603" s="6"/>
      <c r="CS603" s="6"/>
      <c r="CT603" s="6"/>
      <c r="CU603" s="6"/>
      <c r="CV603" s="6"/>
      <c r="CW603" s="6"/>
      <c r="CX603" s="6"/>
      <c r="CY603" s="6"/>
      <c r="CZ603" s="6"/>
      <c r="DA603" s="6"/>
      <c r="DB603" s="6"/>
      <c r="DC603" s="6"/>
      <c r="DD603" s="6"/>
      <c r="DE603" s="6"/>
      <c r="DF603" s="6"/>
      <c r="DG603" s="6"/>
      <c r="DH603" s="6"/>
      <c r="DI603" s="6"/>
      <c r="DJ603" s="6"/>
      <c r="DK603" s="6"/>
      <c r="DL603" s="6"/>
      <c r="DM603" s="6"/>
      <c r="DN603" s="6"/>
      <c r="DO603" s="6"/>
      <c r="DP603" s="6"/>
      <c r="DQ603" s="6"/>
      <c r="DR603" s="6"/>
      <c r="DS603" s="6"/>
      <c r="DT603" s="6"/>
      <c r="DU603" s="6"/>
      <c r="DV603" s="6"/>
      <c r="DW603" s="6"/>
      <c r="DX603" s="6"/>
      <c r="DY603" s="6"/>
      <c r="DZ603" s="6"/>
      <c r="EA603" s="6"/>
      <c r="EB603" s="6"/>
      <c r="EC603" s="6"/>
      <c r="ED603" s="6"/>
      <c r="EE603" s="6"/>
      <c r="EF603" s="6"/>
      <c r="EG603" s="6"/>
      <c r="EH603" s="6"/>
      <c r="EI603" s="6"/>
      <c r="EJ603" s="6"/>
      <c r="EK603" s="6"/>
      <c r="EL603" s="6"/>
      <c r="EM603" s="6"/>
      <c r="EN603" s="6"/>
      <c r="EO603" s="6"/>
      <c r="EP603" s="6"/>
      <c r="EQ603" s="6"/>
      <c r="ER603" s="6"/>
      <c r="ES603" s="6"/>
      <c r="ET603" s="6"/>
      <c r="EU603" s="6"/>
      <c r="EV603" s="6"/>
      <c r="EW603" s="6"/>
      <c r="EX603" s="6"/>
      <c r="EY603" s="6"/>
      <c r="EZ603" s="6"/>
      <c r="FA603" s="6"/>
      <c r="FB603" s="6"/>
      <c r="FC603" s="6"/>
      <c r="FD603" s="6"/>
      <c r="FE603" s="6"/>
      <c r="FF603" s="6"/>
      <c r="FG603" s="6"/>
      <c r="FH603" s="6"/>
      <c r="FI603" s="6"/>
      <c r="FJ603" s="6"/>
      <c r="FK603" s="6"/>
      <c r="FL603" s="6"/>
      <c r="FM603" s="6"/>
      <c r="FN603" s="6"/>
      <c r="FO603" s="6"/>
      <c r="FP603" s="6"/>
      <c r="FQ603" s="6"/>
      <c r="FR603" s="6"/>
      <c r="FS603" s="6"/>
      <c r="FT603" s="6"/>
      <c r="FU603" s="6"/>
      <c r="FV603" s="6"/>
      <c r="FW603" s="6"/>
      <c r="FX603" s="6"/>
      <c r="FY603" s="6"/>
      <c r="FZ603" s="6"/>
      <c r="GA603" s="6"/>
      <c r="GB603" s="6"/>
      <c r="GC603" s="6"/>
      <c r="GD603" s="6"/>
      <c r="GE603" s="6"/>
      <c r="GF603" s="6"/>
      <c r="GG603" s="6"/>
      <c r="GH603" s="6"/>
      <c r="GI603" s="6"/>
      <c r="GJ603" s="6"/>
      <c r="GK603" s="6"/>
      <c r="GL603" s="6"/>
      <c r="GM603" s="6"/>
      <c r="GN603" s="6"/>
      <c r="GO603" s="6"/>
      <c r="GP603" s="6"/>
      <c r="GQ603" s="6"/>
      <c r="GR603" s="6"/>
      <c r="GS603" s="6"/>
      <c r="GT603" s="6"/>
      <c r="GU603" s="6"/>
      <c r="GV603" s="6"/>
      <c r="GW603" s="6"/>
      <c r="GX603" s="6"/>
      <c r="GY603" s="6"/>
      <c r="GZ603" s="6"/>
      <c r="HA603" s="6"/>
      <c r="HB603" s="6"/>
      <c r="HC603" s="6"/>
      <c r="HD603" s="6"/>
      <c r="HE603" s="6"/>
      <c r="HF603" s="6"/>
      <c r="HG603" s="6"/>
      <c r="HH603" s="6"/>
      <c r="HI603" s="6"/>
      <c r="HJ603" s="6"/>
      <c r="HK603" s="6"/>
      <c r="HL603" s="6"/>
      <c r="HM603" s="6"/>
      <c r="HN603" s="6"/>
      <c r="HO603" s="6"/>
      <c r="HP603" s="6"/>
      <c r="HQ603" s="6"/>
      <c r="HR603" s="6"/>
      <c r="HS603" s="6"/>
      <c r="HT603" s="6"/>
      <c r="HU603" s="6"/>
    </row>
    <row r="604" spans="74:229"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  <c r="CP604" s="6"/>
      <c r="CQ604" s="6"/>
      <c r="CR604" s="6"/>
      <c r="CS604" s="6"/>
      <c r="CT604" s="6"/>
      <c r="CU604" s="6"/>
      <c r="CV604" s="6"/>
      <c r="CW604" s="6"/>
      <c r="CX604" s="6"/>
      <c r="CY604" s="6"/>
      <c r="CZ604" s="6"/>
      <c r="DA604" s="6"/>
      <c r="DB604" s="6"/>
      <c r="DC604" s="6"/>
      <c r="DD604" s="6"/>
      <c r="DE604" s="6"/>
      <c r="DF604" s="6"/>
      <c r="DG604" s="6"/>
      <c r="DH604" s="6"/>
      <c r="DI604" s="6"/>
      <c r="DJ604" s="6"/>
      <c r="DK604" s="6"/>
      <c r="DL604" s="6"/>
      <c r="DM604" s="6"/>
      <c r="DN604" s="6"/>
      <c r="DO604" s="6"/>
      <c r="DP604" s="6"/>
      <c r="DQ604" s="6"/>
      <c r="DR604" s="6"/>
      <c r="DS604" s="6"/>
      <c r="DT604" s="6"/>
      <c r="DU604" s="6"/>
      <c r="DV604" s="6"/>
      <c r="DW604" s="6"/>
      <c r="DX604" s="6"/>
      <c r="DY604" s="6"/>
      <c r="DZ604" s="6"/>
      <c r="EA604" s="6"/>
      <c r="EB604" s="6"/>
      <c r="EC604" s="6"/>
      <c r="ED604" s="6"/>
      <c r="EE604" s="6"/>
      <c r="EF604" s="6"/>
      <c r="EG604" s="6"/>
      <c r="EH604" s="6"/>
      <c r="EI604" s="6"/>
      <c r="EJ604" s="6"/>
      <c r="EK604" s="6"/>
      <c r="EL604" s="6"/>
      <c r="EM604" s="6"/>
      <c r="EN604" s="6"/>
      <c r="EO604" s="6"/>
      <c r="EP604" s="6"/>
      <c r="EQ604" s="6"/>
      <c r="ER604" s="6"/>
      <c r="ES604" s="6"/>
      <c r="ET604" s="6"/>
      <c r="EU604" s="6"/>
      <c r="EV604" s="6"/>
      <c r="EW604" s="6"/>
      <c r="EX604" s="6"/>
      <c r="EY604" s="6"/>
      <c r="EZ604" s="6"/>
      <c r="FA604" s="6"/>
      <c r="FB604" s="6"/>
      <c r="FC604" s="6"/>
      <c r="FD604" s="6"/>
      <c r="FE604" s="6"/>
      <c r="FF604" s="6"/>
      <c r="FG604" s="6"/>
      <c r="FH604" s="6"/>
      <c r="FI604" s="6"/>
      <c r="FJ604" s="6"/>
      <c r="FK604" s="6"/>
      <c r="FL604" s="6"/>
      <c r="FM604" s="6"/>
      <c r="FN604" s="6"/>
      <c r="FO604" s="6"/>
      <c r="FP604" s="6"/>
      <c r="FQ604" s="6"/>
      <c r="FR604" s="6"/>
      <c r="FS604" s="6"/>
      <c r="FT604" s="6"/>
      <c r="FU604" s="6"/>
      <c r="FV604" s="6"/>
      <c r="FW604" s="6"/>
      <c r="FX604" s="6"/>
      <c r="FY604" s="6"/>
      <c r="FZ604" s="6"/>
      <c r="GA604" s="6"/>
      <c r="GB604" s="6"/>
      <c r="GC604" s="6"/>
      <c r="GD604" s="6"/>
      <c r="GE604" s="6"/>
      <c r="GF604" s="6"/>
      <c r="GG604" s="6"/>
      <c r="GH604" s="6"/>
      <c r="GI604" s="6"/>
      <c r="GJ604" s="6"/>
      <c r="GK604" s="6"/>
      <c r="GL604" s="6"/>
      <c r="GM604" s="6"/>
      <c r="GN604" s="6"/>
      <c r="GO604" s="6"/>
      <c r="GP604" s="6"/>
      <c r="GQ604" s="6"/>
      <c r="GR604" s="6"/>
      <c r="GS604" s="6"/>
      <c r="GT604" s="6"/>
      <c r="GU604" s="6"/>
      <c r="GV604" s="6"/>
      <c r="GW604" s="6"/>
      <c r="GX604" s="6"/>
      <c r="GY604" s="6"/>
      <c r="GZ604" s="6"/>
      <c r="HA604" s="6"/>
      <c r="HB604" s="6"/>
      <c r="HC604" s="6"/>
      <c r="HD604" s="6"/>
      <c r="HE604" s="6"/>
      <c r="HF604" s="6"/>
      <c r="HG604" s="6"/>
      <c r="HH604" s="6"/>
      <c r="HI604" s="6"/>
      <c r="HJ604" s="6"/>
      <c r="HK604" s="6"/>
      <c r="HL604" s="6"/>
      <c r="HM604" s="6"/>
      <c r="HN604" s="6"/>
      <c r="HO604" s="6"/>
      <c r="HP604" s="6"/>
      <c r="HQ604" s="6"/>
      <c r="HR604" s="6"/>
      <c r="HS604" s="6"/>
      <c r="HT604" s="6"/>
      <c r="HU604" s="6"/>
    </row>
    <row r="605" spans="74:229"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  <c r="CP605" s="6"/>
      <c r="CQ605" s="6"/>
      <c r="CR605" s="6"/>
      <c r="CS605" s="6"/>
      <c r="CT605" s="6"/>
      <c r="CU605" s="6"/>
      <c r="CV605" s="6"/>
      <c r="CW605" s="6"/>
      <c r="CX605" s="6"/>
      <c r="CY605" s="6"/>
      <c r="CZ605" s="6"/>
      <c r="DA605" s="6"/>
      <c r="DB605" s="6"/>
      <c r="DC605" s="6"/>
      <c r="DD605" s="6"/>
      <c r="DE605" s="6"/>
      <c r="DF605" s="6"/>
      <c r="DG605" s="6"/>
      <c r="DH605" s="6"/>
      <c r="DI605" s="6"/>
      <c r="DJ605" s="6"/>
      <c r="DK605" s="6"/>
      <c r="DL605" s="6"/>
      <c r="DM605" s="6"/>
      <c r="DN605" s="6"/>
      <c r="DO605" s="6"/>
      <c r="DP605" s="6"/>
      <c r="DQ605" s="6"/>
      <c r="DR605" s="6"/>
      <c r="DS605" s="6"/>
      <c r="DT605" s="6"/>
      <c r="DU605" s="6"/>
      <c r="DV605" s="6"/>
      <c r="DW605" s="6"/>
      <c r="DX605" s="6"/>
      <c r="DY605" s="6"/>
      <c r="DZ605" s="6"/>
      <c r="EA605" s="6"/>
      <c r="EB605" s="6"/>
      <c r="EC605" s="6"/>
      <c r="ED605" s="6"/>
      <c r="EE605" s="6"/>
      <c r="EF605" s="6"/>
      <c r="EG605" s="6"/>
      <c r="EH605" s="6"/>
      <c r="EI605" s="6"/>
      <c r="EJ605" s="6"/>
      <c r="EK605" s="6"/>
      <c r="EL605" s="6"/>
      <c r="EM605" s="6"/>
      <c r="EN605" s="6"/>
      <c r="EO605" s="6"/>
      <c r="EP605" s="6"/>
      <c r="EQ605" s="6"/>
      <c r="ER605" s="6"/>
      <c r="ES605" s="6"/>
      <c r="ET605" s="6"/>
      <c r="EU605" s="6"/>
      <c r="EV605" s="6"/>
      <c r="EW605" s="6"/>
      <c r="EX605" s="6"/>
      <c r="EY605" s="6"/>
      <c r="EZ605" s="6"/>
      <c r="FA605" s="6"/>
      <c r="FB605" s="6"/>
      <c r="FC605" s="6"/>
      <c r="FD605" s="6"/>
      <c r="FE605" s="6"/>
      <c r="FF605" s="6"/>
      <c r="FG605" s="6"/>
      <c r="FH605" s="6"/>
      <c r="FI605" s="6"/>
      <c r="FJ605" s="6"/>
      <c r="FK605" s="6"/>
      <c r="FL605" s="6"/>
      <c r="FM605" s="6"/>
      <c r="FN605" s="6"/>
      <c r="FO605" s="6"/>
      <c r="FP605" s="6"/>
      <c r="FQ605" s="6"/>
      <c r="FR605" s="6"/>
      <c r="FS605" s="6"/>
      <c r="FT605" s="6"/>
      <c r="FU605" s="6"/>
      <c r="FV605" s="6"/>
      <c r="FW605" s="6"/>
      <c r="FX605" s="6"/>
      <c r="FY605" s="6"/>
      <c r="FZ605" s="6"/>
      <c r="GA605" s="6"/>
      <c r="GB605" s="6"/>
      <c r="GC605" s="6"/>
      <c r="GD605" s="6"/>
      <c r="GE605" s="6"/>
      <c r="GF605" s="6"/>
      <c r="GG605" s="6"/>
      <c r="GH605" s="6"/>
      <c r="GI605" s="6"/>
      <c r="GJ605" s="6"/>
      <c r="GK605" s="6"/>
      <c r="GL605" s="6"/>
      <c r="GM605" s="6"/>
      <c r="GN605" s="6"/>
      <c r="GO605" s="6"/>
      <c r="GP605" s="6"/>
      <c r="GQ605" s="6"/>
      <c r="GR605" s="6"/>
      <c r="GS605" s="6"/>
      <c r="GT605" s="6"/>
      <c r="GU605" s="6"/>
      <c r="GV605" s="6"/>
      <c r="GW605" s="6"/>
      <c r="GX605" s="6"/>
      <c r="GY605" s="6"/>
      <c r="GZ605" s="6"/>
      <c r="HA605" s="6"/>
      <c r="HB605" s="6"/>
      <c r="HC605" s="6"/>
      <c r="HD605" s="6"/>
      <c r="HE605" s="6"/>
      <c r="HF605" s="6"/>
      <c r="HG605" s="6"/>
      <c r="HH605" s="6"/>
      <c r="HI605" s="6"/>
      <c r="HJ605" s="6"/>
      <c r="HK605" s="6"/>
      <c r="HL605" s="6"/>
      <c r="HM605" s="6"/>
      <c r="HN605" s="6"/>
      <c r="HO605" s="6"/>
      <c r="HP605" s="6"/>
      <c r="HQ605" s="6"/>
      <c r="HR605" s="6"/>
      <c r="HS605" s="6"/>
      <c r="HT605" s="6"/>
      <c r="HU605" s="6"/>
    </row>
    <row r="606" spans="74:229"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  <c r="CP606" s="6"/>
      <c r="CQ606" s="6"/>
      <c r="CR606" s="6"/>
      <c r="CS606" s="6"/>
      <c r="CT606" s="6"/>
      <c r="CU606" s="6"/>
      <c r="CV606" s="6"/>
      <c r="CW606" s="6"/>
      <c r="CX606" s="6"/>
      <c r="CY606" s="6"/>
      <c r="CZ606" s="6"/>
      <c r="DA606" s="6"/>
      <c r="DB606" s="6"/>
      <c r="DC606" s="6"/>
      <c r="DD606" s="6"/>
      <c r="DE606" s="6"/>
      <c r="DF606" s="6"/>
      <c r="DG606" s="6"/>
      <c r="DH606" s="6"/>
      <c r="DI606" s="6"/>
      <c r="DJ606" s="6"/>
      <c r="DK606" s="6"/>
      <c r="DL606" s="6"/>
      <c r="DM606" s="6"/>
      <c r="DN606" s="6"/>
      <c r="DO606" s="6"/>
      <c r="DP606" s="6"/>
      <c r="DQ606" s="6"/>
      <c r="DR606" s="6"/>
      <c r="DS606" s="6"/>
      <c r="DT606" s="6"/>
      <c r="DU606" s="6"/>
      <c r="DV606" s="6"/>
      <c r="DW606" s="6"/>
      <c r="DX606" s="6"/>
      <c r="DY606" s="6"/>
      <c r="DZ606" s="6"/>
      <c r="EA606" s="6"/>
      <c r="EB606" s="6"/>
      <c r="EC606" s="6"/>
      <c r="ED606" s="6"/>
      <c r="EE606" s="6"/>
      <c r="EF606" s="6"/>
      <c r="EG606" s="6"/>
      <c r="EH606" s="6"/>
      <c r="EI606" s="6"/>
      <c r="EJ606" s="6"/>
      <c r="EK606" s="6"/>
      <c r="EL606" s="6"/>
      <c r="EM606" s="6"/>
      <c r="EN606" s="6"/>
      <c r="EO606" s="6"/>
      <c r="EP606" s="6"/>
      <c r="EQ606" s="6"/>
      <c r="ER606" s="6"/>
      <c r="ES606" s="6"/>
      <c r="ET606" s="6"/>
      <c r="EU606" s="6"/>
      <c r="EV606" s="6"/>
      <c r="EW606" s="6"/>
      <c r="EX606" s="6"/>
      <c r="EY606" s="6"/>
      <c r="EZ606" s="6"/>
      <c r="FA606" s="6"/>
      <c r="FB606" s="6"/>
      <c r="FC606" s="6"/>
      <c r="FD606" s="6"/>
      <c r="FE606" s="6"/>
      <c r="FF606" s="6"/>
      <c r="FG606" s="6"/>
      <c r="FH606" s="6"/>
      <c r="FI606" s="6"/>
      <c r="FJ606" s="6"/>
      <c r="FK606" s="6"/>
      <c r="FL606" s="6"/>
      <c r="FM606" s="6"/>
      <c r="FN606" s="6"/>
      <c r="FO606" s="6"/>
      <c r="FP606" s="6"/>
      <c r="FQ606" s="6"/>
      <c r="FR606" s="6"/>
      <c r="FS606" s="6"/>
      <c r="FT606" s="6"/>
      <c r="FU606" s="6"/>
      <c r="FV606" s="6"/>
      <c r="FW606" s="6"/>
      <c r="FX606" s="6"/>
      <c r="FY606" s="6"/>
      <c r="FZ606" s="6"/>
      <c r="GA606" s="6"/>
      <c r="GB606" s="6"/>
      <c r="GC606" s="6"/>
      <c r="GD606" s="6"/>
      <c r="GE606" s="6"/>
      <c r="GF606" s="6"/>
      <c r="GG606" s="6"/>
      <c r="GH606" s="6"/>
      <c r="GI606" s="6"/>
      <c r="GJ606" s="6"/>
      <c r="GK606" s="6"/>
      <c r="GL606" s="6"/>
      <c r="GM606" s="6"/>
      <c r="GN606" s="6"/>
      <c r="GO606" s="6"/>
      <c r="GP606" s="6"/>
      <c r="GQ606" s="6"/>
      <c r="GR606" s="6"/>
      <c r="GS606" s="6"/>
      <c r="GT606" s="6"/>
      <c r="GU606" s="6"/>
      <c r="GV606" s="6"/>
      <c r="GW606" s="6"/>
      <c r="GX606" s="6"/>
      <c r="GY606" s="6"/>
      <c r="GZ606" s="6"/>
      <c r="HA606" s="6"/>
      <c r="HB606" s="6"/>
      <c r="HC606" s="6"/>
      <c r="HD606" s="6"/>
      <c r="HE606" s="6"/>
      <c r="HF606" s="6"/>
      <c r="HG606" s="6"/>
      <c r="HH606" s="6"/>
      <c r="HI606" s="6"/>
      <c r="HJ606" s="6"/>
      <c r="HK606" s="6"/>
      <c r="HL606" s="6"/>
      <c r="HM606" s="6"/>
      <c r="HN606" s="6"/>
      <c r="HO606" s="6"/>
      <c r="HP606" s="6"/>
      <c r="HQ606" s="6"/>
      <c r="HR606" s="6"/>
      <c r="HS606" s="6"/>
      <c r="HT606" s="6"/>
      <c r="HU606" s="6"/>
    </row>
    <row r="607" spans="74:229"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  <c r="CP607" s="6"/>
      <c r="CQ607" s="6"/>
      <c r="CR607" s="6"/>
      <c r="CS607" s="6"/>
      <c r="CT607" s="6"/>
      <c r="CU607" s="6"/>
      <c r="CV607" s="6"/>
      <c r="CW607" s="6"/>
      <c r="CX607" s="6"/>
      <c r="CY607" s="6"/>
      <c r="CZ607" s="6"/>
      <c r="DA607" s="6"/>
      <c r="DB607" s="6"/>
      <c r="DC607" s="6"/>
      <c r="DD607" s="6"/>
      <c r="DE607" s="6"/>
      <c r="DF607" s="6"/>
      <c r="DG607" s="6"/>
      <c r="DH607" s="6"/>
      <c r="DI607" s="6"/>
      <c r="DJ607" s="6"/>
      <c r="DK607" s="6"/>
      <c r="DL607" s="6"/>
      <c r="DM607" s="6"/>
      <c r="DN607" s="6"/>
      <c r="DO607" s="6"/>
      <c r="DP607" s="6"/>
      <c r="DQ607" s="6"/>
      <c r="DR607" s="6"/>
      <c r="DS607" s="6"/>
      <c r="DT607" s="6"/>
      <c r="DU607" s="6"/>
      <c r="DV607" s="6"/>
      <c r="DW607" s="6"/>
      <c r="DX607" s="6"/>
      <c r="DY607" s="6"/>
      <c r="DZ607" s="6"/>
      <c r="EA607" s="6"/>
      <c r="EB607" s="6"/>
      <c r="EC607" s="6"/>
      <c r="ED607" s="6"/>
      <c r="EE607" s="6"/>
      <c r="EF607" s="6"/>
      <c r="EG607" s="6"/>
      <c r="EH607" s="6"/>
      <c r="EI607" s="6"/>
      <c r="EJ607" s="6"/>
      <c r="EK607" s="6"/>
      <c r="EL607" s="6"/>
      <c r="EM607" s="6"/>
      <c r="EN607" s="6"/>
      <c r="EO607" s="6"/>
      <c r="EP607" s="6"/>
      <c r="EQ607" s="6"/>
      <c r="ER607" s="6"/>
      <c r="ES607" s="6"/>
      <c r="ET607" s="6"/>
      <c r="EU607" s="6"/>
      <c r="EV607" s="6"/>
      <c r="EW607" s="6"/>
      <c r="EX607" s="6"/>
      <c r="EY607" s="6"/>
      <c r="EZ607" s="6"/>
      <c r="FA607" s="6"/>
      <c r="FB607" s="6"/>
      <c r="FC607" s="6"/>
      <c r="FD607" s="6"/>
      <c r="FE607" s="6"/>
      <c r="FF607" s="6"/>
      <c r="FG607" s="6"/>
      <c r="FH607" s="6"/>
      <c r="FI607" s="6"/>
      <c r="FJ607" s="6"/>
      <c r="FK607" s="6"/>
      <c r="FL607" s="6"/>
      <c r="FM607" s="6"/>
      <c r="FN607" s="6"/>
      <c r="FO607" s="6"/>
      <c r="FP607" s="6"/>
      <c r="FQ607" s="6"/>
      <c r="FR607" s="6"/>
      <c r="FS607" s="6"/>
      <c r="FT607" s="6"/>
      <c r="FU607" s="6"/>
      <c r="FV607" s="6"/>
      <c r="FW607" s="6"/>
      <c r="FX607" s="6"/>
      <c r="FY607" s="6"/>
      <c r="FZ607" s="6"/>
      <c r="GA607" s="6"/>
      <c r="GB607" s="6"/>
      <c r="GC607" s="6"/>
      <c r="GD607" s="6"/>
      <c r="GE607" s="6"/>
      <c r="GF607" s="6"/>
      <c r="GG607" s="6"/>
      <c r="GH607" s="6"/>
      <c r="GI607" s="6"/>
      <c r="GJ607" s="6"/>
      <c r="GK607" s="6"/>
      <c r="GL607" s="6"/>
      <c r="GM607" s="6"/>
      <c r="GN607" s="6"/>
      <c r="GO607" s="6"/>
      <c r="GP607" s="6"/>
      <c r="GQ607" s="6"/>
      <c r="GR607" s="6"/>
      <c r="GS607" s="6"/>
      <c r="GT607" s="6"/>
      <c r="GU607" s="6"/>
      <c r="GV607" s="6"/>
      <c r="GW607" s="6"/>
      <c r="GX607" s="6"/>
      <c r="GY607" s="6"/>
      <c r="GZ607" s="6"/>
      <c r="HA607" s="6"/>
      <c r="HB607" s="6"/>
      <c r="HC607" s="6"/>
      <c r="HD607" s="6"/>
      <c r="HE607" s="6"/>
      <c r="HF607" s="6"/>
      <c r="HG607" s="6"/>
      <c r="HH607" s="6"/>
      <c r="HI607" s="6"/>
      <c r="HJ607" s="6"/>
      <c r="HK607" s="6"/>
      <c r="HL607" s="6"/>
      <c r="HM607" s="6"/>
      <c r="HN607" s="6"/>
      <c r="HO607" s="6"/>
      <c r="HP607" s="6"/>
      <c r="HQ607" s="6"/>
      <c r="HR607" s="6"/>
      <c r="HS607" s="6"/>
      <c r="HT607" s="6"/>
      <c r="HU607" s="6"/>
    </row>
    <row r="608" spans="74:229"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  <c r="CP608" s="6"/>
      <c r="CQ608" s="6"/>
      <c r="CR608" s="6"/>
      <c r="CS608" s="6"/>
      <c r="CT608" s="6"/>
      <c r="CU608" s="6"/>
      <c r="CV608" s="6"/>
      <c r="CW608" s="6"/>
      <c r="CX608" s="6"/>
      <c r="CY608" s="6"/>
      <c r="CZ608" s="6"/>
      <c r="DA608" s="6"/>
      <c r="DB608" s="6"/>
      <c r="DC608" s="6"/>
      <c r="DD608" s="6"/>
      <c r="DE608" s="6"/>
      <c r="DF608" s="6"/>
      <c r="DG608" s="6"/>
      <c r="DH608" s="6"/>
      <c r="DI608" s="6"/>
      <c r="DJ608" s="6"/>
      <c r="DK608" s="6"/>
      <c r="DL608" s="6"/>
      <c r="DM608" s="6"/>
      <c r="DN608" s="6"/>
      <c r="DO608" s="6"/>
      <c r="DP608" s="6"/>
      <c r="DQ608" s="6"/>
      <c r="DR608" s="6"/>
      <c r="DS608" s="6"/>
      <c r="DT608" s="6"/>
      <c r="DU608" s="6"/>
      <c r="DV608" s="6"/>
      <c r="DW608" s="6"/>
      <c r="DX608" s="6"/>
      <c r="DY608" s="6"/>
      <c r="DZ608" s="6"/>
      <c r="EA608" s="6"/>
      <c r="EB608" s="6"/>
      <c r="EC608" s="6"/>
      <c r="ED608" s="6"/>
      <c r="EE608" s="6"/>
      <c r="EF608" s="6"/>
      <c r="EG608" s="6"/>
      <c r="EH608" s="6"/>
      <c r="EI608" s="6"/>
      <c r="EJ608" s="6"/>
      <c r="EK608" s="6"/>
      <c r="EL608" s="6"/>
      <c r="EM608" s="6"/>
      <c r="EN608" s="6"/>
      <c r="EO608" s="6"/>
      <c r="EP608" s="6"/>
      <c r="EQ608" s="6"/>
      <c r="ER608" s="6"/>
      <c r="ES608" s="6"/>
      <c r="ET608" s="6"/>
      <c r="EU608" s="6"/>
      <c r="EV608" s="6"/>
      <c r="EW608" s="6"/>
      <c r="EX608" s="6"/>
      <c r="EY608" s="6"/>
      <c r="EZ608" s="6"/>
      <c r="FA608" s="6"/>
      <c r="FB608" s="6"/>
      <c r="FC608" s="6"/>
      <c r="FD608" s="6"/>
      <c r="FE608" s="6"/>
      <c r="FF608" s="6"/>
      <c r="FG608" s="6"/>
      <c r="FH608" s="6"/>
      <c r="FI608" s="6"/>
      <c r="FJ608" s="6"/>
      <c r="FK608" s="6"/>
      <c r="FL608" s="6"/>
      <c r="FM608" s="6"/>
      <c r="FN608" s="6"/>
      <c r="FO608" s="6"/>
      <c r="FP608" s="6"/>
      <c r="FQ608" s="6"/>
      <c r="FR608" s="6"/>
      <c r="FS608" s="6"/>
      <c r="FT608" s="6"/>
      <c r="FU608" s="6"/>
      <c r="FV608" s="6"/>
      <c r="FW608" s="6"/>
      <c r="FX608" s="6"/>
      <c r="FY608" s="6"/>
      <c r="FZ608" s="6"/>
      <c r="GA608" s="6"/>
      <c r="GB608" s="6"/>
      <c r="GC608" s="6"/>
      <c r="GD608" s="6"/>
      <c r="GE608" s="6"/>
      <c r="GF608" s="6"/>
      <c r="GG608" s="6"/>
      <c r="GH608" s="6"/>
      <c r="GI608" s="6"/>
      <c r="GJ608" s="6"/>
      <c r="GK608" s="6"/>
      <c r="GL608" s="6"/>
      <c r="GM608" s="6"/>
      <c r="GN608" s="6"/>
      <c r="GO608" s="6"/>
      <c r="GP608" s="6"/>
      <c r="GQ608" s="6"/>
      <c r="GR608" s="6"/>
      <c r="GS608" s="6"/>
      <c r="GT608" s="6"/>
      <c r="GU608" s="6"/>
      <c r="GV608" s="6"/>
      <c r="GW608" s="6"/>
      <c r="GX608" s="6"/>
      <c r="GY608" s="6"/>
      <c r="GZ608" s="6"/>
      <c r="HA608" s="6"/>
      <c r="HB608" s="6"/>
      <c r="HC608" s="6"/>
      <c r="HD608" s="6"/>
      <c r="HE608" s="6"/>
      <c r="HF608" s="6"/>
      <c r="HG608" s="6"/>
      <c r="HH608" s="6"/>
      <c r="HI608" s="6"/>
      <c r="HJ608" s="6"/>
      <c r="HK608" s="6"/>
      <c r="HL608" s="6"/>
      <c r="HM608" s="6"/>
      <c r="HN608" s="6"/>
      <c r="HO608" s="6"/>
      <c r="HP608" s="6"/>
      <c r="HQ608" s="6"/>
      <c r="HR608" s="6"/>
      <c r="HS608" s="6"/>
      <c r="HT608" s="6"/>
      <c r="HU608" s="6"/>
    </row>
    <row r="609" spans="74:229"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  <c r="CP609" s="6"/>
      <c r="CQ609" s="6"/>
      <c r="CR609" s="6"/>
      <c r="CS609" s="6"/>
      <c r="CT609" s="6"/>
      <c r="CU609" s="6"/>
      <c r="CV609" s="6"/>
      <c r="CW609" s="6"/>
      <c r="CX609" s="6"/>
      <c r="CY609" s="6"/>
      <c r="CZ609" s="6"/>
      <c r="DA609" s="6"/>
      <c r="DB609" s="6"/>
      <c r="DC609" s="6"/>
      <c r="DD609" s="6"/>
      <c r="DE609" s="6"/>
      <c r="DF609" s="6"/>
      <c r="DG609" s="6"/>
      <c r="DH609" s="6"/>
      <c r="DI609" s="6"/>
      <c r="DJ609" s="6"/>
      <c r="DK609" s="6"/>
      <c r="DL609" s="6"/>
      <c r="DM609" s="6"/>
      <c r="DN609" s="6"/>
      <c r="DO609" s="6"/>
      <c r="DP609" s="6"/>
      <c r="DQ609" s="6"/>
      <c r="DR609" s="6"/>
      <c r="DS609" s="6"/>
      <c r="DT609" s="6"/>
      <c r="DU609" s="6"/>
      <c r="DV609" s="6"/>
      <c r="DW609" s="6"/>
      <c r="DX609" s="6"/>
      <c r="DY609" s="6"/>
      <c r="DZ609" s="6"/>
      <c r="EA609" s="6"/>
      <c r="EB609" s="6"/>
      <c r="EC609" s="6"/>
      <c r="ED609" s="6"/>
      <c r="EE609" s="6"/>
      <c r="EF609" s="6"/>
      <c r="EG609" s="6"/>
      <c r="EH609" s="6"/>
      <c r="EI609" s="6"/>
      <c r="EJ609" s="6"/>
      <c r="EK609" s="6"/>
      <c r="EL609" s="6"/>
      <c r="EM609" s="6"/>
      <c r="EN609" s="6"/>
      <c r="EO609" s="6"/>
      <c r="EP609" s="6"/>
      <c r="EQ609" s="6"/>
      <c r="ER609" s="6"/>
      <c r="ES609" s="6"/>
      <c r="ET609" s="6"/>
      <c r="EU609" s="6"/>
      <c r="EV609" s="6"/>
      <c r="EW609" s="6"/>
      <c r="EX609" s="6"/>
      <c r="EY609" s="6"/>
      <c r="EZ609" s="6"/>
      <c r="FA609" s="6"/>
      <c r="FB609" s="6"/>
      <c r="FC609" s="6"/>
      <c r="FD609" s="6"/>
      <c r="FE609" s="6"/>
      <c r="FF609" s="6"/>
      <c r="FG609" s="6"/>
      <c r="FH609" s="6"/>
      <c r="FI609" s="6"/>
      <c r="FJ609" s="6"/>
      <c r="FK609" s="6"/>
      <c r="FL609" s="6"/>
      <c r="FM609" s="6"/>
      <c r="FN609" s="6"/>
      <c r="FO609" s="6"/>
      <c r="FP609" s="6"/>
      <c r="FQ609" s="6"/>
      <c r="FR609" s="6"/>
      <c r="FS609" s="6"/>
      <c r="FT609" s="6"/>
      <c r="FU609" s="6"/>
      <c r="FV609" s="6"/>
      <c r="FW609" s="6"/>
      <c r="FX609" s="6"/>
      <c r="FY609" s="6"/>
      <c r="FZ609" s="6"/>
      <c r="GA609" s="6"/>
      <c r="GB609" s="6"/>
      <c r="GC609" s="6"/>
      <c r="GD609" s="6"/>
      <c r="GE609" s="6"/>
      <c r="GF609" s="6"/>
      <c r="GG609" s="6"/>
      <c r="GH609" s="6"/>
      <c r="GI609" s="6"/>
      <c r="GJ609" s="6"/>
      <c r="GK609" s="6"/>
      <c r="GL609" s="6"/>
      <c r="GM609" s="6"/>
      <c r="GN609" s="6"/>
      <c r="GO609" s="6"/>
      <c r="GP609" s="6"/>
      <c r="GQ609" s="6"/>
      <c r="GR609" s="6"/>
      <c r="GS609" s="6"/>
      <c r="GT609" s="6"/>
      <c r="GU609" s="6"/>
      <c r="GV609" s="6"/>
      <c r="GW609" s="6"/>
      <c r="GX609" s="6"/>
      <c r="GY609" s="6"/>
      <c r="GZ609" s="6"/>
      <c r="HA609" s="6"/>
      <c r="HB609" s="6"/>
      <c r="HC609" s="6"/>
      <c r="HD609" s="6"/>
      <c r="HE609" s="6"/>
      <c r="HF609" s="6"/>
      <c r="HG609" s="6"/>
      <c r="HH609" s="6"/>
      <c r="HI609" s="6"/>
      <c r="HJ609" s="6"/>
      <c r="HK609" s="6"/>
      <c r="HL609" s="6"/>
      <c r="HM609" s="6"/>
      <c r="HN609" s="6"/>
      <c r="HO609" s="6"/>
      <c r="HP609" s="6"/>
      <c r="HQ609" s="6"/>
      <c r="HR609" s="6"/>
      <c r="HS609" s="6"/>
      <c r="HT609" s="6"/>
      <c r="HU609" s="6"/>
    </row>
    <row r="610" spans="74:229"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  <c r="CP610" s="6"/>
      <c r="CQ610" s="6"/>
      <c r="CR610" s="6"/>
      <c r="CS610" s="6"/>
      <c r="CT610" s="6"/>
      <c r="CU610" s="6"/>
      <c r="CV610" s="6"/>
      <c r="CW610" s="6"/>
      <c r="CX610" s="6"/>
      <c r="CY610" s="6"/>
      <c r="CZ610" s="6"/>
      <c r="DA610" s="6"/>
      <c r="DB610" s="6"/>
      <c r="DC610" s="6"/>
      <c r="DD610" s="6"/>
      <c r="DE610" s="6"/>
      <c r="DF610" s="6"/>
      <c r="DG610" s="6"/>
      <c r="DH610" s="6"/>
      <c r="DI610" s="6"/>
      <c r="DJ610" s="6"/>
      <c r="DK610" s="6"/>
      <c r="DL610" s="6"/>
      <c r="DM610" s="6"/>
      <c r="DN610" s="6"/>
      <c r="DO610" s="6"/>
      <c r="DP610" s="6"/>
      <c r="DQ610" s="6"/>
      <c r="DR610" s="6"/>
      <c r="DS610" s="6"/>
      <c r="DT610" s="6"/>
      <c r="DU610" s="6"/>
      <c r="DV610" s="6"/>
      <c r="DW610" s="6"/>
      <c r="DX610" s="6"/>
      <c r="DY610" s="6"/>
      <c r="DZ610" s="6"/>
      <c r="EA610" s="6"/>
      <c r="EB610" s="6"/>
      <c r="EC610" s="6"/>
      <c r="ED610" s="6"/>
      <c r="EE610" s="6"/>
      <c r="EF610" s="6"/>
      <c r="EG610" s="6"/>
      <c r="EH610" s="6"/>
      <c r="EI610" s="6"/>
      <c r="EJ610" s="6"/>
      <c r="EK610" s="6"/>
      <c r="EL610" s="6"/>
      <c r="EM610" s="6"/>
      <c r="EN610" s="6"/>
      <c r="EO610" s="6"/>
      <c r="EP610" s="6"/>
      <c r="EQ610" s="6"/>
      <c r="ER610" s="6"/>
      <c r="ES610" s="6"/>
      <c r="ET610" s="6"/>
      <c r="EU610" s="6"/>
      <c r="EV610" s="6"/>
      <c r="EW610" s="6"/>
      <c r="EX610" s="6"/>
      <c r="EY610" s="6"/>
      <c r="EZ610" s="6"/>
      <c r="FA610" s="6"/>
      <c r="FB610" s="6"/>
      <c r="FC610" s="6"/>
      <c r="FD610" s="6"/>
      <c r="FE610" s="6"/>
      <c r="FF610" s="6"/>
      <c r="FG610" s="6"/>
      <c r="FH610" s="6"/>
      <c r="FI610" s="6"/>
      <c r="FJ610" s="6"/>
      <c r="FK610" s="6"/>
      <c r="FL610" s="6"/>
      <c r="FM610" s="6"/>
      <c r="FN610" s="6"/>
      <c r="FO610" s="6"/>
      <c r="FP610" s="6"/>
      <c r="FQ610" s="6"/>
      <c r="FR610" s="6"/>
      <c r="FS610" s="6"/>
      <c r="FT610" s="6"/>
      <c r="FU610" s="6"/>
      <c r="FV610" s="6"/>
      <c r="FW610" s="6"/>
      <c r="FX610" s="6"/>
      <c r="FY610" s="6"/>
      <c r="FZ610" s="6"/>
      <c r="GA610" s="6"/>
      <c r="GB610" s="6"/>
      <c r="GC610" s="6"/>
      <c r="GD610" s="6"/>
      <c r="GE610" s="6"/>
      <c r="GF610" s="6"/>
      <c r="GG610" s="6"/>
      <c r="GH610" s="6"/>
      <c r="GI610" s="6"/>
      <c r="GJ610" s="6"/>
      <c r="GK610" s="6"/>
      <c r="GL610" s="6"/>
      <c r="GM610" s="6"/>
      <c r="GN610" s="6"/>
      <c r="GO610" s="6"/>
      <c r="GP610" s="6"/>
      <c r="GQ610" s="6"/>
      <c r="GR610" s="6"/>
      <c r="GS610" s="6"/>
      <c r="GT610" s="6"/>
      <c r="GU610" s="6"/>
      <c r="GV610" s="6"/>
      <c r="GW610" s="6"/>
      <c r="GX610" s="6"/>
      <c r="GY610" s="6"/>
      <c r="GZ610" s="6"/>
      <c r="HA610" s="6"/>
      <c r="HB610" s="6"/>
      <c r="HC610" s="6"/>
      <c r="HD610" s="6"/>
      <c r="HE610" s="6"/>
      <c r="HF610" s="6"/>
      <c r="HG610" s="6"/>
      <c r="HH610" s="6"/>
      <c r="HI610" s="6"/>
      <c r="HJ610" s="6"/>
      <c r="HK610" s="6"/>
      <c r="HL610" s="6"/>
      <c r="HM610" s="6"/>
      <c r="HN610" s="6"/>
      <c r="HO610" s="6"/>
      <c r="HP610" s="6"/>
      <c r="HQ610" s="6"/>
      <c r="HR610" s="6"/>
      <c r="HS610" s="6"/>
      <c r="HT610" s="6"/>
      <c r="HU610" s="6"/>
    </row>
    <row r="611" spans="74:229"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  <c r="CP611" s="6"/>
      <c r="CQ611" s="6"/>
      <c r="CR611" s="6"/>
      <c r="CS611" s="6"/>
      <c r="CT611" s="6"/>
      <c r="CU611" s="6"/>
      <c r="CV611" s="6"/>
      <c r="CW611" s="6"/>
      <c r="CX611" s="6"/>
      <c r="CY611" s="6"/>
      <c r="CZ611" s="6"/>
      <c r="DA611" s="6"/>
      <c r="DB611" s="6"/>
      <c r="DC611" s="6"/>
      <c r="DD611" s="6"/>
      <c r="DE611" s="6"/>
      <c r="DF611" s="6"/>
      <c r="DG611" s="6"/>
      <c r="DH611" s="6"/>
      <c r="DI611" s="6"/>
      <c r="DJ611" s="6"/>
      <c r="DK611" s="6"/>
      <c r="DL611" s="6"/>
      <c r="DM611" s="6"/>
      <c r="DN611" s="6"/>
      <c r="DO611" s="6"/>
      <c r="DP611" s="6"/>
      <c r="DQ611" s="6"/>
      <c r="DR611" s="6"/>
      <c r="DS611" s="6"/>
      <c r="DT611" s="6"/>
      <c r="DU611" s="6"/>
      <c r="DV611" s="6"/>
      <c r="DW611" s="6"/>
      <c r="DX611" s="6"/>
      <c r="DY611" s="6"/>
      <c r="DZ611" s="6"/>
      <c r="EA611" s="6"/>
      <c r="EB611" s="6"/>
      <c r="EC611" s="6"/>
      <c r="ED611" s="6"/>
      <c r="EE611" s="6"/>
      <c r="EF611" s="6"/>
      <c r="EG611" s="6"/>
      <c r="EH611" s="6"/>
      <c r="EI611" s="6"/>
      <c r="EJ611" s="6"/>
      <c r="EK611" s="6"/>
      <c r="EL611" s="6"/>
      <c r="EM611" s="6"/>
      <c r="EN611" s="6"/>
      <c r="EO611" s="6"/>
      <c r="EP611" s="6"/>
      <c r="EQ611" s="6"/>
      <c r="ER611" s="6"/>
      <c r="ES611" s="6"/>
      <c r="ET611" s="6"/>
      <c r="EU611" s="6"/>
      <c r="EV611" s="6"/>
      <c r="EW611" s="6"/>
      <c r="EX611" s="6"/>
      <c r="EY611" s="6"/>
      <c r="EZ611" s="6"/>
      <c r="FA611" s="6"/>
      <c r="FB611" s="6"/>
      <c r="FC611" s="6"/>
      <c r="FD611" s="6"/>
      <c r="FE611" s="6"/>
      <c r="FF611" s="6"/>
      <c r="FG611" s="6"/>
      <c r="FH611" s="6"/>
      <c r="FI611" s="6"/>
      <c r="FJ611" s="6"/>
      <c r="FK611" s="6"/>
      <c r="FL611" s="6"/>
      <c r="FM611" s="6"/>
      <c r="FN611" s="6"/>
      <c r="FO611" s="6"/>
      <c r="FP611" s="6"/>
      <c r="FQ611" s="6"/>
      <c r="FR611" s="6"/>
      <c r="FS611" s="6"/>
      <c r="FT611" s="6"/>
      <c r="FU611" s="6"/>
      <c r="FV611" s="6"/>
      <c r="FW611" s="6"/>
      <c r="FX611" s="6"/>
      <c r="FY611" s="6"/>
      <c r="FZ611" s="6"/>
      <c r="GA611" s="6"/>
      <c r="GB611" s="6"/>
      <c r="GC611" s="6"/>
      <c r="GD611" s="6"/>
      <c r="GE611" s="6"/>
      <c r="GF611" s="6"/>
      <c r="GG611" s="6"/>
      <c r="GH611" s="6"/>
      <c r="GI611" s="6"/>
      <c r="GJ611" s="6"/>
      <c r="GK611" s="6"/>
      <c r="GL611" s="6"/>
      <c r="GM611" s="6"/>
      <c r="GN611" s="6"/>
      <c r="GO611" s="6"/>
      <c r="GP611" s="6"/>
      <c r="GQ611" s="6"/>
      <c r="GR611" s="6"/>
      <c r="GS611" s="6"/>
      <c r="GT611" s="6"/>
      <c r="GU611" s="6"/>
      <c r="GV611" s="6"/>
      <c r="GW611" s="6"/>
      <c r="GX611" s="6"/>
      <c r="GY611" s="6"/>
      <c r="GZ611" s="6"/>
      <c r="HA611" s="6"/>
      <c r="HB611" s="6"/>
      <c r="HC611" s="6"/>
      <c r="HD611" s="6"/>
      <c r="HE611" s="6"/>
      <c r="HF611" s="6"/>
      <c r="HG611" s="6"/>
      <c r="HH611" s="6"/>
      <c r="HI611" s="6"/>
      <c r="HJ611" s="6"/>
      <c r="HK611" s="6"/>
      <c r="HL611" s="6"/>
      <c r="HM611" s="6"/>
      <c r="HN611" s="6"/>
      <c r="HO611" s="6"/>
      <c r="HP611" s="6"/>
      <c r="HQ611" s="6"/>
      <c r="HR611" s="6"/>
      <c r="HS611" s="6"/>
      <c r="HT611" s="6"/>
      <c r="HU611" s="6"/>
    </row>
    <row r="612" spans="74:229"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  <c r="CP612" s="6"/>
      <c r="CQ612" s="6"/>
      <c r="CR612" s="6"/>
      <c r="CS612" s="6"/>
      <c r="CT612" s="6"/>
      <c r="CU612" s="6"/>
      <c r="CV612" s="6"/>
      <c r="CW612" s="6"/>
      <c r="CX612" s="6"/>
      <c r="CY612" s="6"/>
      <c r="CZ612" s="6"/>
      <c r="DA612" s="6"/>
      <c r="DB612" s="6"/>
      <c r="DC612" s="6"/>
      <c r="DD612" s="6"/>
      <c r="DE612" s="6"/>
      <c r="DF612" s="6"/>
      <c r="DG612" s="6"/>
      <c r="DH612" s="6"/>
      <c r="DI612" s="6"/>
      <c r="DJ612" s="6"/>
      <c r="DK612" s="6"/>
      <c r="DL612" s="6"/>
      <c r="DM612" s="6"/>
      <c r="DN612" s="6"/>
      <c r="DO612" s="6"/>
      <c r="DP612" s="6"/>
      <c r="DQ612" s="6"/>
      <c r="DR612" s="6"/>
      <c r="DS612" s="6"/>
      <c r="DT612" s="6"/>
      <c r="DU612" s="6"/>
      <c r="DV612" s="6"/>
      <c r="DW612" s="6"/>
      <c r="DX612" s="6"/>
      <c r="DY612" s="6"/>
      <c r="DZ612" s="6"/>
      <c r="EA612" s="6"/>
      <c r="EB612" s="6"/>
      <c r="EC612" s="6"/>
      <c r="ED612" s="6"/>
      <c r="EE612" s="6"/>
      <c r="EF612" s="6"/>
      <c r="EG612" s="6"/>
      <c r="EH612" s="6"/>
      <c r="EI612" s="6"/>
      <c r="EJ612" s="6"/>
      <c r="EK612" s="6"/>
      <c r="EL612" s="6"/>
      <c r="EM612" s="6"/>
      <c r="EN612" s="6"/>
      <c r="EO612" s="6"/>
      <c r="EP612" s="6"/>
      <c r="EQ612" s="6"/>
      <c r="ER612" s="6"/>
      <c r="ES612" s="6"/>
      <c r="ET612" s="6"/>
      <c r="EU612" s="6"/>
      <c r="EV612" s="6"/>
      <c r="EW612" s="6"/>
      <c r="EX612" s="6"/>
      <c r="EY612" s="6"/>
      <c r="EZ612" s="6"/>
      <c r="FA612" s="6"/>
      <c r="FB612" s="6"/>
      <c r="FC612" s="6"/>
      <c r="FD612" s="6"/>
      <c r="FE612" s="6"/>
      <c r="FF612" s="6"/>
      <c r="FG612" s="6"/>
      <c r="FH612" s="6"/>
      <c r="FI612" s="6"/>
      <c r="FJ612" s="6"/>
      <c r="FK612" s="6"/>
      <c r="FL612" s="6"/>
      <c r="FM612" s="6"/>
      <c r="FN612" s="6"/>
      <c r="FO612" s="6"/>
      <c r="FP612" s="6"/>
      <c r="FQ612" s="6"/>
      <c r="FR612" s="6"/>
      <c r="FS612" s="6"/>
      <c r="FT612" s="6"/>
      <c r="FU612" s="6"/>
      <c r="FV612" s="6"/>
      <c r="FW612" s="6"/>
      <c r="FX612" s="6"/>
      <c r="FY612" s="6"/>
      <c r="FZ612" s="6"/>
      <c r="GA612" s="6"/>
      <c r="GB612" s="6"/>
      <c r="GC612" s="6"/>
      <c r="GD612" s="6"/>
      <c r="GE612" s="6"/>
      <c r="GF612" s="6"/>
      <c r="GG612" s="6"/>
      <c r="GH612" s="6"/>
      <c r="GI612" s="6"/>
      <c r="GJ612" s="6"/>
      <c r="GK612" s="6"/>
      <c r="GL612" s="6"/>
      <c r="GM612" s="6"/>
      <c r="GN612" s="6"/>
      <c r="GO612" s="6"/>
      <c r="GP612" s="6"/>
      <c r="GQ612" s="6"/>
      <c r="GR612" s="6"/>
      <c r="GS612" s="6"/>
      <c r="GT612" s="6"/>
      <c r="GU612" s="6"/>
      <c r="GV612" s="6"/>
      <c r="GW612" s="6"/>
      <c r="GX612" s="6"/>
      <c r="GY612" s="6"/>
      <c r="GZ612" s="6"/>
      <c r="HA612" s="6"/>
      <c r="HB612" s="6"/>
      <c r="HC612" s="6"/>
      <c r="HD612" s="6"/>
      <c r="HE612" s="6"/>
      <c r="HF612" s="6"/>
      <c r="HG612" s="6"/>
      <c r="HH612" s="6"/>
      <c r="HI612" s="6"/>
      <c r="HJ612" s="6"/>
      <c r="HK612" s="6"/>
      <c r="HL612" s="6"/>
      <c r="HM612" s="6"/>
      <c r="HN612" s="6"/>
      <c r="HO612" s="6"/>
      <c r="HP612" s="6"/>
      <c r="HQ612" s="6"/>
      <c r="HR612" s="6"/>
      <c r="HS612" s="6"/>
      <c r="HT612" s="6"/>
      <c r="HU612" s="6"/>
    </row>
    <row r="613" spans="74:229">
      <c r="BV613" s="6"/>
      <c r="BW613" s="6"/>
      <c r="BX613" s="6"/>
      <c r="BY613" s="6"/>
      <c r="BZ613" s="6"/>
      <c r="CA613" s="6"/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  <c r="CP613" s="6"/>
      <c r="CQ613" s="6"/>
      <c r="CR613" s="6"/>
      <c r="CS613" s="6"/>
      <c r="CT613" s="6"/>
      <c r="CU613" s="6"/>
      <c r="CV613" s="6"/>
      <c r="CW613" s="6"/>
      <c r="CX613" s="6"/>
      <c r="CY613" s="6"/>
      <c r="CZ613" s="6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6"/>
      <c r="DM613" s="6"/>
      <c r="DN613" s="6"/>
      <c r="DO613" s="6"/>
      <c r="DP613" s="6"/>
      <c r="DQ613" s="6"/>
      <c r="DR613" s="6"/>
      <c r="DS613" s="6"/>
      <c r="DT613" s="6"/>
      <c r="DU613" s="6"/>
      <c r="DV613" s="6"/>
      <c r="DW613" s="6"/>
      <c r="DX613" s="6"/>
      <c r="DY613" s="6"/>
      <c r="DZ613" s="6"/>
      <c r="EA613" s="6"/>
      <c r="EB613" s="6"/>
      <c r="EC613" s="6"/>
      <c r="ED613" s="6"/>
      <c r="EE613" s="6"/>
      <c r="EF613" s="6"/>
      <c r="EG613" s="6"/>
      <c r="EH613" s="6"/>
      <c r="EI613" s="6"/>
      <c r="EJ613" s="6"/>
      <c r="EK613" s="6"/>
      <c r="EL613" s="6"/>
      <c r="EM613" s="6"/>
      <c r="EN613" s="6"/>
      <c r="EO613" s="6"/>
      <c r="EP613" s="6"/>
      <c r="EQ613" s="6"/>
      <c r="ER613" s="6"/>
      <c r="ES613" s="6"/>
      <c r="ET613" s="6"/>
      <c r="EU613" s="6"/>
      <c r="EV613" s="6"/>
      <c r="EW613" s="6"/>
      <c r="EX613" s="6"/>
      <c r="EY613" s="6"/>
      <c r="EZ613" s="6"/>
      <c r="FA613" s="6"/>
      <c r="FB613" s="6"/>
      <c r="FC613" s="6"/>
      <c r="FD613" s="6"/>
      <c r="FE613" s="6"/>
      <c r="FF613" s="6"/>
      <c r="FG613" s="6"/>
      <c r="FH613" s="6"/>
      <c r="FI613" s="6"/>
      <c r="FJ613" s="6"/>
      <c r="FK613" s="6"/>
      <c r="FL613" s="6"/>
      <c r="FM613" s="6"/>
      <c r="FN613" s="6"/>
      <c r="FO613" s="6"/>
      <c r="FP613" s="6"/>
      <c r="FQ613" s="6"/>
      <c r="FR613" s="6"/>
      <c r="FS613" s="6"/>
      <c r="FT613" s="6"/>
      <c r="FU613" s="6"/>
      <c r="FV613" s="6"/>
      <c r="FW613" s="6"/>
      <c r="FX613" s="6"/>
      <c r="FY613" s="6"/>
      <c r="FZ613" s="6"/>
      <c r="GA613" s="6"/>
      <c r="GB613" s="6"/>
      <c r="GC613" s="6"/>
      <c r="GD613" s="6"/>
      <c r="GE613" s="6"/>
      <c r="GF613" s="6"/>
      <c r="GG613" s="6"/>
      <c r="GH613" s="6"/>
      <c r="GI613" s="6"/>
      <c r="GJ613" s="6"/>
      <c r="GK613" s="6"/>
      <c r="GL613" s="6"/>
      <c r="GM613" s="6"/>
      <c r="GN613" s="6"/>
      <c r="GO613" s="6"/>
      <c r="GP613" s="6"/>
      <c r="GQ613" s="6"/>
      <c r="GR613" s="6"/>
      <c r="GS613" s="6"/>
      <c r="GT613" s="6"/>
      <c r="GU613" s="6"/>
      <c r="GV613" s="6"/>
      <c r="GW613" s="6"/>
      <c r="GX613" s="6"/>
      <c r="GY613" s="6"/>
      <c r="GZ613" s="6"/>
      <c r="HA613" s="6"/>
      <c r="HB613" s="6"/>
      <c r="HC613" s="6"/>
      <c r="HD613" s="6"/>
      <c r="HE613" s="6"/>
      <c r="HF613" s="6"/>
      <c r="HG613" s="6"/>
      <c r="HH613" s="6"/>
      <c r="HI613" s="6"/>
      <c r="HJ613" s="6"/>
      <c r="HK613" s="6"/>
      <c r="HL613" s="6"/>
      <c r="HM613" s="6"/>
      <c r="HN613" s="6"/>
      <c r="HO613" s="6"/>
      <c r="HP613" s="6"/>
      <c r="HQ613" s="6"/>
      <c r="HR613" s="6"/>
      <c r="HS613" s="6"/>
      <c r="HT613" s="6"/>
      <c r="HU613" s="6"/>
    </row>
    <row r="614" spans="74:229">
      <c r="BV614" s="6"/>
      <c r="BW614" s="6"/>
      <c r="BX614" s="6"/>
      <c r="BY614" s="6"/>
      <c r="BZ614" s="6"/>
      <c r="CA614" s="6"/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  <c r="CP614" s="6"/>
      <c r="CQ614" s="6"/>
      <c r="CR614" s="6"/>
      <c r="CS614" s="6"/>
      <c r="CT614" s="6"/>
      <c r="CU614" s="6"/>
      <c r="CV614" s="6"/>
      <c r="CW614" s="6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6"/>
      <c r="DM614" s="6"/>
      <c r="DN614" s="6"/>
      <c r="DO614" s="6"/>
      <c r="DP614" s="6"/>
      <c r="DQ614" s="6"/>
      <c r="DR614" s="6"/>
      <c r="DS614" s="6"/>
      <c r="DT614" s="6"/>
      <c r="DU614" s="6"/>
      <c r="DV614" s="6"/>
      <c r="DW614" s="6"/>
      <c r="DX614" s="6"/>
      <c r="DY614" s="6"/>
      <c r="DZ614" s="6"/>
      <c r="EA614" s="6"/>
      <c r="EB614" s="6"/>
      <c r="EC614" s="6"/>
      <c r="ED614" s="6"/>
      <c r="EE614" s="6"/>
      <c r="EF614" s="6"/>
      <c r="EG614" s="6"/>
      <c r="EH614" s="6"/>
      <c r="EI614" s="6"/>
      <c r="EJ614" s="6"/>
      <c r="EK614" s="6"/>
      <c r="EL614" s="6"/>
      <c r="EM614" s="6"/>
      <c r="EN614" s="6"/>
      <c r="EO614" s="6"/>
      <c r="EP614" s="6"/>
      <c r="EQ614" s="6"/>
      <c r="ER614" s="6"/>
      <c r="ES614" s="6"/>
      <c r="ET614" s="6"/>
      <c r="EU614" s="6"/>
      <c r="EV614" s="6"/>
      <c r="EW614" s="6"/>
      <c r="EX614" s="6"/>
      <c r="EY614" s="6"/>
      <c r="EZ614" s="6"/>
      <c r="FA614" s="6"/>
      <c r="FB614" s="6"/>
      <c r="FC614" s="6"/>
      <c r="FD614" s="6"/>
      <c r="FE614" s="6"/>
      <c r="FF614" s="6"/>
      <c r="FG614" s="6"/>
      <c r="FH614" s="6"/>
      <c r="FI614" s="6"/>
      <c r="FJ614" s="6"/>
      <c r="FK614" s="6"/>
      <c r="FL614" s="6"/>
      <c r="FM614" s="6"/>
      <c r="FN614" s="6"/>
      <c r="FO614" s="6"/>
      <c r="FP614" s="6"/>
      <c r="FQ614" s="6"/>
      <c r="FR614" s="6"/>
      <c r="FS614" s="6"/>
      <c r="FT614" s="6"/>
      <c r="FU614" s="6"/>
      <c r="FV614" s="6"/>
      <c r="FW614" s="6"/>
      <c r="FX614" s="6"/>
      <c r="FY614" s="6"/>
      <c r="FZ614" s="6"/>
      <c r="GA614" s="6"/>
      <c r="GB614" s="6"/>
      <c r="GC614" s="6"/>
      <c r="GD614" s="6"/>
      <c r="GE614" s="6"/>
      <c r="GF614" s="6"/>
      <c r="GG614" s="6"/>
      <c r="GH614" s="6"/>
      <c r="GI614" s="6"/>
      <c r="GJ614" s="6"/>
      <c r="GK614" s="6"/>
      <c r="GL614" s="6"/>
      <c r="GM614" s="6"/>
      <c r="GN614" s="6"/>
      <c r="GO614" s="6"/>
      <c r="GP614" s="6"/>
      <c r="GQ614" s="6"/>
      <c r="GR614" s="6"/>
      <c r="GS614" s="6"/>
      <c r="GT614" s="6"/>
      <c r="GU614" s="6"/>
      <c r="GV614" s="6"/>
      <c r="GW614" s="6"/>
      <c r="GX614" s="6"/>
      <c r="GY614" s="6"/>
      <c r="GZ614" s="6"/>
      <c r="HA614" s="6"/>
      <c r="HB614" s="6"/>
      <c r="HC614" s="6"/>
      <c r="HD614" s="6"/>
      <c r="HE614" s="6"/>
      <c r="HF614" s="6"/>
      <c r="HG614" s="6"/>
      <c r="HH614" s="6"/>
      <c r="HI614" s="6"/>
      <c r="HJ614" s="6"/>
      <c r="HK614" s="6"/>
      <c r="HL614" s="6"/>
      <c r="HM614" s="6"/>
      <c r="HN614" s="6"/>
      <c r="HO614" s="6"/>
      <c r="HP614" s="6"/>
      <c r="HQ614" s="6"/>
      <c r="HR614" s="6"/>
      <c r="HS614" s="6"/>
      <c r="HT614" s="6"/>
      <c r="HU614" s="6"/>
    </row>
    <row r="615" spans="74:229">
      <c r="BV615" s="6"/>
      <c r="BW615" s="6"/>
      <c r="BX615" s="6"/>
      <c r="BY615" s="6"/>
      <c r="BZ615" s="6"/>
      <c r="CA615" s="6"/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  <c r="CP615" s="6"/>
      <c r="CQ615" s="6"/>
      <c r="CR615" s="6"/>
      <c r="CS615" s="6"/>
      <c r="CT615" s="6"/>
      <c r="CU615" s="6"/>
      <c r="CV615" s="6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6"/>
      <c r="DM615" s="6"/>
      <c r="DN615" s="6"/>
      <c r="DO615" s="6"/>
      <c r="DP615" s="6"/>
      <c r="DQ615" s="6"/>
      <c r="DR615" s="6"/>
      <c r="DS615" s="6"/>
      <c r="DT615" s="6"/>
      <c r="DU615" s="6"/>
      <c r="DV615" s="6"/>
      <c r="DW615" s="6"/>
      <c r="DX615" s="6"/>
      <c r="DY615" s="6"/>
      <c r="DZ615" s="6"/>
      <c r="EA615" s="6"/>
      <c r="EB615" s="6"/>
      <c r="EC615" s="6"/>
      <c r="ED615" s="6"/>
      <c r="EE615" s="6"/>
      <c r="EF615" s="6"/>
      <c r="EG615" s="6"/>
      <c r="EH615" s="6"/>
      <c r="EI615" s="6"/>
      <c r="EJ615" s="6"/>
      <c r="EK615" s="6"/>
      <c r="EL615" s="6"/>
      <c r="EM615" s="6"/>
      <c r="EN615" s="6"/>
      <c r="EO615" s="6"/>
      <c r="EP615" s="6"/>
      <c r="EQ615" s="6"/>
      <c r="ER615" s="6"/>
      <c r="ES615" s="6"/>
      <c r="ET615" s="6"/>
      <c r="EU615" s="6"/>
      <c r="EV615" s="6"/>
      <c r="EW615" s="6"/>
      <c r="EX615" s="6"/>
      <c r="EY615" s="6"/>
      <c r="EZ615" s="6"/>
      <c r="FA615" s="6"/>
      <c r="FB615" s="6"/>
      <c r="FC615" s="6"/>
      <c r="FD615" s="6"/>
      <c r="FE615" s="6"/>
      <c r="FF615" s="6"/>
      <c r="FG615" s="6"/>
      <c r="FH615" s="6"/>
      <c r="FI615" s="6"/>
      <c r="FJ615" s="6"/>
      <c r="FK615" s="6"/>
      <c r="FL615" s="6"/>
      <c r="FM615" s="6"/>
      <c r="FN615" s="6"/>
      <c r="FO615" s="6"/>
      <c r="FP615" s="6"/>
      <c r="FQ615" s="6"/>
      <c r="FR615" s="6"/>
      <c r="FS615" s="6"/>
      <c r="FT615" s="6"/>
      <c r="FU615" s="6"/>
      <c r="FV615" s="6"/>
      <c r="FW615" s="6"/>
      <c r="FX615" s="6"/>
      <c r="FY615" s="6"/>
      <c r="FZ615" s="6"/>
      <c r="GA615" s="6"/>
      <c r="GB615" s="6"/>
      <c r="GC615" s="6"/>
      <c r="GD615" s="6"/>
      <c r="GE615" s="6"/>
      <c r="GF615" s="6"/>
      <c r="GG615" s="6"/>
      <c r="GH615" s="6"/>
      <c r="GI615" s="6"/>
      <c r="GJ615" s="6"/>
      <c r="GK615" s="6"/>
      <c r="GL615" s="6"/>
      <c r="GM615" s="6"/>
      <c r="GN615" s="6"/>
      <c r="GO615" s="6"/>
      <c r="GP615" s="6"/>
      <c r="GQ615" s="6"/>
      <c r="GR615" s="6"/>
      <c r="GS615" s="6"/>
      <c r="GT615" s="6"/>
      <c r="GU615" s="6"/>
      <c r="GV615" s="6"/>
      <c r="GW615" s="6"/>
      <c r="GX615" s="6"/>
      <c r="GY615" s="6"/>
      <c r="GZ615" s="6"/>
      <c r="HA615" s="6"/>
      <c r="HB615" s="6"/>
      <c r="HC615" s="6"/>
      <c r="HD615" s="6"/>
      <c r="HE615" s="6"/>
      <c r="HF615" s="6"/>
      <c r="HG615" s="6"/>
      <c r="HH615" s="6"/>
      <c r="HI615" s="6"/>
      <c r="HJ615" s="6"/>
      <c r="HK615" s="6"/>
      <c r="HL615" s="6"/>
      <c r="HM615" s="6"/>
      <c r="HN615" s="6"/>
      <c r="HO615" s="6"/>
      <c r="HP615" s="6"/>
      <c r="HQ615" s="6"/>
      <c r="HR615" s="6"/>
      <c r="HS615" s="6"/>
      <c r="HT615" s="6"/>
      <c r="HU615" s="6"/>
    </row>
    <row r="616" spans="74:229">
      <c r="BV616" s="6"/>
      <c r="BW616" s="6"/>
      <c r="BX616" s="6"/>
      <c r="BY616" s="6"/>
      <c r="BZ616" s="6"/>
      <c r="CA616" s="6"/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  <c r="CP616" s="6"/>
      <c r="CQ616" s="6"/>
      <c r="CR616" s="6"/>
      <c r="CS616" s="6"/>
      <c r="CT616" s="6"/>
      <c r="CU616" s="6"/>
      <c r="CV616" s="6"/>
      <c r="CW616" s="6"/>
      <c r="CX616" s="6"/>
      <c r="CY616" s="6"/>
      <c r="CZ616" s="6"/>
      <c r="DA616" s="6"/>
      <c r="DB616" s="6"/>
      <c r="DC616" s="6"/>
      <c r="DD616" s="6"/>
      <c r="DE616" s="6"/>
      <c r="DF616" s="6"/>
      <c r="DG616" s="6"/>
      <c r="DH616" s="6"/>
      <c r="DI616" s="6"/>
      <c r="DJ616" s="6"/>
      <c r="DK616" s="6"/>
      <c r="DL616" s="6"/>
      <c r="DM616" s="6"/>
      <c r="DN616" s="6"/>
      <c r="DO616" s="6"/>
      <c r="DP616" s="6"/>
      <c r="DQ616" s="6"/>
      <c r="DR616" s="6"/>
      <c r="DS616" s="6"/>
      <c r="DT616" s="6"/>
      <c r="DU616" s="6"/>
      <c r="DV616" s="6"/>
      <c r="DW616" s="6"/>
      <c r="DX616" s="6"/>
      <c r="DY616" s="6"/>
      <c r="DZ616" s="6"/>
      <c r="EA616" s="6"/>
      <c r="EB616" s="6"/>
      <c r="EC616" s="6"/>
      <c r="ED616" s="6"/>
      <c r="EE616" s="6"/>
      <c r="EF616" s="6"/>
      <c r="EG616" s="6"/>
      <c r="EH616" s="6"/>
      <c r="EI616" s="6"/>
      <c r="EJ616" s="6"/>
      <c r="EK616" s="6"/>
      <c r="EL616" s="6"/>
      <c r="EM616" s="6"/>
      <c r="EN616" s="6"/>
      <c r="EO616" s="6"/>
      <c r="EP616" s="6"/>
      <c r="EQ616" s="6"/>
      <c r="ER616" s="6"/>
      <c r="ES616" s="6"/>
      <c r="ET616" s="6"/>
      <c r="EU616" s="6"/>
      <c r="EV616" s="6"/>
      <c r="EW616" s="6"/>
      <c r="EX616" s="6"/>
      <c r="EY616" s="6"/>
      <c r="EZ616" s="6"/>
      <c r="FA616" s="6"/>
      <c r="FB616" s="6"/>
      <c r="FC616" s="6"/>
      <c r="FD616" s="6"/>
      <c r="FE616" s="6"/>
      <c r="FF616" s="6"/>
      <c r="FG616" s="6"/>
      <c r="FH616" s="6"/>
      <c r="FI616" s="6"/>
      <c r="FJ616" s="6"/>
      <c r="FK616" s="6"/>
      <c r="FL616" s="6"/>
      <c r="FM616" s="6"/>
      <c r="FN616" s="6"/>
      <c r="FO616" s="6"/>
      <c r="FP616" s="6"/>
      <c r="FQ616" s="6"/>
      <c r="FR616" s="6"/>
      <c r="FS616" s="6"/>
      <c r="FT616" s="6"/>
      <c r="FU616" s="6"/>
      <c r="FV616" s="6"/>
      <c r="FW616" s="6"/>
      <c r="FX616" s="6"/>
      <c r="FY616" s="6"/>
      <c r="FZ616" s="6"/>
      <c r="GA616" s="6"/>
      <c r="GB616" s="6"/>
      <c r="GC616" s="6"/>
      <c r="GD616" s="6"/>
      <c r="GE616" s="6"/>
      <c r="GF616" s="6"/>
      <c r="GG616" s="6"/>
      <c r="GH616" s="6"/>
      <c r="GI616" s="6"/>
      <c r="GJ616" s="6"/>
      <c r="GK616" s="6"/>
      <c r="GL616" s="6"/>
      <c r="GM616" s="6"/>
      <c r="GN616" s="6"/>
      <c r="GO616" s="6"/>
      <c r="GP616" s="6"/>
      <c r="GQ616" s="6"/>
      <c r="GR616" s="6"/>
      <c r="GS616" s="6"/>
      <c r="GT616" s="6"/>
      <c r="GU616" s="6"/>
      <c r="GV616" s="6"/>
      <c r="GW616" s="6"/>
      <c r="GX616" s="6"/>
      <c r="GY616" s="6"/>
      <c r="GZ616" s="6"/>
      <c r="HA616" s="6"/>
      <c r="HB616" s="6"/>
      <c r="HC616" s="6"/>
      <c r="HD616" s="6"/>
      <c r="HE616" s="6"/>
      <c r="HF616" s="6"/>
      <c r="HG616" s="6"/>
      <c r="HH616" s="6"/>
      <c r="HI616" s="6"/>
      <c r="HJ616" s="6"/>
      <c r="HK616" s="6"/>
      <c r="HL616" s="6"/>
      <c r="HM616" s="6"/>
      <c r="HN616" s="6"/>
      <c r="HO616" s="6"/>
      <c r="HP616" s="6"/>
      <c r="HQ616" s="6"/>
      <c r="HR616" s="6"/>
      <c r="HS616" s="6"/>
      <c r="HT616" s="6"/>
      <c r="HU616" s="6"/>
    </row>
    <row r="617" spans="74:229">
      <c r="BV617" s="6"/>
      <c r="BW617" s="6"/>
      <c r="BX617" s="6"/>
      <c r="BY617" s="6"/>
      <c r="BZ617" s="6"/>
      <c r="CA617" s="6"/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  <c r="CP617" s="6"/>
      <c r="CQ617" s="6"/>
      <c r="CR617" s="6"/>
      <c r="CS617" s="6"/>
      <c r="CT617" s="6"/>
      <c r="CU617" s="6"/>
      <c r="CV617" s="6"/>
      <c r="CW617" s="6"/>
      <c r="CX617" s="6"/>
      <c r="CY617" s="6"/>
      <c r="CZ617" s="6"/>
      <c r="DA617" s="6"/>
      <c r="DB617" s="6"/>
      <c r="DC617" s="6"/>
      <c r="DD617" s="6"/>
      <c r="DE617" s="6"/>
      <c r="DF617" s="6"/>
      <c r="DG617" s="6"/>
      <c r="DH617" s="6"/>
      <c r="DI617" s="6"/>
      <c r="DJ617" s="6"/>
      <c r="DK617" s="6"/>
      <c r="DL617" s="6"/>
      <c r="DM617" s="6"/>
      <c r="DN617" s="6"/>
      <c r="DO617" s="6"/>
      <c r="DP617" s="6"/>
      <c r="DQ617" s="6"/>
      <c r="DR617" s="6"/>
      <c r="DS617" s="6"/>
      <c r="DT617" s="6"/>
      <c r="DU617" s="6"/>
      <c r="DV617" s="6"/>
      <c r="DW617" s="6"/>
      <c r="DX617" s="6"/>
      <c r="DY617" s="6"/>
      <c r="DZ617" s="6"/>
      <c r="EA617" s="6"/>
      <c r="EB617" s="6"/>
      <c r="EC617" s="6"/>
      <c r="ED617" s="6"/>
      <c r="EE617" s="6"/>
      <c r="EF617" s="6"/>
      <c r="EG617" s="6"/>
      <c r="EH617" s="6"/>
      <c r="EI617" s="6"/>
      <c r="EJ617" s="6"/>
      <c r="EK617" s="6"/>
      <c r="EL617" s="6"/>
      <c r="EM617" s="6"/>
      <c r="EN617" s="6"/>
      <c r="EO617" s="6"/>
      <c r="EP617" s="6"/>
      <c r="EQ617" s="6"/>
      <c r="ER617" s="6"/>
      <c r="ES617" s="6"/>
      <c r="ET617" s="6"/>
      <c r="EU617" s="6"/>
      <c r="EV617" s="6"/>
      <c r="EW617" s="6"/>
      <c r="EX617" s="6"/>
      <c r="EY617" s="6"/>
      <c r="EZ617" s="6"/>
      <c r="FA617" s="6"/>
      <c r="FB617" s="6"/>
      <c r="FC617" s="6"/>
      <c r="FD617" s="6"/>
      <c r="FE617" s="6"/>
      <c r="FF617" s="6"/>
      <c r="FG617" s="6"/>
      <c r="FH617" s="6"/>
      <c r="FI617" s="6"/>
      <c r="FJ617" s="6"/>
      <c r="FK617" s="6"/>
      <c r="FL617" s="6"/>
      <c r="FM617" s="6"/>
      <c r="FN617" s="6"/>
      <c r="FO617" s="6"/>
      <c r="FP617" s="6"/>
      <c r="FQ617" s="6"/>
      <c r="FR617" s="6"/>
      <c r="FS617" s="6"/>
      <c r="FT617" s="6"/>
      <c r="FU617" s="6"/>
      <c r="FV617" s="6"/>
      <c r="FW617" s="6"/>
      <c r="FX617" s="6"/>
      <c r="FY617" s="6"/>
      <c r="FZ617" s="6"/>
      <c r="GA617" s="6"/>
      <c r="GB617" s="6"/>
      <c r="GC617" s="6"/>
      <c r="GD617" s="6"/>
      <c r="GE617" s="6"/>
      <c r="GF617" s="6"/>
      <c r="GG617" s="6"/>
      <c r="GH617" s="6"/>
      <c r="GI617" s="6"/>
      <c r="GJ617" s="6"/>
      <c r="GK617" s="6"/>
      <c r="GL617" s="6"/>
      <c r="GM617" s="6"/>
      <c r="GN617" s="6"/>
      <c r="GO617" s="6"/>
      <c r="GP617" s="6"/>
      <c r="GQ617" s="6"/>
      <c r="GR617" s="6"/>
      <c r="GS617" s="6"/>
      <c r="GT617" s="6"/>
      <c r="GU617" s="6"/>
      <c r="GV617" s="6"/>
      <c r="GW617" s="6"/>
      <c r="GX617" s="6"/>
      <c r="GY617" s="6"/>
      <c r="GZ617" s="6"/>
      <c r="HA617" s="6"/>
      <c r="HB617" s="6"/>
      <c r="HC617" s="6"/>
      <c r="HD617" s="6"/>
      <c r="HE617" s="6"/>
      <c r="HF617" s="6"/>
      <c r="HG617" s="6"/>
      <c r="HH617" s="6"/>
      <c r="HI617" s="6"/>
      <c r="HJ617" s="6"/>
      <c r="HK617" s="6"/>
      <c r="HL617" s="6"/>
      <c r="HM617" s="6"/>
      <c r="HN617" s="6"/>
      <c r="HO617" s="6"/>
      <c r="HP617" s="6"/>
      <c r="HQ617" s="6"/>
      <c r="HR617" s="6"/>
      <c r="HS617" s="6"/>
      <c r="HT617" s="6"/>
      <c r="HU617" s="6"/>
    </row>
    <row r="618" spans="74:229">
      <c r="BV618" s="6"/>
      <c r="BW618" s="6"/>
      <c r="BX618" s="6"/>
      <c r="BY618" s="6"/>
      <c r="BZ618" s="6"/>
      <c r="CA618" s="6"/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  <c r="CP618" s="6"/>
      <c r="CQ618" s="6"/>
      <c r="CR618" s="6"/>
      <c r="CS618" s="6"/>
      <c r="CT618" s="6"/>
      <c r="CU618" s="6"/>
      <c r="CV618" s="6"/>
      <c r="CW618" s="6"/>
      <c r="CX618" s="6"/>
      <c r="CY618" s="6"/>
      <c r="CZ618" s="6"/>
      <c r="DA618" s="6"/>
      <c r="DB618" s="6"/>
      <c r="DC618" s="6"/>
      <c r="DD618" s="6"/>
      <c r="DE618" s="6"/>
      <c r="DF618" s="6"/>
      <c r="DG618" s="6"/>
      <c r="DH618" s="6"/>
      <c r="DI618" s="6"/>
      <c r="DJ618" s="6"/>
      <c r="DK618" s="6"/>
      <c r="DL618" s="6"/>
      <c r="DM618" s="6"/>
      <c r="DN618" s="6"/>
      <c r="DO618" s="6"/>
      <c r="DP618" s="6"/>
      <c r="DQ618" s="6"/>
      <c r="DR618" s="6"/>
      <c r="DS618" s="6"/>
      <c r="DT618" s="6"/>
      <c r="DU618" s="6"/>
      <c r="DV618" s="6"/>
      <c r="DW618" s="6"/>
      <c r="DX618" s="6"/>
      <c r="DY618" s="6"/>
      <c r="DZ618" s="6"/>
      <c r="EA618" s="6"/>
      <c r="EB618" s="6"/>
      <c r="EC618" s="6"/>
      <c r="ED618" s="6"/>
      <c r="EE618" s="6"/>
      <c r="EF618" s="6"/>
      <c r="EG618" s="6"/>
      <c r="EH618" s="6"/>
      <c r="EI618" s="6"/>
      <c r="EJ618" s="6"/>
      <c r="EK618" s="6"/>
      <c r="EL618" s="6"/>
      <c r="EM618" s="6"/>
      <c r="EN618" s="6"/>
      <c r="EO618" s="6"/>
      <c r="EP618" s="6"/>
      <c r="EQ618" s="6"/>
      <c r="ER618" s="6"/>
      <c r="ES618" s="6"/>
      <c r="ET618" s="6"/>
      <c r="EU618" s="6"/>
      <c r="EV618" s="6"/>
      <c r="EW618" s="6"/>
      <c r="EX618" s="6"/>
      <c r="EY618" s="6"/>
      <c r="EZ618" s="6"/>
      <c r="FA618" s="6"/>
      <c r="FB618" s="6"/>
      <c r="FC618" s="6"/>
      <c r="FD618" s="6"/>
      <c r="FE618" s="6"/>
      <c r="FF618" s="6"/>
      <c r="FG618" s="6"/>
      <c r="FH618" s="6"/>
      <c r="FI618" s="6"/>
      <c r="FJ618" s="6"/>
      <c r="FK618" s="6"/>
      <c r="FL618" s="6"/>
      <c r="FM618" s="6"/>
      <c r="FN618" s="6"/>
      <c r="FO618" s="6"/>
      <c r="FP618" s="6"/>
      <c r="FQ618" s="6"/>
      <c r="FR618" s="6"/>
      <c r="FS618" s="6"/>
      <c r="FT618" s="6"/>
      <c r="FU618" s="6"/>
      <c r="FV618" s="6"/>
      <c r="FW618" s="6"/>
      <c r="FX618" s="6"/>
      <c r="FY618" s="6"/>
      <c r="FZ618" s="6"/>
      <c r="GA618" s="6"/>
      <c r="GB618" s="6"/>
      <c r="GC618" s="6"/>
      <c r="GD618" s="6"/>
      <c r="GE618" s="6"/>
      <c r="GF618" s="6"/>
      <c r="GG618" s="6"/>
      <c r="GH618" s="6"/>
      <c r="GI618" s="6"/>
      <c r="GJ618" s="6"/>
      <c r="GK618" s="6"/>
      <c r="GL618" s="6"/>
      <c r="GM618" s="6"/>
      <c r="GN618" s="6"/>
      <c r="GO618" s="6"/>
      <c r="GP618" s="6"/>
      <c r="GQ618" s="6"/>
      <c r="GR618" s="6"/>
      <c r="GS618" s="6"/>
      <c r="GT618" s="6"/>
      <c r="GU618" s="6"/>
      <c r="GV618" s="6"/>
      <c r="GW618" s="6"/>
      <c r="GX618" s="6"/>
      <c r="GY618" s="6"/>
      <c r="GZ618" s="6"/>
      <c r="HA618" s="6"/>
      <c r="HB618" s="6"/>
      <c r="HC618" s="6"/>
      <c r="HD618" s="6"/>
      <c r="HE618" s="6"/>
      <c r="HF618" s="6"/>
      <c r="HG618" s="6"/>
      <c r="HH618" s="6"/>
      <c r="HI618" s="6"/>
      <c r="HJ618" s="6"/>
      <c r="HK618" s="6"/>
      <c r="HL618" s="6"/>
      <c r="HM618" s="6"/>
      <c r="HN618" s="6"/>
      <c r="HO618" s="6"/>
      <c r="HP618" s="6"/>
      <c r="HQ618" s="6"/>
      <c r="HR618" s="6"/>
      <c r="HS618" s="6"/>
      <c r="HT618" s="6"/>
      <c r="HU618" s="6"/>
    </row>
    <row r="619" spans="74:229">
      <c r="BV619" s="6"/>
      <c r="BW619" s="6"/>
      <c r="BX619" s="6"/>
      <c r="BY619" s="6"/>
      <c r="BZ619" s="6"/>
      <c r="CA619" s="6"/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  <c r="CP619" s="6"/>
      <c r="CQ619" s="6"/>
      <c r="CR619" s="6"/>
      <c r="CS619" s="6"/>
      <c r="CT619" s="6"/>
      <c r="CU619" s="6"/>
      <c r="CV619" s="6"/>
      <c r="CW619" s="6"/>
      <c r="CX619" s="6"/>
      <c r="CY619" s="6"/>
      <c r="CZ619" s="6"/>
      <c r="DA619" s="6"/>
      <c r="DB619" s="6"/>
      <c r="DC619" s="6"/>
      <c r="DD619" s="6"/>
      <c r="DE619" s="6"/>
      <c r="DF619" s="6"/>
      <c r="DG619" s="6"/>
      <c r="DH619" s="6"/>
      <c r="DI619" s="6"/>
      <c r="DJ619" s="6"/>
      <c r="DK619" s="6"/>
      <c r="DL619" s="6"/>
      <c r="DM619" s="6"/>
      <c r="DN619" s="6"/>
      <c r="DO619" s="6"/>
      <c r="DP619" s="6"/>
      <c r="DQ619" s="6"/>
      <c r="DR619" s="6"/>
      <c r="DS619" s="6"/>
      <c r="DT619" s="6"/>
      <c r="DU619" s="6"/>
      <c r="DV619" s="6"/>
      <c r="DW619" s="6"/>
      <c r="DX619" s="6"/>
      <c r="DY619" s="6"/>
      <c r="DZ619" s="6"/>
      <c r="EA619" s="6"/>
      <c r="EB619" s="6"/>
      <c r="EC619" s="6"/>
      <c r="ED619" s="6"/>
      <c r="EE619" s="6"/>
      <c r="EF619" s="6"/>
      <c r="EG619" s="6"/>
      <c r="EH619" s="6"/>
      <c r="EI619" s="6"/>
      <c r="EJ619" s="6"/>
      <c r="EK619" s="6"/>
      <c r="EL619" s="6"/>
      <c r="EM619" s="6"/>
      <c r="EN619" s="6"/>
      <c r="EO619" s="6"/>
      <c r="EP619" s="6"/>
      <c r="EQ619" s="6"/>
      <c r="ER619" s="6"/>
      <c r="ES619" s="6"/>
      <c r="ET619" s="6"/>
      <c r="EU619" s="6"/>
      <c r="EV619" s="6"/>
      <c r="EW619" s="6"/>
      <c r="EX619" s="6"/>
      <c r="EY619" s="6"/>
      <c r="EZ619" s="6"/>
      <c r="FA619" s="6"/>
      <c r="FB619" s="6"/>
      <c r="FC619" s="6"/>
      <c r="FD619" s="6"/>
      <c r="FE619" s="6"/>
      <c r="FF619" s="6"/>
      <c r="FG619" s="6"/>
      <c r="FH619" s="6"/>
      <c r="FI619" s="6"/>
      <c r="FJ619" s="6"/>
      <c r="FK619" s="6"/>
      <c r="FL619" s="6"/>
      <c r="FM619" s="6"/>
      <c r="FN619" s="6"/>
      <c r="FO619" s="6"/>
      <c r="FP619" s="6"/>
      <c r="FQ619" s="6"/>
      <c r="FR619" s="6"/>
      <c r="FS619" s="6"/>
      <c r="FT619" s="6"/>
      <c r="FU619" s="6"/>
      <c r="FV619" s="6"/>
      <c r="FW619" s="6"/>
      <c r="FX619" s="6"/>
      <c r="FY619" s="6"/>
      <c r="FZ619" s="6"/>
      <c r="GA619" s="6"/>
      <c r="GB619" s="6"/>
      <c r="GC619" s="6"/>
      <c r="GD619" s="6"/>
      <c r="GE619" s="6"/>
      <c r="GF619" s="6"/>
      <c r="GG619" s="6"/>
      <c r="GH619" s="6"/>
      <c r="GI619" s="6"/>
      <c r="GJ619" s="6"/>
      <c r="GK619" s="6"/>
      <c r="GL619" s="6"/>
      <c r="GM619" s="6"/>
      <c r="GN619" s="6"/>
      <c r="GO619" s="6"/>
      <c r="GP619" s="6"/>
      <c r="GQ619" s="6"/>
      <c r="GR619" s="6"/>
      <c r="GS619" s="6"/>
      <c r="GT619" s="6"/>
      <c r="GU619" s="6"/>
      <c r="GV619" s="6"/>
      <c r="GW619" s="6"/>
      <c r="GX619" s="6"/>
      <c r="GY619" s="6"/>
      <c r="GZ619" s="6"/>
      <c r="HA619" s="6"/>
      <c r="HB619" s="6"/>
      <c r="HC619" s="6"/>
      <c r="HD619" s="6"/>
      <c r="HE619" s="6"/>
      <c r="HF619" s="6"/>
      <c r="HG619" s="6"/>
      <c r="HH619" s="6"/>
      <c r="HI619" s="6"/>
      <c r="HJ619" s="6"/>
      <c r="HK619" s="6"/>
      <c r="HL619" s="6"/>
      <c r="HM619" s="6"/>
      <c r="HN619" s="6"/>
      <c r="HO619" s="6"/>
      <c r="HP619" s="6"/>
      <c r="HQ619" s="6"/>
      <c r="HR619" s="6"/>
      <c r="HS619" s="6"/>
      <c r="HT619" s="6"/>
      <c r="HU619" s="6"/>
    </row>
    <row r="620" spans="74:229">
      <c r="BV620" s="6"/>
      <c r="BW620" s="6"/>
      <c r="BX620" s="6"/>
      <c r="BY620" s="6"/>
      <c r="BZ620" s="6"/>
      <c r="CA620" s="6"/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  <c r="CP620" s="6"/>
      <c r="CQ620" s="6"/>
      <c r="CR620" s="6"/>
      <c r="CS620" s="6"/>
      <c r="CT620" s="6"/>
      <c r="CU620" s="6"/>
      <c r="CV620" s="6"/>
      <c r="CW620" s="6"/>
      <c r="CX620" s="6"/>
      <c r="CY620" s="6"/>
      <c r="CZ620" s="6"/>
      <c r="DA620" s="6"/>
      <c r="DB620" s="6"/>
      <c r="DC620" s="6"/>
      <c r="DD620" s="6"/>
      <c r="DE620" s="6"/>
      <c r="DF620" s="6"/>
      <c r="DG620" s="6"/>
      <c r="DH620" s="6"/>
      <c r="DI620" s="6"/>
      <c r="DJ620" s="6"/>
      <c r="DK620" s="6"/>
      <c r="DL620" s="6"/>
      <c r="DM620" s="6"/>
      <c r="DN620" s="6"/>
      <c r="DO620" s="6"/>
      <c r="DP620" s="6"/>
      <c r="DQ620" s="6"/>
      <c r="DR620" s="6"/>
      <c r="DS620" s="6"/>
      <c r="DT620" s="6"/>
      <c r="DU620" s="6"/>
      <c r="DV620" s="6"/>
      <c r="DW620" s="6"/>
      <c r="DX620" s="6"/>
      <c r="DY620" s="6"/>
      <c r="DZ620" s="6"/>
      <c r="EA620" s="6"/>
      <c r="EB620" s="6"/>
      <c r="EC620" s="6"/>
      <c r="ED620" s="6"/>
      <c r="EE620" s="6"/>
      <c r="EF620" s="6"/>
      <c r="EG620" s="6"/>
      <c r="EH620" s="6"/>
      <c r="EI620" s="6"/>
      <c r="EJ620" s="6"/>
      <c r="EK620" s="6"/>
      <c r="EL620" s="6"/>
      <c r="EM620" s="6"/>
      <c r="EN620" s="6"/>
      <c r="EO620" s="6"/>
      <c r="EP620" s="6"/>
      <c r="EQ620" s="6"/>
      <c r="ER620" s="6"/>
      <c r="ES620" s="6"/>
      <c r="ET620" s="6"/>
      <c r="EU620" s="6"/>
      <c r="EV620" s="6"/>
      <c r="EW620" s="6"/>
      <c r="EX620" s="6"/>
      <c r="EY620" s="6"/>
      <c r="EZ620" s="6"/>
      <c r="FA620" s="6"/>
      <c r="FB620" s="6"/>
      <c r="FC620" s="6"/>
      <c r="FD620" s="6"/>
      <c r="FE620" s="6"/>
      <c r="FF620" s="6"/>
      <c r="FG620" s="6"/>
      <c r="FH620" s="6"/>
      <c r="FI620" s="6"/>
      <c r="FJ620" s="6"/>
      <c r="FK620" s="6"/>
      <c r="FL620" s="6"/>
      <c r="FM620" s="6"/>
      <c r="FN620" s="6"/>
      <c r="FO620" s="6"/>
      <c r="FP620" s="6"/>
      <c r="FQ620" s="6"/>
      <c r="FR620" s="6"/>
      <c r="FS620" s="6"/>
      <c r="FT620" s="6"/>
      <c r="FU620" s="6"/>
      <c r="FV620" s="6"/>
      <c r="FW620" s="6"/>
      <c r="FX620" s="6"/>
      <c r="FY620" s="6"/>
      <c r="FZ620" s="6"/>
      <c r="GA620" s="6"/>
      <c r="GB620" s="6"/>
      <c r="GC620" s="6"/>
      <c r="GD620" s="6"/>
      <c r="GE620" s="6"/>
      <c r="GF620" s="6"/>
      <c r="GG620" s="6"/>
      <c r="GH620" s="6"/>
      <c r="GI620" s="6"/>
      <c r="GJ620" s="6"/>
      <c r="GK620" s="6"/>
      <c r="GL620" s="6"/>
      <c r="GM620" s="6"/>
      <c r="GN620" s="6"/>
      <c r="GO620" s="6"/>
      <c r="GP620" s="6"/>
      <c r="GQ620" s="6"/>
      <c r="GR620" s="6"/>
      <c r="GS620" s="6"/>
      <c r="GT620" s="6"/>
      <c r="GU620" s="6"/>
      <c r="GV620" s="6"/>
      <c r="GW620" s="6"/>
      <c r="GX620" s="6"/>
      <c r="GY620" s="6"/>
      <c r="GZ620" s="6"/>
      <c r="HA620" s="6"/>
      <c r="HB620" s="6"/>
      <c r="HC620" s="6"/>
      <c r="HD620" s="6"/>
      <c r="HE620" s="6"/>
      <c r="HF620" s="6"/>
      <c r="HG620" s="6"/>
      <c r="HH620" s="6"/>
      <c r="HI620" s="6"/>
      <c r="HJ620" s="6"/>
      <c r="HK620" s="6"/>
      <c r="HL620" s="6"/>
      <c r="HM620" s="6"/>
      <c r="HN620" s="6"/>
      <c r="HO620" s="6"/>
      <c r="HP620" s="6"/>
      <c r="HQ620" s="6"/>
      <c r="HR620" s="6"/>
      <c r="HS620" s="6"/>
      <c r="HT620" s="6"/>
      <c r="HU620" s="6"/>
    </row>
    <row r="621" spans="74:229">
      <c r="BV621" s="6"/>
      <c r="BW621" s="6"/>
      <c r="BX621" s="6"/>
      <c r="BY621" s="6"/>
      <c r="BZ621" s="6"/>
      <c r="CA621" s="6"/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  <c r="CP621" s="6"/>
      <c r="CQ621" s="6"/>
      <c r="CR621" s="6"/>
      <c r="CS621" s="6"/>
      <c r="CT621" s="6"/>
      <c r="CU621" s="6"/>
      <c r="CV621" s="6"/>
      <c r="CW621" s="6"/>
      <c r="CX621" s="6"/>
      <c r="CY621" s="6"/>
      <c r="CZ621" s="6"/>
      <c r="DA621" s="6"/>
      <c r="DB621" s="6"/>
      <c r="DC621" s="6"/>
      <c r="DD621" s="6"/>
      <c r="DE621" s="6"/>
      <c r="DF621" s="6"/>
      <c r="DG621" s="6"/>
      <c r="DH621" s="6"/>
      <c r="DI621" s="6"/>
      <c r="DJ621" s="6"/>
      <c r="DK621" s="6"/>
      <c r="DL621" s="6"/>
      <c r="DM621" s="6"/>
      <c r="DN621" s="6"/>
      <c r="DO621" s="6"/>
      <c r="DP621" s="6"/>
      <c r="DQ621" s="6"/>
      <c r="DR621" s="6"/>
      <c r="DS621" s="6"/>
      <c r="DT621" s="6"/>
      <c r="DU621" s="6"/>
      <c r="DV621" s="6"/>
      <c r="DW621" s="6"/>
      <c r="DX621" s="6"/>
      <c r="DY621" s="6"/>
      <c r="DZ621" s="6"/>
      <c r="EA621" s="6"/>
      <c r="EB621" s="6"/>
      <c r="EC621" s="6"/>
      <c r="ED621" s="6"/>
      <c r="EE621" s="6"/>
      <c r="EF621" s="6"/>
      <c r="EG621" s="6"/>
      <c r="EH621" s="6"/>
      <c r="EI621" s="6"/>
      <c r="EJ621" s="6"/>
      <c r="EK621" s="6"/>
      <c r="EL621" s="6"/>
      <c r="EM621" s="6"/>
      <c r="EN621" s="6"/>
      <c r="EO621" s="6"/>
      <c r="EP621" s="6"/>
      <c r="EQ621" s="6"/>
      <c r="ER621" s="6"/>
      <c r="ES621" s="6"/>
      <c r="ET621" s="6"/>
      <c r="EU621" s="6"/>
      <c r="EV621" s="6"/>
      <c r="EW621" s="6"/>
      <c r="EX621" s="6"/>
      <c r="EY621" s="6"/>
      <c r="EZ621" s="6"/>
      <c r="FA621" s="6"/>
      <c r="FB621" s="6"/>
      <c r="FC621" s="6"/>
      <c r="FD621" s="6"/>
      <c r="FE621" s="6"/>
      <c r="FF621" s="6"/>
      <c r="FG621" s="6"/>
      <c r="FH621" s="6"/>
      <c r="FI621" s="6"/>
      <c r="FJ621" s="6"/>
      <c r="FK621" s="6"/>
      <c r="FL621" s="6"/>
      <c r="FM621" s="6"/>
      <c r="FN621" s="6"/>
      <c r="FO621" s="6"/>
      <c r="FP621" s="6"/>
      <c r="FQ621" s="6"/>
      <c r="FR621" s="6"/>
      <c r="FS621" s="6"/>
      <c r="FT621" s="6"/>
      <c r="FU621" s="6"/>
      <c r="FV621" s="6"/>
      <c r="FW621" s="6"/>
      <c r="FX621" s="6"/>
      <c r="FY621" s="6"/>
      <c r="FZ621" s="6"/>
      <c r="GA621" s="6"/>
      <c r="GB621" s="6"/>
      <c r="GC621" s="6"/>
      <c r="GD621" s="6"/>
      <c r="GE621" s="6"/>
      <c r="GF621" s="6"/>
      <c r="GG621" s="6"/>
      <c r="GH621" s="6"/>
      <c r="GI621" s="6"/>
      <c r="GJ621" s="6"/>
      <c r="GK621" s="6"/>
      <c r="GL621" s="6"/>
      <c r="GM621" s="6"/>
      <c r="GN621" s="6"/>
      <c r="GO621" s="6"/>
      <c r="GP621" s="6"/>
      <c r="GQ621" s="6"/>
      <c r="GR621" s="6"/>
      <c r="GS621" s="6"/>
      <c r="GT621" s="6"/>
      <c r="GU621" s="6"/>
      <c r="GV621" s="6"/>
      <c r="GW621" s="6"/>
      <c r="GX621" s="6"/>
      <c r="GY621" s="6"/>
      <c r="GZ621" s="6"/>
      <c r="HA621" s="6"/>
      <c r="HB621" s="6"/>
      <c r="HC621" s="6"/>
      <c r="HD621" s="6"/>
      <c r="HE621" s="6"/>
      <c r="HF621" s="6"/>
      <c r="HG621" s="6"/>
      <c r="HH621" s="6"/>
      <c r="HI621" s="6"/>
      <c r="HJ621" s="6"/>
      <c r="HK621" s="6"/>
      <c r="HL621" s="6"/>
      <c r="HM621" s="6"/>
      <c r="HN621" s="6"/>
      <c r="HO621" s="6"/>
      <c r="HP621" s="6"/>
      <c r="HQ621" s="6"/>
      <c r="HR621" s="6"/>
      <c r="HS621" s="6"/>
      <c r="HT621" s="6"/>
      <c r="HU621" s="6"/>
    </row>
    <row r="622" spans="74:229">
      <c r="BV622" s="6"/>
      <c r="BW622" s="6"/>
      <c r="BX622" s="6"/>
      <c r="BY622" s="6"/>
      <c r="BZ622" s="6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  <c r="CP622" s="6"/>
      <c r="CQ622" s="6"/>
      <c r="CR622" s="6"/>
      <c r="CS622" s="6"/>
      <c r="CT622" s="6"/>
      <c r="CU622" s="6"/>
      <c r="CV622" s="6"/>
      <c r="CW622" s="6"/>
      <c r="CX622" s="6"/>
      <c r="CY622" s="6"/>
      <c r="CZ622" s="6"/>
      <c r="DA622" s="6"/>
      <c r="DB622" s="6"/>
      <c r="DC622" s="6"/>
      <c r="DD622" s="6"/>
      <c r="DE622" s="6"/>
      <c r="DF622" s="6"/>
      <c r="DG622" s="6"/>
      <c r="DH622" s="6"/>
      <c r="DI622" s="6"/>
      <c r="DJ622" s="6"/>
      <c r="DK622" s="6"/>
      <c r="DL622" s="6"/>
      <c r="DM622" s="6"/>
      <c r="DN622" s="6"/>
      <c r="DO622" s="6"/>
      <c r="DP622" s="6"/>
      <c r="DQ622" s="6"/>
      <c r="DR622" s="6"/>
      <c r="DS622" s="6"/>
      <c r="DT622" s="6"/>
      <c r="DU622" s="6"/>
      <c r="DV622" s="6"/>
      <c r="DW622" s="6"/>
      <c r="DX622" s="6"/>
      <c r="DY622" s="6"/>
      <c r="DZ622" s="6"/>
      <c r="EA622" s="6"/>
      <c r="EB622" s="6"/>
      <c r="EC622" s="6"/>
      <c r="ED622" s="6"/>
      <c r="EE622" s="6"/>
      <c r="EF622" s="6"/>
      <c r="EG622" s="6"/>
      <c r="EH622" s="6"/>
      <c r="EI622" s="6"/>
      <c r="EJ622" s="6"/>
      <c r="EK622" s="6"/>
      <c r="EL622" s="6"/>
      <c r="EM622" s="6"/>
      <c r="EN622" s="6"/>
      <c r="EO622" s="6"/>
      <c r="EP622" s="6"/>
      <c r="EQ622" s="6"/>
      <c r="ER622" s="6"/>
      <c r="ES622" s="6"/>
      <c r="ET622" s="6"/>
      <c r="EU622" s="6"/>
      <c r="EV622" s="6"/>
      <c r="EW622" s="6"/>
      <c r="EX622" s="6"/>
      <c r="EY622" s="6"/>
      <c r="EZ622" s="6"/>
      <c r="FA622" s="6"/>
      <c r="FB622" s="6"/>
      <c r="FC622" s="6"/>
      <c r="FD622" s="6"/>
      <c r="FE622" s="6"/>
      <c r="FF622" s="6"/>
      <c r="FG622" s="6"/>
      <c r="FH622" s="6"/>
      <c r="FI622" s="6"/>
      <c r="FJ622" s="6"/>
      <c r="FK622" s="6"/>
      <c r="FL622" s="6"/>
      <c r="FM622" s="6"/>
      <c r="FN622" s="6"/>
      <c r="FO622" s="6"/>
      <c r="FP622" s="6"/>
      <c r="FQ622" s="6"/>
      <c r="FR622" s="6"/>
      <c r="FS622" s="6"/>
      <c r="FT622" s="6"/>
      <c r="FU622" s="6"/>
      <c r="FV622" s="6"/>
      <c r="FW622" s="6"/>
      <c r="FX622" s="6"/>
      <c r="FY622" s="6"/>
      <c r="FZ622" s="6"/>
      <c r="GA622" s="6"/>
      <c r="GB622" s="6"/>
      <c r="GC622" s="6"/>
      <c r="GD622" s="6"/>
      <c r="GE622" s="6"/>
      <c r="GF622" s="6"/>
      <c r="GG622" s="6"/>
      <c r="GH622" s="6"/>
      <c r="GI622" s="6"/>
      <c r="GJ622" s="6"/>
      <c r="GK622" s="6"/>
      <c r="GL622" s="6"/>
      <c r="GM622" s="6"/>
      <c r="GN622" s="6"/>
      <c r="GO622" s="6"/>
      <c r="GP622" s="6"/>
      <c r="GQ622" s="6"/>
      <c r="GR622" s="6"/>
      <c r="GS622" s="6"/>
      <c r="GT622" s="6"/>
      <c r="GU622" s="6"/>
      <c r="GV622" s="6"/>
      <c r="GW622" s="6"/>
      <c r="GX622" s="6"/>
      <c r="GY622" s="6"/>
      <c r="GZ622" s="6"/>
      <c r="HA622" s="6"/>
      <c r="HB622" s="6"/>
      <c r="HC622" s="6"/>
      <c r="HD622" s="6"/>
      <c r="HE622" s="6"/>
      <c r="HF622" s="6"/>
      <c r="HG622" s="6"/>
      <c r="HH622" s="6"/>
      <c r="HI622" s="6"/>
      <c r="HJ622" s="6"/>
      <c r="HK622" s="6"/>
      <c r="HL622" s="6"/>
      <c r="HM622" s="6"/>
      <c r="HN622" s="6"/>
      <c r="HO622" s="6"/>
      <c r="HP622" s="6"/>
      <c r="HQ622" s="6"/>
      <c r="HR622" s="6"/>
      <c r="HS622" s="6"/>
      <c r="HT622" s="6"/>
      <c r="HU622" s="6"/>
    </row>
    <row r="623" spans="74:229">
      <c r="BV623" s="6"/>
      <c r="BW623" s="6"/>
      <c r="BX623" s="6"/>
      <c r="BY623" s="6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  <c r="CP623" s="6"/>
      <c r="CQ623" s="6"/>
      <c r="CR623" s="6"/>
      <c r="CS623" s="6"/>
      <c r="CT623" s="6"/>
      <c r="CU623" s="6"/>
      <c r="CV623" s="6"/>
      <c r="CW623" s="6"/>
      <c r="CX623" s="6"/>
      <c r="CY623" s="6"/>
      <c r="CZ623" s="6"/>
      <c r="DA623" s="6"/>
      <c r="DB623" s="6"/>
      <c r="DC623" s="6"/>
      <c r="DD623" s="6"/>
      <c r="DE623" s="6"/>
      <c r="DF623" s="6"/>
      <c r="DG623" s="6"/>
      <c r="DH623" s="6"/>
      <c r="DI623" s="6"/>
      <c r="DJ623" s="6"/>
      <c r="DK623" s="6"/>
      <c r="DL623" s="6"/>
      <c r="DM623" s="6"/>
      <c r="DN623" s="6"/>
      <c r="DO623" s="6"/>
      <c r="DP623" s="6"/>
      <c r="DQ623" s="6"/>
      <c r="DR623" s="6"/>
      <c r="DS623" s="6"/>
      <c r="DT623" s="6"/>
      <c r="DU623" s="6"/>
      <c r="DV623" s="6"/>
      <c r="DW623" s="6"/>
      <c r="DX623" s="6"/>
      <c r="DY623" s="6"/>
      <c r="DZ623" s="6"/>
      <c r="EA623" s="6"/>
      <c r="EB623" s="6"/>
      <c r="EC623" s="6"/>
      <c r="ED623" s="6"/>
      <c r="EE623" s="6"/>
      <c r="EF623" s="6"/>
      <c r="EG623" s="6"/>
      <c r="EH623" s="6"/>
      <c r="EI623" s="6"/>
      <c r="EJ623" s="6"/>
      <c r="EK623" s="6"/>
      <c r="EL623" s="6"/>
      <c r="EM623" s="6"/>
      <c r="EN623" s="6"/>
      <c r="EO623" s="6"/>
      <c r="EP623" s="6"/>
      <c r="EQ623" s="6"/>
      <c r="ER623" s="6"/>
      <c r="ES623" s="6"/>
      <c r="ET623" s="6"/>
      <c r="EU623" s="6"/>
      <c r="EV623" s="6"/>
      <c r="EW623" s="6"/>
      <c r="EX623" s="6"/>
      <c r="EY623" s="6"/>
      <c r="EZ623" s="6"/>
      <c r="FA623" s="6"/>
      <c r="FB623" s="6"/>
      <c r="FC623" s="6"/>
      <c r="FD623" s="6"/>
      <c r="FE623" s="6"/>
      <c r="FF623" s="6"/>
      <c r="FG623" s="6"/>
      <c r="FH623" s="6"/>
      <c r="FI623" s="6"/>
      <c r="FJ623" s="6"/>
      <c r="FK623" s="6"/>
      <c r="FL623" s="6"/>
      <c r="FM623" s="6"/>
      <c r="FN623" s="6"/>
      <c r="FO623" s="6"/>
      <c r="FP623" s="6"/>
      <c r="FQ623" s="6"/>
      <c r="FR623" s="6"/>
      <c r="FS623" s="6"/>
      <c r="FT623" s="6"/>
      <c r="FU623" s="6"/>
      <c r="FV623" s="6"/>
      <c r="FW623" s="6"/>
      <c r="FX623" s="6"/>
      <c r="FY623" s="6"/>
      <c r="FZ623" s="6"/>
      <c r="GA623" s="6"/>
      <c r="GB623" s="6"/>
      <c r="GC623" s="6"/>
      <c r="GD623" s="6"/>
      <c r="GE623" s="6"/>
      <c r="GF623" s="6"/>
      <c r="GG623" s="6"/>
      <c r="GH623" s="6"/>
      <c r="GI623" s="6"/>
      <c r="GJ623" s="6"/>
      <c r="GK623" s="6"/>
      <c r="GL623" s="6"/>
      <c r="GM623" s="6"/>
      <c r="GN623" s="6"/>
      <c r="GO623" s="6"/>
      <c r="GP623" s="6"/>
      <c r="GQ623" s="6"/>
      <c r="GR623" s="6"/>
      <c r="GS623" s="6"/>
      <c r="GT623" s="6"/>
      <c r="GU623" s="6"/>
      <c r="GV623" s="6"/>
      <c r="GW623" s="6"/>
      <c r="GX623" s="6"/>
      <c r="GY623" s="6"/>
      <c r="GZ623" s="6"/>
      <c r="HA623" s="6"/>
      <c r="HB623" s="6"/>
      <c r="HC623" s="6"/>
      <c r="HD623" s="6"/>
      <c r="HE623" s="6"/>
      <c r="HF623" s="6"/>
      <c r="HG623" s="6"/>
      <c r="HH623" s="6"/>
      <c r="HI623" s="6"/>
      <c r="HJ623" s="6"/>
      <c r="HK623" s="6"/>
      <c r="HL623" s="6"/>
      <c r="HM623" s="6"/>
      <c r="HN623" s="6"/>
      <c r="HO623" s="6"/>
      <c r="HP623" s="6"/>
      <c r="HQ623" s="6"/>
      <c r="HR623" s="6"/>
      <c r="HS623" s="6"/>
      <c r="HT623" s="6"/>
      <c r="HU623" s="6"/>
    </row>
    <row r="624" spans="74:229">
      <c r="BV624" s="6"/>
      <c r="BW624" s="6"/>
      <c r="BX624" s="6"/>
      <c r="BY624" s="6"/>
      <c r="BZ624" s="6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  <c r="CP624" s="6"/>
      <c r="CQ624" s="6"/>
      <c r="CR624" s="6"/>
      <c r="CS624" s="6"/>
      <c r="CT624" s="6"/>
      <c r="CU624" s="6"/>
      <c r="CV624" s="6"/>
      <c r="CW624" s="6"/>
      <c r="CX624" s="6"/>
      <c r="CY624" s="6"/>
      <c r="CZ624" s="6"/>
      <c r="DA624" s="6"/>
      <c r="DB624" s="6"/>
      <c r="DC624" s="6"/>
      <c r="DD624" s="6"/>
      <c r="DE624" s="6"/>
      <c r="DF624" s="6"/>
      <c r="DG624" s="6"/>
      <c r="DH624" s="6"/>
      <c r="DI624" s="6"/>
      <c r="DJ624" s="6"/>
      <c r="DK624" s="6"/>
      <c r="DL624" s="6"/>
      <c r="DM624" s="6"/>
      <c r="DN624" s="6"/>
      <c r="DO624" s="6"/>
      <c r="DP624" s="6"/>
      <c r="DQ624" s="6"/>
      <c r="DR624" s="6"/>
      <c r="DS624" s="6"/>
      <c r="DT624" s="6"/>
      <c r="DU624" s="6"/>
      <c r="DV624" s="6"/>
      <c r="DW624" s="6"/>
      <c r="DX624" s="6"/>
      <c r="DY624" s="6"/>
      <c r="DZ624" s="6"/>
      <c r="EA624" s="6"/>
      <c r="EB624" s="6"/>
      <c r="EC624" s="6"/>
      <c r="ED624" s="6"/>
      <c r="EE624" s="6"/>
      <c r="EF624" s="6"/>
      <c r="EG624" s="6"/>
      <c r="EH624" s="6"/>
      <c r="EI624" s="6"/>
      <c r="EJ624" s="6"/>
      <c r="EK624" s="6"/>
      <c r="EL624" s="6"/>
      <c r="EM624" s="6"/>
      <c r="EN624" s="6"/>
      <c r="EO624" s="6"/>
      <c r="EP624" s="6"/>
      <c r="EQ624" s="6"/>
      <c r="ER624" s="6"/>
      <c r="ES624" s="6"/>
      <c r="ET624" s="6"/>
      <c r="EU624" s="6"/>
      <c r="EV624" s="6"/>
      <c r="EW624" s="6"/>
      <c r="EX624" s="6"/>
      <c r="EY624" s="6"/>
      <c r="EZ624" s="6"/>
      <c r="FA624" s="6"/>
      <c r="FB624" s="6"/>
      <c r="FC624" s="6"/>
      <c r="FD624" s="6"/>
      <c r="FE624" s="6"/>
      <c r="FF624" s="6"/>
      <c r="FG624" s="6"/>
      <c r="FH624" s="6"/>
      <c r="FI624" s="6"/>
      <c r="FJ624" s="6"/>
      <c r="FK624" s="6"/>
      <c r="FL624" s="6"/>
      <c r="FM624" s="6"/>
      <c r="FN624" s="6"/>
      <c r="FO624" s="6"/>
      <c r="FP624" s="6"/>
      <c r="FQ624" s="6"/>
      <c r="FR624" s="6"/>
      <c r="FS624" s="6"/>
      <c r="FT624" s="6"/>
      <c r="FU624" s="6"/>
      <c r="FV624" s="6"/>
      <c r="FW624" s="6"/>
      <c r="FX624" s="6"/>
      <c r="FY624" s="6"/>
      <c r="FZ624" s="6"/>
      <c r="GA624" s="6"/>
      <c r="GB624" s="6"/>
      <c r="GC624" s="6"/>
      <c r="GD624" s="6"/>
      <c r="GE624" s="6"/>
      <c r="GF624" s="6"/>
      <c r="GG624" s="6"/>
      <c r="GH624" s="6"/>
      <c r="GI624" s="6"/>
      <c r="GJ624" s="6"/>
      <c r="GK624" s="6"/>
      <c r="GL624" s="6"/>
      <c r="GM624" s="6"/>
      <c r="GN624" s="6"/>
      <c r="GO624" s="6"/>
      <c r="GP624" s="6"/>
      <c r="GQ624" s="6"/>
      <c r="GR624" s="6"/>
      <c r="GS624" s="6"/>
      <c r="GT624" s="6"/>
      <c r="GU624" s="6"/>
      <c r="GV624" s="6"/>
      <c r="GW624" s="6"/>
      <c r="GX624" s="6"/>
      <c r="GY624" s="6"/>
      <c r="GZ624" s="6"/>
      <c r="HA624" s="6"/>
      <c r="HB624" s="6"/>
      <c r="HC624" s="6"/>
      <c r="HD624" s="6"/>
      <c r="HE624" s="6"/>
      <c r="HF624" s="6"/>
      <c r="HG624" s="6"/>
      <c r="HH624" s="6"/>
      <c r="HI624" s="6"/>
      <c r="HJ624" s="6"/>
      <c r="HK624" s="6"/>
      <c r="HL624" s="6"/>
      <c r="HM624" s="6"/>
      <c r="HN624" s="6"/>
      <c r="HO624" s="6"/>
      <c r="HP624" s="6"/>
      <c r="HQ624" s="6"/>
      <c r="HR624" s="6"/>
      <c r="HS624" s="6"/>
      <c r="HT624" s="6"/>
      <c r="HU624" s="6"/>
    </row>
    <row r="625" spans="74:229">
      <c r="BV625" s="6"/>
      <c r="BW625" s="6"/>
      <c r="BX625" s="6"/>
      <c r="BY625" s="6"/>
      <c r="BZ625" s="6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  <c r="CP625" s="6"/>
      <c r="CQ625" s="6"/>
      <c r="CR625" s="6"/>
      <c r="CS625" s="6"/>
      <c r="CT625" s="6"/>
      <c r="CU625" s="6"/>
      <c r="CV625" s="6"/>
      <c r="CW625" s="6"/>
      <c r="CX625" s="6"/>
      <c r="CY625" s="6"/>
      <c r="CZ625" s="6"/>
      <c r="DA625" s="6"/>
      <c r="DB625" s="6"/>
      <c r="DC625" s="6"/>
      <c r="DD625" s="6"/>
      <c r="DE625" s="6"/>
      <c r="DF625" s="6"/>
      <c r="DG625" s="6"/>
      <c r="DH625" s="6"/>
      <c r="DI625" s="6"/>
      <c r="DJ625" s="6"/>
      <c r="DK625" s="6"/>
      <c r="DL625" s="6"/>
      <c r="DM625" s="6"/>
      <c r="DN625" s="6"/>
      <c r="DO625" s="6"/>
      <c r="DP625" s="6"/>
      <c r="DQ625" s="6"/>
      <c r="DR625" s="6"/>
      <c r="DS625" s="6"/>
      <c r="DT625" s="6"/>
      <c r="DU625" s="6"/>
      <c r="DV625" s="6"/>
      <c r="DW625" s="6"/>
      <c r="DX625" s="6"/>
      <c r="DY625" s="6"/>
      <c r="DZ625" s="6"/>
      <c r="EA625" s="6"/>
      <c r="EB625" s="6"/>
      <c r="EC625" s="6"/>
      <c r="ED625" s="6"/>
      <c r="EE625" s="6"/>
      <c r="EF625" s="6"/>
      <c r="EG625" s="6"/>
      <c r="EH625" s="6"/>
      <c r="EI625" s="6"/>
      <c r="EJ625" s="6"/>
      <c r="EK625" s="6"/>
      <c r="EL625" s="6"/>
      <c r="EM625" s="6"/>
      <c r="EN625" s="6"/>
      <c r="EO625" s="6"/>
      <c r="EP625" s="6"/>
      <c r="EQ625" s="6"/>
      <c r="ER625" s="6"/>
      <c r="ES625" s="6"/>
      <c r="ET625" s="6"/>
      <c r="EU625" s="6"/>
      <c r="EV625" s="6"/>
      <c r="EW625" s="6"/>
      <c r="EX625" s="6"/>
      <c r="EY625" s="6"/>
      <c r="EZ625" s="6"/>
      <c r="FA625" s="6"/>
      <c r="FB625" s="6"/>
      <c r="FC625" s="6"/>
      <c r="FD625" s="6"/>
      <c r="FE625" s="6"/>
      <c r="FF625" s="6"/>
      <c r="FG625" s="6"/>
      <c r="FH625" s="6"/>
      <c r="FI625" s="6"/>
      <c r="FJ625" s="6"/>
      <c r="FK625" s="6"/>
      <c r="FL625" s="6"/>
      <c r="FM625" s="6"/>
      <c r="FN625" s="6"/>
      <c r="FO625" s="6"/>
      <c r="FP625" s="6"/>
      <c r="FQ625" s="6"/>
      <c r="FR625" s="6"/>
      <c r="FS625" s="6"/>
      <c r="FT625" s="6"/>
      <c r="FU625" s="6"/>
      <c r="FV625" s="6"/>
      <c r="FW625" s="6"/>
      <c r="FX625" s="6"/>
      <c r="FY625" s="6"/>
      <c r="FZ625" s="6"/>
      <c r="GA625" s="6"/>
      <c r="GB625" s="6"/>
      <c r="GC625" s="6"/>
      <c r="GD625" s="6"/>
      <c r="GE625" s="6"/>
      <c r="GF625" s="6"/>
      <c r="GG625" s="6"/>
      <c r="GH625" s="6"/>
      <c r="GI625" s="6"/>
      <c r="GJ625" s="6"/>
      <c r="GK625" s="6"/>
      <c r="GL625" s="6"/>
      <c r="GM625" s="6"/>
      <c r="GN625" s="6"/>
      <c r="GO625" s="6"/>
      <c r="GP625" s="6"/>
      <c r="GQ625" s="6"/>
      <c r="GR625" s="6"/>
      <c r="GS625" s="6"/>
      <c r="GT625" s="6"/>
      <c r="GU625" s="6"/>
      <c r="GV625" s="6"/>
      <c r="GW625" s="6"/>
      <c r="GX625" s="6"/>
      <c r="GY625" s="6"/>
      <c r="GZ625" s="6"/>
      <c r="HA625" s="6"/>
      <c r="HB625" s="6"/>
      <c r="HC625" s="6"/>
      <c r="HD625" s="6"/>
      <c r="HE625" s="6"/>
      <c r="HF625" s="6"/>
      <c r="HG625" s="6"/>
      <c r="HH625" s="6"/>
      <c r="HI625" s="6"/>
      <c r="HJ625" s="6"/>
      <c r="HK625" s="6"/>
      <c r="HL625" s="6"/>
      <c r="HM625" s="6"/>
      <c r="HN625" s="6"/>
      <c r="HO625" s="6"/>
      <c r="HP625" s="6"/>
      <c r="HQ625" s="6"/>
      <c r="HR625" s="6"/>
      <c r="HS625" s="6"/>
      <c r="HT625" s="6"/>
      <c r="HU625" s="6"/>
    </row>
    <row r="626" spans="74:229">
      <c r="BV626" s="6"/>
      <c r="BW626" s="6"/>
      <c r="BX626" s="6"/>
      <c r="BY626" s="6"/>
      <c r="BZ626" s="6"/>
      <c r="CA626" s="6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  <c r="CP626" s="6"/>
      <c r="CQ626" s="6"/>
      <c r="CR626" s="6"/>
      <c r="CS626" s="6"/>
      <c r="CT626" s="6"/>
      <c r="CU626" s="6"/>
      <c r="CV626" s="6"/>
      <c r="CW626" s="6"/>
      <c r="CX626" s="6"/>
      <c r="CY626" s="6"/>
      <c r="CZ626" s="6"/>
      <c r="DA626" s="6"/>
      <c r="DB626" s="6"/>
      <c r="DC626" s="6"/>
      <c r="DD626" s="6"/>
      <c r="DE626" s="6"/>
      <c r="DF626" s="6"/>
      <c r="DG626" s="6"/>
      <c r="DH626" s="6"/>
      <c r="DI626" s="6"/>
      <c r="DJ626" s="6"/>
      <c r="DK626" s="6"/>
      <c r="DL626" s="6"/>
      <c r="DM626" s="6"/>
      <c r="DN626" s="6"/>
      <c r="DO626" s="6"/>
      <c r="DP626" s="6"/>
      <c r="DQ626" s="6"/>
      <c r="DR626" s="6"/>
      <c r="DS626" s="6"/>
      <c r="DT626" s="6"/>
      <c r="DU626" s="6"/>
      <c r="DV626" s="6"/>
      <c r="DW626" s="6"/>
      <c r="DX626" s="6"/>
      <c r="DY626" s="6"/>
      <c r="DZ626" s="6"/>
      <c r="EA626" s="6"/>
      <c r="EB626" s="6"/>
      <c r="EC626" s="6"/>
      <c r="ED626" s="6"/>
      <c r="EE626" s="6"/>
      <c r="EF626" s="6"/>
      <c r="EG626" s="6"/>
      <c r="EH626" s="6"/>
      <c r="EI626" s="6"/>
      <c r="EJ626" s="6"/>
      <c r="EK626" s="6"/>
      <c r="EL626" s="6"/>
      <c r="EM626" s="6"/>
      <c r="EN626" s="6"/>
      <c r="EO626" s="6"/>
      <c r="EP626" s="6"/>
      <c r="EQ626" s="6"/>
      <c r="ER626" s="6"/>
      <c r="ES626" s="6"/>
      <c r="ET626" s="6"/>
      <c r="EU626" s="6"/>
      <c r="EV626" s="6"/>
      <c r="EW626" s="6"/>
      <c r="EX626" s="6"/>
      <c r="EY626" s="6"/>
      <c r="EZ626" s="6"/>
      <c r="FA626" s="6"/>
      <c r="FB626" s="6"/>
      <c r="FC626" s="6"/>
      <c r="FD626" s="6"/>
      <c r="FE626" s="6"/>
      <c r="FF626" s="6"/>
      <c r="FG626" s="6"/>
      <c r="FH626" s="6"/>
      <c r="FI626" s="6"/>
      <c r="FJ626" s="6"/>
      <c r="FK626" s="6"/>
      <c r="FL626" s="6"/>
      <c r="FM626" s="6"/>
      <c r="FN626" s="6"/>
      <c r="FO626" s="6"/>
      <c r="FP626" s="6"/>
      <c r="FQ626" s="6"/>
      <c r="FR626" s="6"/>
      <c r="FS626" s="6"/>
      <c r="FT626" s="6"/>
      <c r="FU626" s="6"/>
      <c r="FV626" s="6"/>
      <c r="FW626" s="6"/>
      <c r="FX626" s="6"/>
      <c r="FY626" s="6"/>
      <c r="FZ626" s="6"/>
      <c r="GA626" s="6"/>
      <c r="GB626" s="6"/>
      <c r="GC626" s="6"/>
      <c r="GD626" s="6"/>
      <c r="GE626" s="6"/>
      <c r="GF626" s="6"/>
      <c r="GG626" s="6"/>
      <c r="GH626" s="6"/>
      <c r="GI626" s="6"/>
      <c r="GJ626" s="6"/>
      <c r="GK626" s="6"/>
      <c r="GL626" s="6"/>
      <c r="GM626" s="6"/>
      <c r="GN626" s="6"/>
      <c r="GO626" s="6"/>
      <c r="GP626" s="6"/>
      <c r="GQ626" s="6"/>
      <c r="GR626" s="6"/>
      <c r="GS626" s="6"/>
      <c r="GT626" s="6"/>
      <c r="GU626" s="6"/>
      <c r="GV626" s="6"/>
      <c r="GW626" s="6"/>
      <c r="GX626" s="6"/>
      <c r="GY626" s="6"/>
      <c r="GZ626" s="6"/>
      <c r="HA626" s="6"/>
      <c r="HB626" s="6"/>
      <c r="HC626" s="6"/>
      <c r="HD626" s="6"/>
      <c r="HE626" s="6"/>
      <c r="HF626" s="6"/>
      <c r="HG626" s="6"/>
      <c r="HH626" s="6"/>
      <c r="HI626" s="6"/>
      <c r="HJ626" s="6"/>
      <c r="HK626" s="6"/>
      <c r="HL626" s="6"/>
      <c r="HM626" s="6"/>
      <c r="HN626" s="6"/>
      <c r="HO626" s="6"/>
      <c r="HP626" s="6"/>
      <c r="HQ626" s="6"/>
      <c r="HR626" s="6"/>
      <c r="HS626" s="6"/>
      <c r="HT626" s="6"/>
      <c r="HU626" s="6"/>
    </row>
    <row r="627" spans="74:229">
      <c r="BV627" s="6"/>
      <c r="BW627" s="6"/>
      <c r="BX627" s="6"/>
      <c r="BY627" s="6"/>
      <c r="BZ627" s="6"/>
      <c r="CA627" s="6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  <c r="CP627" s="6"/>
      <c r="CQ627" s="6"/>
      <c r="CR627" s="6"/>
      <c r="CS627" s="6"/>
      <c r="CT627" s="6"/>
      <c r="CU627" s="6"/>
      <c r="CV627" s="6"/>
      <c r="CW627" s="6"/>
      <c r="CX627" s="6"/>
      <c r="CY627" s="6"/>
      <c r="CZ627" s="6"/>
      <c r="DA627" s="6"/>
      <c r="DB627" s="6"/>
      <c r="DC627" s="6"/>
      <c r="DD627" s="6"/>
      <c r="DE627" s="6"/>
      <c r="DF627" s="6"/>
      <c r="DG627" s="6"/>
      <c r="DH627" s="6"/>
      <c r="DI627" s="6"/>
      <c r="DJ627" s="6"/>
      <c r="DK627" s="6"/>
      <c r="DL627" s="6"/>
      <c r="DM627" s="6"/>
      <c r="DN627" s="6"/>
      <c r="DO627" s="6"/>
      <c r="DP627" s="6"/>
      <c r="DQ627" s="6"/>
      <c r="DR627" s="6"/>
      <c r="DS627" s="6"/>
      <c r="DT627" s="6"/>
      <c r="DU627" s="6"/>
      <c r="DV627" s="6"/>
      <c r="DW627" s="6"/>
      <c r="DX627" s="6"/>
      <c r="DY627" s="6"/>
      <c r="DZ627" s="6"/>
      <c r="EA627" s="6"/>
      <c r="EB627" s="6"/>
      <c r="EC627" s="6"/>
      <c r="ED627" s="6"/>
      <c r="EE627" s="6"/>
      <c r="EF627" s="6"/>
      <c r="EG627" s="6"/>
      <c r="EH627" s="6"/>
      <c r="EI627" s="6"/>
      <c r="EJ627" s="6"/>
      <c r="EK627" s="6"/>
      <c r="EL627" s="6"/>
      <c r="EM627" s="6"/>
      <c r="EN627" s="6"/>
      <c r="EO627" s="6"/>
      <c r="EP627" s="6"/>
      <c r="EQ627" s="6"/>
      <c r="ER627" s="6"/>
      <c r="ES627" s="6"/>
      <c r="ET627" s="6"/>
      <c r="EU627" s="6"/>
      <c r="EV627" s="6"/>
      <c r="EW627" s="6"/>
      <c r="EX627" s="6"/>
      <c r="EY627" s="6"/>
      <c r="EZ627" s="6"/>
      <c r="FA627" s="6"/>
      <c r="FB627" s="6"/>
      <c r="FC627" s="6"/>
      <c r="FD627" s="6"/>
      <c r="FE627" s="6"/>
      <c r="FF627" s="6"/>
      <c r="FG627" s="6"/>
      <c r="FH627" s="6"/>
      <c r="FI627" s="6"/>
      <c r="FJ627" s="6"/>
      <c r="FK627" s="6"/>
      <c r="FL627" s="6"/>
      <c r="FM627" s="6"/>
      <c r="FN627" s="6"/>
      <c r="FO627" s="6"/>
      <c r="FP627" s="6"/>
      <c r="FQ627" s="6"/>
      <c r="FR627" s="6"/>
      <c r="FS627" s="6"/>
      <c r="FT627" s="6"/>
      <c r="FU627" s="6"/>
      <c r="FV627" s="6"/>
      <c r="FW627" s="6"/>
      <c r="FX627" s="6"/>
      <c r="FY627" s="6"/>
      <c r="FZ627" s="6"/>
      <c r="GA627" s="6"/>
      <c r="GB627" s="6"/>
      <c r="GC627" s="6"/>
      <c r="GD627" s="6"/>
      <c r="GE627" s="6"/>
      <c r="GF627" s="6"/>
      <c r="GG627" s="6"/>
      <c r="GH627" s="6"/>
      <c r="GI627" s="6"/>
      <c r="GJ627" s="6"/>
      <c r="GK627" s="6"/>
      <c r="GL627" s="6"/>
      <c r="GM627" s="6"/>
      <c r="GN627" s="6"/>
      <c r="GO627" s="6"/>
      <c r="GP627" s="6"/>
      <c r="GQ627" s="6"/>
      <c r="GR627" s="6"/>
      <c r="GS627" s="6"/>
      <c r="GT627" s="6"/>
      <c r="GU627" s="6"/>
      <c r="GV627" s="6"/>
      <c r="GW627" s="6"/>
      <c r="GX627" s="6"/>
      <c r="GY627" s="6"/>
      <c r="GZ627" s="6"/>
      <c r="HA627" s="6"/>
      <c r="HB627" s="6"/>
      <c r="HC627" s="6"/>
      <c r="HD627" s="6"/>
      <c r="HE627" s="6"/>
      <c r="HF627" s="6"/>
      <c r="HG627" s="6"/>
      <c r="HH627" s="6"/>
      <c r="HI627" s="6"/>
      <c r="HJ627" s="6"/>
      <c r="HK627" s="6"/>
      <c r="HL627" s="6"/>
      <c r="HM627" s="6"/>
      <c r="HN627" s="6"/>
      <c r="HO627" s="6"/>
      <c r="HP627" s="6"/>
      <c r="HQ627" s="6"/>
      <c r="HR627" s="6"/>
      <c r="HS627" s="6"/>
      <c r="HT627" s="6"/>
      <c r="HU627" s="6"/>
    </row>
    <row r="628" spans="74:229">
      <c r="BV628" s="6"/>
      <c r="BW628" s="6"/>
      <c r="BX628" s="6"/>
      <c r="BY628" s="6"/>
      <c r="BZ628" s="6"/>
      <c r="CA628" s="6"/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  <c r="CP628" s="6"/>
      <c r="CQ628" s="6"/>
      <c r="CR628" s="6"/>
      <c r="CS628" s="6"/>
      <c r="CT628" s="6"/>
      <c r="CU628" s="6"/>
      <c r="CV628" s="6"/>
      <c r="CW628" s="6"/>
      <c r="CX628" s="6"/>
      <c r="CY628" s="6"/>
      <c r="CZ628" s="6"/>
      <c r="DA628" s="6"/>
      <c r="DB628" s="6"/>
      <c r="DC628" s="6"/>
      <c r="DD628" s="6"/>
      <c r="DE628" s="6"/>
      <c r="DF628" s="6"/>
      <c r="DG628" s="6"/>
      <c r="DH628" s="6"/>
      <c r="DI628" s="6"/>
      <c r="DJ628" s="6"/>
      <c r="DK628" s="6"/>
      <c r="DL628" s="6"/>
      <c r="DM628" s="6"/>
      <c r="DN628" s="6"/>
      <c r="DO628" s="6"/>
      <c r="DP628" s="6"/>
      <c r="DQ628" s="6"/>
      <c r="DR628" s="6"/>
      <c r="DS628" s="6"/>
      <c r="DT628" s="6"/>
      <c r="DU628" s="6"/>
      <c r="DV628" s="6"/>
      <c r="DW628" s="6"/>
      <c r="DX628" s="6"/>
      <c r="DY628" s="6"/>
      <c r="DZ628" s="6"/>
      <c r="EA628" s="6"/>
      <c r="EB628" s="6"/>
      <c r="EC628" s="6"/>
      <c r="ED628" s="6"/>
      <c r="EE628" s="6"/>
      <c r="EF628" s="6"/>
      <c r="EG628" s="6"/>
      <c r="EH628" s="6"/>
      <c r="EI628" s="6"/>
      <c r="EJ628" s="6"/>
      <c r="EK628" s="6"/>
      <c r="EL628" s="6"/>
      <c r="EM628" s="6"/>
      <c r="EN628" s="6"/>
      <c r="EO628" s="6"/>
      <c r="EP628" s="6"/>
      <c r="EQ628" s="6"/>
      <c r="ER628" s="6"/>
      <c r="ES628" s="6"/>
      <c r="ET628" s="6"/>
      <c r="EU628" s="6"/>
      <c r="EV628" s="6"/>
      <c r="EW628" s="6"/>
      <c r="EX628" s="6"/>
      <c r="EY628" s="6"/>
      <c r="EZ628" s="6"/>
      <c r="FA628" s="6"/>
      <c r="FB628" s="6"/>
      <c r="FC628" s="6"/>
      <c r="FD628" s="6"/>
      <c r="FE628" s="6"/>
      <c r="FF628" s="6"/>
      <c r="FG628" s="6"/>
      <c r="FH628" s="6"/>
      <c r="FI628" s="6"/>
      <c r="FJ628" s="6"/>
      <c r="FK628" s="6"/>
      <c r="FL628" s="6"/>
      <c r="FM628" s="6"/>
      <c r="FN628" s="6"/>
      <c r="FO628" s="6"/>
      <c r="FP628" s="6"/>
      <c r="FQ628" s="6"/>
      <c r="FR628" s="6"/>
      <c r="FS628" s="6"/>
      <c r="FT628" s="6"/>
      <c r="FU628" s="6"/>
      <c r="FV628" s="6"/>
      <c r="FW628" s="6"/>
      <c r="FX628" s="6"/>
      <c r="FY628" s="6"/>
      <c r="FZ628" s="6"/>
      <c r="GA628" s="6"/>
      <c r="GB628" s="6"/>
      <c r="GC628" s="6"/>
      <c r="GD628" s="6"/>
      <c r="GE628" s="6"/>
      <c r="GF628" s="6"/>
      <c r="GG628" s="6"/>
      <c r="GH628" s="6"/>
      <c r="GI628" s="6"/>
      <c r="GJ628" s="6"/>
      <c r="GK628" s="6"/>
      <c r="GL628" s="6"/>
      <c r="GM628" s="6"/>
      <c r="GN628" s="6"/>
      <c r="GO628" s="6"/>
      <c r="GP628" s="6"/>
      <c r="GQ628" s="6"/>
      <c r="GR628" s="6"/>
      <c r="GS628" s="6"/>
      <c r="GT628" s="6"/>
      <c r="GU628" s="6"/>
      <c r="GV628" s="6"/>
      <c r="GW628" s="6"/>
      <c r="GX628" s="6"/>
      <c r="GY628" s="6"/>
      <c r="GZ628" s="6"/>
      <c r="HA628" s="6"/>
      <c r="HB628" s="6"/>
      <c r="HC628" s="6"/>
      <c r="HD628" s="6"/>
      <c r="HE628" s="6"/>
      <c r="HF628" s="6"/>
      <c r="HG628" s="6"/>
      <c r="HH628" s="6"/>
      <c r="HI628" s="6"/>
      <c r="HJ628" s="6"/>
      <c r="HK628" s="6"/>
      <c r="HL628" s="6"/>
      <c r="HM628" s="6"/>
      <c r="HN628" s="6"/>
      <c r="HO628" s="6"/>
      <c r="HP628" s="6"/>
      <c r="HQ628" s="6"/>
      <c r="HR628" s="6"/>
      <c r="HS628" s="6"/>
      <c r="HT628" s="6"/>
      <c r="HU628" s="6"/>
    </row>
    <row r="629" spans="74:229">
      <c r="BV629" s="6"/>
      <c r="BW629" s="6"/>
      <c r="BX629" s="6"/>
      <c r="BY629" s="6"/>
      <c r="BZ629" s="6"/>
      <c r="CA629" s="6"/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  <c r="CP629" s="6"/>
      <c r="CQ629" s="6"/>
      <c r="CR629" s="6"/>
      <c r="CS629" s="6"/>
      <c r="CT629" s="6"/>
      <c r="CU629" s="6"/>
      <c r="CV629" s="6"/>
      <c r="CW629" s="6"/>
      <c r="CX629" s="6"/>
      <c r="CY629" s="6"/>
      <c r="CZ629" s="6"/>
      <c r="DA629" s="6"/>
      <c r="DB629" s="6"/>
      <c r="DC629" s="6"/>
      <c r="DD629" s="6"/>
      <c r="DE629" s="6"/>
      <c r="DF629" s="6"/>
      <c r="DG629" s="6"/>
      <c r="DH629" s="6"/>
      <c r="DI629" s="6"/>
      <c r="DJ629" s="6"/>
      <c r="DK629" s="6"/>
      <c r="DL629" s="6"/>
      <c r="DM629" s="6"/>
      <c r="DN629" s="6"/>
      <c r="DO629" s="6"/>
      <c r="DP629" s="6"/>
      <c r="DQ629" s="6"/>
      <c r="DR629" s="6"/>
      <c r="DS629" s="6"/>
      <c r="DT629" s="6"/>
      <c r="DU629" s="6"/>
      <c r="DV629" s="6"/>
      <c r="DW629" s="6"/>
      <c r="DX629" s="6"/>
      <c r="DY629" s="6"/>
      <c r="DZ629" s="6"/>
      <c r="EA629" s="6"/>
      <c r="EB629" s="6"/>
      <c r="EC629" s="6"/>
      <c r="ED629" s="6"/>
      <c r="EE629" s="6"/>
      <c r="EF629" s="6"/>
      <c r="EG629" s="6"/>
      <c r="EH629" s="6"/>
      <c r="EI629" s="6"/>
      <c r="EJ629" s="6"/>
      <c r="EK629" s="6"/>
      <c r="EL629" s="6"/>
      <c r="EM629" s="6"/>
      <c r="EN629" s="6"/>
      <c r="EO629" s="6"/>
      <c r="EP629" s="6"/>
      <c r="EQ629" s="6"/>
      <c r="ER629" s="6"/>
      <c r="ES629" s="6"/>
      <c r="ET629" s="6"/>
      <c r="EU629" s="6"/>
      <c r="EV629" s="6"/>
      <c r="EW629" s="6"/>
      <c r="EX629" s="6"/>
      <c r="EY629" s="6"/>
      <c r="EZ629" s="6"/>
      <c r="FA629" s="6"/>
      <c r="FB629" s="6"/>
      <c r="FC629" s="6"/>
      <c r="FD629" s="6"/>
      <c r="FE629" s="6"/>
      <c r="FF629" s="6"/>
      <c r="FG629" s="6"/>
      <c r="FH629" s="6"/>
      <c r="FI629" s="6"/>
      <c r="FJ629" s="6"/>
      <c r="FK629" s="6"/>
      <c r="FL629" s="6"/>
      <c r="FM629" s="6"/>
      <c r="FN629" s="6"/>
      <c r="FO629" s="6"/>
      <c r="FP629" s="6"/>
      <c r="FQ629" s="6"/>
      <c r="FR629" s="6"/>
      <c r="FS629" s="6"/>
      <c r="FT629" s="6"/>
      <c r="FU629" s="6"/>
      <c r="FV629" s="6"/>
      <c r="FW629" s="6"/>
      <c r="FX629" s="6"/>
      <c r="FY629" s="6"/>
      <c r="FZ629" s="6"/>
      <c r="GA629" s="6"/>
      <c r="GB629" s="6"/>
      <c r="GC629" s="6"/>
      <c r="GD629" s="6"/>
      <c r="GE629" s="6"/>
      <c r="GF629" s="6"/>
      <c r="GG629" s="6"/>
      <c r="GH629" s="6"/>
      <c r="GI629" s="6"/>
      <c r="GJ629" s="6"/>
      <c r="GK629" s="6"/>
      <c r="GL629" s="6"/>
      <c r="GM629" s="6"/>
      <c r="GN629" s="6"/>
      <c r="GO629" s="6"/>
      <c r="GP629" s="6"/>
      <c r="GQ629" s="6"/>
      <c r="GR629" s="6"/>
      <c r="GS629" s="6"/>
      <c r="GT629" s="6"/>
      <c r="GU629" s="6"/>
      <c r="GV629" s="6"/>
      <c r="GW629" s="6"/>
      <c r="GX629" s="6"/>
      <c r="GY629" s="6"/>
      <c r="GZ629" s="6"/>
      <c r="HA629" s="6"/>
      <c r="HB629" s="6"/>
      <c r="HC629" s="6"/>
      <c r="HD629" s="6"/>
      <c r="HE629" s="6"/>
      <c r="HF629" s="6"/>
      <c r="HG629" s="6"/>
      <c r="HH629" s="6"/>
      <c r="HI629" s="6"/>
      <c r="HJ629" s="6"/>
      <c r="HK629" s="6"/>
      <c r="HL629" s="6"/>
      <c r="HM629" s="6"/>
      <c r="HN629" s="6"/>
      <c r="HO629" s="6"/>
      <c r="HP629" s="6"/>
      <c r="HQ629" s="6"/>
      <c r="HR629" s="6"/>
      <c r="HS629" s="6"/>
      <c r="HT629" s="6"/>
      <c r="HU629" s="6"/>
    </row>
    <row r="630" spans="74:229">
      <c r="BV630" s="6"/>
      <c r="BW630" s="6"/>
      <c r="BX630" s="6"/>
      <c r="BY630" s="6"/>
      <c r="BZ630" s="6"/>
      <c r="CA630" s="6"/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  <c r="CP630" s="6"/>
      <c r="CQ630" s="6"/>
      <c r="CR630" s="6"/>
      <c r="CS630" s="6"/>
      <c r="CT630" s="6"/>
      <c r="CU630" s="6"/>
      <c r="CV630" s="6"/>
      <c r="CW630" s="6"/>
      <c r="CX630" s="6"/>
      <c r="CY630" s="6"/>
      <c r="CZ630" s="6"/>
      <c r="DA630" s="6"/>
      <c r="DB630" s="6"/>
      <c r="DC630" s="6"/>
      <c r="DD630" s="6"/>
      <c r="DE630" s="6"/>
      <c r="DF630" s="6"/>
      <c r="DG630" s="6"/>
      <c r="DH630" s="6"/>
      <c r="DI630" s="6"/>
      <c r="DJ630" s="6"/>
      <c r="DK630" s="6"/>
      <c r="DL630" s="6"/>
      <c r="DM630" s="6"/>
      <c r="DN630" s="6"/>
      <c r="DO630" s="6"/>
      <c r="DP630" s="6"/>
      <c r="DQ630" s="6"/>
      <c r="DR630" s="6"/>
      <c r="DS630" s="6"/>
      <c r="DT630" s="6"/>
      <c r="DU630" s="6"/>
      <c r="DV630" s="6"/>
      <c r="DW630" s="6"/>
      <c r="DX630" s="6"/>
      <c r="DY630" s="6"/>
      <c r="DZ630" s="6"/>
      <c r="EA630" s="6"/>
      <c r="EB630" s="6"/>
      <c r="EC630" s="6"/>
      <c r="ED630" s="6"/>
      <c r="EE630" s="6"/>
      <c r="EF630" s="6"/>
      <c r="EG630" s="6"/>
      <c r="EH630" s="6"/>
      <c r="EI630" s="6"/>
      <c r="EJ630" s="6"/>
      <c r="EK630" s="6"/>
      <c r="EL630" s="6"/>
      <c r="EM630" s="6"/>
      <c r="EN630" s="6"/>
      <c r="EO630" s="6"/>
      <c r="EP630" s="6"/>
      <c r="EQ630" s="6"/>
      <c r="ER630" s="6"/>
      <c r="ES630" s="6"/>
      <c r="ET630" s="6"/>
      <c r="EU630" s="6"/>
      <c r="EV630" s="6"/>
      <c r="EW630" s="6"/>
      <c r="EX630" s="6"/>
      <c r="EY630" s="6"/>
      <c r="EZ630" s="6"/>
      <c r="FA630" s="6"/>
      <c r="FB630" s="6"/>
      <c r="FC630" s="6"/>
      <c r="FD630" s="6"/>
      <c r="FE630" s="6"/>
      <c r="FF630" s="6"/>
      <c r="FG630" s="6"/>
      <c r="FH630" s="6"/>
      <c r="FI630" s="6"/>
      <c r="FJ630" s="6"/>
      <c r="FK630" s="6"/>
      <c r="FL630" s="6"/>
      <c r="FM630" s="6"/>
      <c r="FN630" s="6"/>
      <c r="FO630" s="6"/>
      <c r="FP630" s="6"/>
      <c r="FQ630" s="6"/>
      <c r="FR630" s="6"/>
      <c r="FS630" s="6"/>
      <c r="FT630" s="6"/>
      <c r="FU630" s="6"/>
      <c r="FV630" s="6"/>
      <c r="FW630" s="6"/>
      <c r="FX630" s="6"/>
      <c r="FY630" s="6"/>
      <c r="FZ630" s="6"/>
      <c r="GA630" s="6"/>
      <c r="GB630" s="6"/>
      <c r="GC630" s="6"/>
      <c r="GD630" s="6"/>
      <c r="GE630" s="6"/>
      <c r="GF630" s="6"/>
      <c r="GG630" s="6"/>
      <c r="GH630" s="6"/>
      <c r="GI630" s="6"/>
      <c r="GJ630" s="6"/>
      <c r="GK630" s="6"/>
      <c r="GL630" s="6"/>
      <c r="GM630" s="6"/>
      <c r="GN630" s="6"/>
      <c r="GO630" s="6"/>
      <c r="GP630" s="6"/>
      <c r="GQ630" s="6"/>
      <c r="GR630" s="6"/>
      <c r="GS630" s="6"/>
      <c r="GT630" s="6"/>
      <c r="GU630" s="6"/>
      <c r="GV630" s="6"/>
      <c r="GW630" s="6"/>
      <c r="GX630" s="6"/>
      <c r="GY630" s="6"/>
      <c r="GZ630" s="6"/>
      <c r="HA630" s="6"/>
      <c r="HB630" s="6"/>
      <c r="HC630" s="6"/>
      <c r="HD630" s="6"/>
      <c r="HE630" s="6"/>
      <c r="HF630" s="6"/>
      <c r="HG630" s="6"/>
      <c r="HH630" s="6"/>
      <c r="HI630" s="6"/>
      <c r="HJ630" s="6"/>
      <c r="HK630" s="6"/>
      <c r="HL630" s="6"/>
      <c r="HM630" s="6"/>
      <c r="HN630" s="6"/>
      <c r="HO630" s="6"/>
      <c r="HP630" s="6"/>
      <c r="HQ630" s="6"/>
      <c r="HR630" s="6"/>
      <c r="HS630" s="6"/>
      <c r="HT630" s="6"/>
      <c r="HU630" s="6"/>
    </row>
    <row r="631" spans="74:229">
      <c r="BV631" s="6"/>
      <c r="BW631" s="6"/>
      <c r="BX631" s="6"/>
      <c r="BY631" s="6"/>
      <c r="BZ631" s="6"/>
      <c r="CA631" s="6"/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  <c r="CP631" s="6"/>
      <c r="CQ631" s="6"/>
      <c r="CR631" s="6"/>
      <c r="CS631" s="6"/>
      <c r="CT631" s="6"/>
      <c r="CU631" s="6"/>
      <c r="CV631" s="6"/>
      <c r="CW631" s="6"/>
      <c r="CX631" s="6"/>
      <c r="CY631" s="6"/>
      <c r="CZ631" s="6"/>
      <c r="DA631" s="6"/>
      <c r="DB631" s="6"/>
      <c r="DC631" s="6"/>
      <c r="DD631" s="6"/>
      <c r="DE631" s="6"/>
      <c r="DF631" s="6"/>
      <c r="DG631" s="6"/>
      <c r="DH631" s="6"/>
      <c r="DI631" s="6"/>
      <c r="DJ631" s="6"/>
      <c r="DK631" s="6"/>
      <c r="DL631" s="6"/>
      <c r="DM631" s="6"/>
      <c r="DN631" s="6"/>
      <c r="DO631" s="6"/>
      <c r="DP631" s="6"/>
      <c r="DQ631" s="6"/>
      <c r="DR631" s="6"/>
      <c r="DS631" s="6"/>
      <c r="DT631" s="6"/>
      <c r="DU631" s="6"/>
      <c r="DV631" s="6"/>
      <c r="DW631" s="6"/>
      <c r="DX631" s="6"/>
      <c r="DY631" s="6"/>
      <c r="DZ631" s="6"/>
      <c r="EA631" s="6"/>
      <c r="EB631" s="6"/>
      <c r="EC631" s="6"/>
      <c r="ED631" s="6"/>
      <c r="EE631" s="6"/>
      <c r="EF631" s="6"/>
      <c r="EG631" s="6"/>
      <c r="EH631" s="6"/>
      <c r="EI631" s="6"/>
      <c r="EJ631" s="6"/>
      <c r="EK631" s="6"/>
      <c r="EL631" s="6"/>
      <c r="EM631" s="6"/>
      <c r="EN631" s="6"/>
      <c r="EO631" s="6"/>
      <c r="EP631" s="6"/>
      <c r="EQ631" s="6"/>
      <c r="ER631" s="6"/>
      <c r="ES631" s="6"/>
      <c r="ET631" s="6"/>
      <c r="EU631" s="6"/>
      <c r="EV631" s="6"/>
      <c r="EW631" s="6"/>
      <c r="EX631" s="6"/>
      <c r="EY631" s="6"/>
      <c r="EZ631" s="6"/>
      <c r="FA631" s="6"/>
      <c r="FB631" s="6"/>
      <c r="FC631" s="6"/>
      <c r="FD631" s="6"/>
      <c r="FE631" s="6"/>
      <c r="FF631" s="6"/>
      <c r="FG631" s="6"/>
      <c r="FH631" s="6"/>
      <c r="FI631" s="6"/>
      <c r="FJ631" s="6"/>
      <c r="FK631" s="6"/>
      <c r="FL631" s="6"/>
      <c r="FM631" s="6"/>
      <c r="FN631" s="6"/>
      <c r="FO631" s="6"/>
      <c r="FP631" s="6"/>
      <c r="FQ631" s="6"/>
      <c r="FR631" s="6"/>
      <c r="FS631" s="6"/>
      <c r="FT631" s="6"/>
      <c r="FU631" s="6"/>
      <c r="FV631" s="6"/>
      <c r="FW631" s="6"/>
      <c r="FX631" s="6"/>
      <c r="FY631" s="6"/>
      <c r="FZ631" s="6"/>
      <c r="GA631" s="6"/>
      <c r="GB631" s="6"/>
      <c r="GC631" s="6"/>
      <c r="GD631" s="6"/>
      <c r="GE631" s="6"/>
      <c r="GF631" s="6"/>
      <c r="GG631" s="6"/>
      <c r="GH631" s="6"/>
      <c r="GI631" s="6"/>
      <c r="GJ631" s="6"/>
      <c r="GK631" s="6"/>
      <c r="GL631" s="6"/>
      <c r="GM631" s="6"/>
      <c r="GN631" s="6"/>
      <c r="GO631" s="6"/>
      <c r="GP631" s="6"/>
      <c r="GQ631" s="6"/>
      <c r="GR631" s="6"/>
      <c r="GS631" s="6"/>
      <c r="GT631" s="6"/>
      <c r="GU631" s="6"/>
      <c r="GV631" s="6"/>
      <c r="GW631" s="6"/>
      <c r="GX631" s="6"/>
      <c r="GY631" s="6"/>
      <c r="GZ631" s="6"/>
      <c r="HA631" s="6"/>
      <c r="HB631" s="6"/>
      <c r="HC631" s="6"/>
      <c r="HD631" s="6"/>
      <c r="HE631" s="6"/>
      <c r="HF631" s="6"/>
      <c r="HG631" s="6"/>
      <c r="HH631" s="6"/>
      <c r="HI631" s="6"/>
      <c r="HJ631" s="6"/>
      <c r="HK631" s="6"/>
      <c r="HL631" s="6"/>
      <c r="HM631" s="6"/>
      <c r="HN631" s="6"/>
      <c r="HO631" s="6"/>
      <c r="HP631" s="6"/>
      <c r="HQ631" s="6"/>
      <c r="HR631" s="6"/>
      <c r="HS631" s="6"/>
      <c r="HT631" s="6"/>
      <c r="HU631" s="6"/>
    </row>
    <row r="632" spans="74:229">
      <c r="BV632" s="6"/>
      <c r="BW632" s="6"/>
      <c r="BX632" s="6"/>
      <c r="BY632" s="6"/>
      <c r="BZ632" s="6"/>
      <c r="CA632" s="6"/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  <c r="CP632" s="6"/>
      <c r="CQ632" s="6"/>
      <c r="CR632" s="6"/>
      <c r="CS632" s="6"/>
      <c r="CT632" s="6"/>
      <c r="CU632" s="6"/>
      <c r="CV632" s="6"/>
      <c r="CW632" s="6"/>
      <c r="CX632" s="6"/>
      <c r="CY632" s="6"/>
      <c r="CZ632" s="6"/>
      <c r="DA632" s="6"/>
      <c r="DB632" s="6"/>
      <c r="DC632" s="6"/>
      <c r="DD632" s="6"/>
      <c r="DE632" s="6"/>
      <c r="DF632" s="6"/>
      <c r="DG632" s="6"/>
      <c r="DH632" s="6"/>
      <c r="DI632" s="6"/>
      <c r="DJ632" s="6"/>
      <c r="DK632" s="6"/>
      <c r="DL632" s="6"/>
      <c r="DM632" s="6"/>
      <c r="DN632" s="6"/>
      <c r="DO632" s="6"/>
      <c r="DP632" s="6"/>
      <c r="DQ632" s="6"/>
      <c r="DR632" s="6"/>
      <c r="DS632" s="6"/>
      <c r="DT632" s="6"/>
      <c r="DU632" s="6"/>
      <c r="DV632" s="6"/>
      <c r="DW632" s="6"/>
      <c r="DX632" s="6"/>
      <c r="DY632" s="6"/>
      <c r="DZ632" s="6"/>
      <c r="EA632" s="6"/>
      <c r="EB632" s="6"/>
      <c r="EC632" s="6"/>
      <c r="ED632" s="6"/>
      <c r="EE632" s="6"/>
      <c r="EF632" s="6"/>
      <c r="EG632" s="6"/>
      <c r="EH632" s="6"/>
      <c r="EI632" s="6"/>
      <c r="EJ632" s="6"/>
      <c r="EK632" s="6"/>
      <c r="EL632" s="6"/>
      <c r="EM632" s="6"/>
      <c r="EN632" s="6"/>
      <c r="EO632" s="6"/>
      <c r="EP632" s="6"/>
      <c r="EQ632" s="6"/>
      <c r="ER632" s="6"/>
      <c r="ES632" s="6"/>
      <c r="ET632" s="6"/>
      <c r="EU632" s="6"/>
      <c r="EV632" s="6"/>
      <c r="EW632" s="6"/>
      <c r="EX632" s="6"/>
      <c r="EY632" s="6"/>
      <c r="EZ632" s="6"/>
      <c r="FA632" s="6"/>
      <c r="FB632" s="6"/>
      <c r="FC632" s="6"/>
      <c r="FD632" s="6"/>
      <c r="FE632" s="6"/>
      <c r="FF632" s="6"/>
      <c r="FG632" s="6"/>
      <c r="FH632" s="6"/>
      <c r="FI632" s="6"/>
      <c r="FJ632" s="6"/>
      <c r="FK632" s="6"/>
      <c r="FL632" s="6"/>
      <c r="FM632" s="6"/>
      <c r="FN632" s="6"/>
      <c r="FO632" s="6"/>
      <c r="FP632" s="6"/>
      <c r="FQ632" s="6"/>
      <c r="FR632" s="6"/>
      <c r="FS632" s="6"/>
      <c r="FT632" s="6"/>
      <c r="FU632" s="6"/>
      <c r="FV632" s="6"/>
      <c r="FW632" s="6"/>
      <c r="FX632" s="6"/>
      <c r="FY632" s="6"/>
      <c r="FZ632" s="6"/>
      <c r="GA632" s="6"/>
      <c r="GB632" s="6"/>
      <c r="GC632" s="6"/>
      <c r="GD632" s="6"/>
      <c r="GE632" s="6"/>
      <c r="GF632" s="6"/>
      <c r="GG632" s="6"/>
      <c r="GH632" s="6"/>
      <c r="GI632" s="6"/>
      <c r="GJ632" s="6"/>
      <c r="GK632" s="6"/>
      <c r="GL632" s="6"/>
      <c r="GM632" s="6"/>
      <c r="GN632" s="6"/>
      <c r="GO632" s="6"/>
      <c r="GP632" s="6"/>
      <c r="GQ632" s="6"/>
      <c r="GR632" s="6"/>
      <c r="GS632" s="6"/>
      <c r="GT632" s="6"/>
      <c r="GU632" s="6"/>
      <c r="GV632" s="6"/>
      <c r="GW632" s="6"/>
      <c r="GX632" s="6"/>
      <c r="GY632" s="6"/>
      <c r="GZ632" s="6"/>
      <c r="HA632" s="6"/>
      <c r="HB632" s="6"/>
      <c r="HC632" s="6"/>
      <c r="HD632" s="6"/>
      <c r="HE632" s="6"/>
      <c r="HF632" s="6"/>
      <c r="HG632" s="6"/>
      <c r="HH632" s="6"/>
      <c r="HI632" s="6"/>
      <c r="HJ632" s="6"/>
      <c r="HK632" s="6"/>
      <c r="HL632" s="6"/>
      <c r="HM632" s="6"/>
      <c r="HN632" s="6"/>
      <c r="HO632" s="6"/>
      <c r="HP632" s="6"/>
      <c r="HQ632" s="6"/>
      <c r="HR632" s="6"/>
      <c r="HS632" s="6"/>
      <c r="HT632" s="6"/>
      <c r="HU632" s="6"/>
    </row>
    <row r="633" spans="74:229">
      <c r="BV633" s="6"/>
      <c r="BW633" s="6"/>
      <c r="BX633" s="6"/>
      <c r="BY633" s="6"/>
      <c r="BZ633" s="6"/>
      <c r="CA633" s="6"/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  <c r="CP633" s="6"/>
      <c r="CQ633" s="6"/>
      <c r="CR633" s="6"/>
      <c r="CS633" s="6"/>
      <c r="CT633" s="6"/>
      <c r="CU633" s="6"/>
      <c r="CV633" s="6"/>
      <c r="CW633" s="6"/>
      <c r="CX633" s="6"/>
      <c r="CY633" s="6"/>
      <c r="CZ633" s="6"/>
      <c r="DA633" s="6"/>
      <c r="DB633" s="6"/>
      <c r="DC633" s="6"/>
      <c r="DD633" s="6"/>
      <c r="DE633" s="6"/>
      <c r="DF633" s="6"/>
      <c r="DG633" s="6"/>
      <c r="DH633" s="6"/>
      <c r="DI633" s="6"/>
      <c r="DJ633" s="6"/>
      <c r="DK633" s="6"/>
      <c r="DL633" s="6"/>
      <c r="DM633" s="6"/>
      <c r="DN633" s="6"/>
      <c r="DO633" s="6"/>
      <c r="DP633" s="6"/>
      <c r="DQ633" s="6"/>
      <c r="DR633" s="6"/>
      <c r="DS633" s="6"/>
      <c r="DT633" s="6"/>
      <c r="DU633" s="6"/>
      <c r="DV633" s="6"/>
      <c r="DW633" s="6"/>
      <c r="DX633" s="6"/>
      <c r="DY633" s="6"/>
      <c r="DZ633" s="6"/>
      <c r="EA633" s="6"/>
      <c r="EB633" s="6"/>
      <c r="EC633" s="6"/>
      <c r="ED633" s="6"/>
      <c r="EE633" s="6"/>
      <c r="EF633" s="6"/>
      <c r="EG633" s="6"/>
      <c r="EH633" s="6"/>
      <c r="EI633" s="6"/>
      <c r="EJ633" s="6"/>
      <c r="EK633" s="6"/>
      <c r="EL633" s="6"/>
      <c r="EM633" s="6"/>
      <c r="EN633" s="6"/>
      <c r="EO633" s="6"/>
      <c r="EP633" s="6"/>
      <c r="EQ633" s="6"/>
      <c r="ER633" s="6"/>
      <c r="ES633" s="6"/>
      <c r="ET633" s="6"/>
      <c r="EU633" s="6"/>
      <c r="EV633" s="6"/>
      <c r="EW633" s="6"/>
      <c r="EX633" s="6"/>
      <c r="EY633" s="6"/>
      <c r="EZ633" s="6"/>
      <c r="FA633" s="6"/>
      <c r="FB633" s="6"/>
      <c r="FC633" s="6"/>
      <c r="FD633" s="6"/>
      <c r="FE633" s="6"/>
      <c r="FF633" s="6"/>
      <c r="FG633" s="6"/>
      <c r="FH633" s="6"/>
      <c r="FI633" s="6"/>
      <c r="FJ633" s="6"/>
      <c r="FK633" s="6"/>
      <c r="FL633" s="6"/>
      <c r="FM633" s="6"/>
      <c r="FN633" s="6"/>
      <c r="FO633" s="6"/>
      <c r="FP633" s="6"/>
      <c r="FQ633" s="6"/>
      <c r="FR633" s="6"/>
      <c r="FS633" s="6"/>
      <c r="FT633" s="6"/>
      <c r="FU633" s="6"/>
      <c r="FV633" s="6"/>
      <c r="FW633" s="6"/>
      <c r="FX633" s="6"/>
      <c r="FY633" s="6"/>
      <c r="FZ633" s="6"/>
      <c r="GA633" s="6"/>
      <c r="GB633" s="6"/>
      <c r="GC633" s="6"/>
      <c r="GD633" s="6"/>
      <c r="GE633" s="6"/>
      <c r="GF633" s="6"/>
      <c r="GG633" s="6"/>
      <c r="GH633" s="6"/>
      <c r="GI633" s="6"/>
      <c r="GJ633" s="6"/>
      <c r="GK633" s="6"/>
      <c r="GL633" s="6"/>
      <c r="GM633" s="6"/>
      <c r="GN633" s="6"/>
      <c r="GO633" s="6"/>
      <c r="GP633" s="6"/>
      <c r="GQ633" s="6"/>
      <c r="GR633" s="6"/>
      <c r="GS633" s="6"/>
      <c r="GT633" s="6"/>
      <c r="GU633" s="6"/>
      <c r="GV633" s="6"/>
      <c r="GW633" s="6"/>
      <c r="GX633" s="6"/>
      <c r="GY633" s="6"/>
      <c r="GZ633" s="6"/>
      <c r="HA633" s="6"/>
      <c r="HB633" s="6"/>
      <c r="HC633" s="6"/>
      <c r="HD633" s="6"/>
      <c r="HE633" s="6"/>
      <c r="HF633" s="6"/>
      <c r="HG633" s="6"/>
      <c r="HH633" s="6"/>
      <c r="HI633" s="6"/>
      <c r="HJ633" s="6"/>
      <c r="HK633" s="6"/>
      <c r="HL633" s="6"/>
      <c r="HM633" s="6"/>
      <c r="HN633" s="6"/>
      <c r="HO633" s="6"/>
      <c r="HP633" s="6"/>
      <c r="HQ633" s="6"/>
      <c r="HR633" s="6"/>
      <c r="HS633" s="6"/>
      <c r="HT633" s="6"/>
      <c r="HU633" s="6"/>
    </row>
    <row r="634" spans="74:229">
      <c r="BV634" s="6"/>
      <c r="BW634" s="6"/>
      <c r="BX634" s="6"/>
      <c r="BY634" s="6"/>
      <c r="BZ634" s="6"/>
      <c r="CA634" s="6"/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  <c r="CP634" s="6"/>
      <c r="CQ634" s="6"/>
      <c r="CR634" s="6"/>
      <c r="CS634" s="6"/>
      <c r="CT634" s="6"/>
      <c r="CU634" s="6"/>
      <c r="CV634" s="6"/>
      <c r="CW634" s="6"/>
      <c r="CX634" s="6"/>
      <c r="CY634" s="6"/>
      <c r="CZ634" s="6"/>
      <c r="DA634" s="6"/>
      <c r="DB634" s="6"/>
      <c r="DC634" s="6"/>
      <c r="DD634" s="6"/>
      <c r="DE634" s="6"/>
      <c r="DF634" s="6"/>
      <c r="DG634" s="6"/>
      <c r="DH634" s="6"/>
      <c r="DI634" s="6"/>
      <c r="DJ634" s="6"/>
      <c r="DK634" s="6"/>
      <c r="DL634" s="6"/>
      <c r="DM634" s="6"/>
      <c r="DN634" s="6"/>
      <c r="DO634" s="6"/>
      <c r="DP634" s="6"/>
      <c r="DQ634" s="6"/>
      <c r="DR634" s="6"/>
      <c r="DS634" s="6"/>
      <c r="DT634" s="6"/>
      <c r="DU634" s="6"/>
      <c r="DV634" s="6"/>
      <c r="DW634" s="6"/>
      <c r="DX634" s="6"/>
      <c r="DY634" s="6"/>
      <c r="DZ634" s="6"/>
      <c r="EA634" s="6"/>
      <c r="EB634" s="6"/>
      <c r="EC634" s="6"/>
      <c r="ED634" s="6"/>
      <c r="EE634" s="6"/>
      <c r="EF634" s="6"/>
      <c r="EG634" s="6"/>
      <c r="EH634" s="6"/>
      <c r="EI634" s="6"/>
      <c r="EJ634" s="6"/>
      <c r="EK634" s="6"/>
      <c r="EL634" s="6"/>
      <c r="EM634" s="6"/>
      <c r="EN634" s="6"/>
      <c r="EO634" s="6"/>
      <c r="EP634" s="6"/>
      <c r="EQ634" s="6"/>
      <c r="ER634" s="6"/>
      <c r="ES634" s="6"/>
      <c r="ET634" s="6"/>
      <c r="EU634" s="6"/>
      <c r="EV634" s="6"/>
      <c r="EW634" s="6"/>
      <c r="EX634" s="6"/>
      <c r="EY634" s="6"/>
      <c r="EZ634" s="6"/>
      <c r="FA634" s="6"/>
      <c r="FB634" s="6"/>
      <c r="FC634" s="6"/>
      <c r="FD634" s="6"/>
      <c r="FE634" s="6"/>
      <c r="FF634" s="6"/>
      <c r="FG634" s="6"/>
      <c r="FH634" s="6"/>
      <c r="FI634" s="6"/>
      <c r="FJ634" s="6"/>
      <c r="FK634" s="6"/>
      <c r="FL634" s="6"/>
      <c r="FM634" s="6"/>
      <c r="FN634" s="6"/>
      <c r="FO634" s="6"/>
      <c r="FP634" s="6"/>
      <c r="FQ634" s="6"/>
      <c r="FR634" s="6"/>
      <c r="FS634" s="6"/>
      <c r="FT634" s="6"/>
      <c r="FU634" s="6"/>
      <c r="FV634" s="6"/>
      <c r="FW634" s="6"/>
      <c r="FX634" s="6"/>
      <c r="FY634" s="6"/>
      <c r="FZ634" s="6"/>
      <c r="GA634" s="6"/>
      <c r="GB634" s="6"/>
      <c r="GC634" s="6"/>
      <c r="GD634" s="6"/>
      <c r="GE634" s="6"/>
      <c r="GF634" s="6"/>
      <c r="GG634" s="6"/>
      <c r="GH634" s="6"/>
      <c r="GI634" s="6"/>
      <c r="GJ634" s="6"/>
      <c r="GK634" s="6"/>
      <c r="GL634" s="6"/>
      <c r="GM634" s="6"/>
      <c r="GN634" s="6"/>
      <c r="GO634" s="6"/>
      <c r="GP634" s="6"/>
      <c r="GQ634" s="6"/>
      <c r="GR634" s="6"/>
      <c r="GS634" s="6"/>
      <c r="GT634" s="6"/>
      <c r="GU634" s="6"/>
      <c r="GV634" s="6"/>
      <c r="GW634" s="6"/>
      <c r="GX634" s="6"/>
      <c r="GY634" s="6"/>
      <c r="GZ634" s="6"/>
      <c r="HA634" s="6"/>
      <c r="HB634" s="6"/>
      <c r="HC634" s="6"/>
      <c r="HD634" s="6"/>
      <c r="HE634" s="6"/>
      <c r="HF634" s="6"/>
      <c r="HG634" s="6"/>
      <c r="HH634" s="6"/>
      <c r="HI634" s="6"/>
      <c r="HJ634" s="6"/>
      <c r="HK634" s="6"/>
      <c r="HL634" s="6"/>
      <c r="HM634" s="6"/>
      <c r="HN634" s="6"/>
      <c r="HO634" s="6"/>
      <c r="HP634" s="6"/>
      <c r="HQ634" s="6"/>
      <c r="HR634" s="6"/>
      <c r="HS634" s="6"/>
      <c r="HT634" s="6"/>
      <c r="HU634" s="6"/>
    </row>
    <row r="635" spans="74:229"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  <c r="CP635" s="6"/>
      <c r="CQ635" s="6"/>
      <c r="CR635" s="6"/>
      <c r="CS635" s="6"/>
      <c r="CT635" s="6"/>
      <c r="CU635" s="6"/>
      <c r="CV635" s="6"/>
      <c r="CW635" s="6"/>
      <c r="CX635" s="6"/>
      <c r="CY635" s="6"/>
      <c r="CZ635" s="6"/>
      <c r="DA635" s="6"/>
      <c r="DB635" s="6"/>
      <c r="DC635" s="6"/>
      <c r="DD635" s="6"/>
      <c r="DE635" s="6"/>
      <c r="DF635" s="6"/>
      <c r="DG635" s="6"/>
      <c r="DH635" s="6"/>
      <c r="DI635" s="6"/>
      <c r="DJ635" s="6"/>
      <c r="DK635" s="6"/>
      <c r="DL635" s="6"/>
      <c r="DM635" s="6"/>
      <c r="DN635" s="6"/>
      <c r="DO635" s="6"/>
      <c r="DP635" s="6"/>
      <c r="DQ635" s="6"/>
      <c r="DR635" s="6"/>
      <c r="DS635" s="6"/>
      <c r="DT635" s="6"/>
      <c r="DU635" s="6"/>
      <c r="DV635" s="6"/>
      <c r="DW635" s="6"/>
      <c r="DX635" s="6"/>
      <c r="DY635" s="6"/>
      <c r="DZ635" s="6"/>
      <c r="EA635" s="6"/>
      <c r="EB635" s="6"/>
      <c r="EC635" s="6"/>
      <c r="ED635" s="6"/>
      <c r="EE635" s="6"/>
      <c r="EF635" s="6"/>
      <c r="EG635" s="6"/>
      <c r="EH635" s="6"/>
      <c r="EI635" s="6"/>
      <c r="EJ635" s="6"/>
      <c r="EK635" s="6"/>
      <c r="EL635" s="6"/>
      <c r="EM635" s="6"/>
      <c r="EN635" s="6"/>
      <c r="EO635" s="6"/>
      <c r="EP635" s="6"/>
      <c r="EQ635" s="6"/>
      <c r="ER635" s="6"/>
      <c r="ES635" s="6"/>
      <c r="ET635" s="6"/>
      <c r="EU635" s="6"/>
      <c r="EV635" s="6"/>
      <c r="EW635" s="6"/>
      <c r="EX635" s="6"/>
      <c r="EY635" s="6"/>
      <c r="EZ635" s="6"/>
      <c r="FA635" s="6"/>
      <c r="FB635" s="6"/>
      <c r="FC635" s="6"/>
      <c r="FD635" s="6"/>
      <c r="FE635" s="6"/>
      <c r="FF635" s="6"/>
      <c r="FG635" s="6"/>
      <c r="FH635" s="6"/>
      <c r="FI635" s="6"/>
      <c r="FJ635" s="6"/>
      <c r="FK635" s="6"/>
      <c r="FL635" s="6"/>
      <c r="FM635" s="6"/>
      <c r="FN635" s="6"/>
      <c r="FO635" s="6"/>
      <c r="FP635" s="6"/>
      <c r="FQ635" s="6"/>
      <c r="FR635" s="6"/>
      <c r="FS635" s="6"/>
      <c r="FT635" s="6"/>
      <c r="FU635" s="6"/>
      <c r="FV635" s="6"/>
      <c r="FW635" s="6"/>
      <c r="FX635" s="6"/>
      <c r="FY635" s="6"/>
      <c r="FZ635" s="6"/>
      <c r="GA635" s="6"/>
      <c r="GB635" s="6"/>
      <c r="GC635" s="6"/>
      <c r="GD635" s="6"/>
      <c r="GE635" s="6"/>
      <c r="GF635" s="6"/>
      <c r="GG635" s="6"/>
      <c r="GH635" s="6"/>
      <c r="GI635" s="6"/>
      <c r="GJ635" s="6"/>
      <c r="GK635" s="6"/>
      <c r="GL635" s="6"/>
      <c r="GM635" s="6"/>
      <c r="GN635" s="6"/>
      <c r="GO635" s="6"/>
      <c r="GP635" s="6"/>
      <c r="GQ635" s="6"/>
      <c r="GR635" s="6"/>
      <c r="GS635" s="6"/>
      <c r="GT635" s="6"/>
      <c r="GU635" s="6"/>
      <c r="GV635" s="6"/>
      <c r="GW635" s="6"/>
      <c r="GX635" s="6"/>
      <c r="GY635" s="6"/>
      <c r="GZ635" s="6"/>
      <c r="HA635" s="6"/>
      <c r="HB635" s="6"/>
      <c r="HC635" s="6"/>
      <c r="HD635" s="6"/>
      <c r="HE635" s="6"/>
      <c r="HF635" s="6"/>
      <c r="HG635" s="6"/>
      <c r="HH635" s="6"/>
      <c r="HI635" s="6"/>
      <c r="HJ635" s="6"/>
      <c r="HK635" s="6"/>
      <c r="HL635" s="6"/>
      <c r="HM635" s="6"/>
      <c r="HN635" s="6"/>
      <c r="HO635" s="6"/>
      <c r="HP635" s="6"/>
      <c r="HQ635" s="6"/>
      <c r="HR635" s="6"/>
      <c r="HS635" s="6"/>
      <c r="HT635" s="6"/>
      <c r="HU635" s="6"/>
    </row>
    <row r="636" spans="74:229"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  <c r="CP636" s="6"/>
      <c r="CQ636" s="6"/>
      <c r="CR636" s="6"/>
      <c r="CS636" s="6"/>
      <c r="CT636" s="6"/>
      <c r="CU636" s="6"/>
      <c r="CV636" s="6"/>
      <c r="CW636" s="6"/>
      <c r="CX636" s="6"/>
      <c r="CY636" s="6"/>
      <c r="CZ636" s="6"/>
      <c r="DA636" s="6"/>
      <c r="DB636" s="6"/>
      <c r="DC636" s="6"/>
      <c r="DD636" s="6"/>
      <c r="DE636" s="6"/>
      <c r="DF636" s="6"/>
      <c r="DG636" s="6"/>
      <c r="DH636" s="6"/>
      <c r="DI636" s="6"/>
      <c r="DJ636" s="6"/>
      <c r="DK636" s="6"/>
      <c r="DL636" s="6"/>
      <c r="DM636" s="6"/>
      <c r="DN636" s="6"/>
      <c r="DO636" s="6"/>
      <c r="DP636" s="6"/>
      <c r="DQ636" s="6"/>
      <c r="DR636" s="6"/>
      <c r="DS636" s="6"/>
      <c r="DT636" s="6"/>
      <c r="DU636" s="6"/>
      <c r="DV636" s="6"/>
      <c r="DW636" s="6"/>
      <c r="DX636" s="6"/>
      <c r="DY636" s="6"/>
      <c r="DZ636" s="6"/>
      <c r="EA636" s="6"/>
      <c r="EB636" s="6"/>
      <c r="EC636" s="6"/>
      <c r="ED636" s="6"/>
      <c r="EE636" s="6"/>
      <c r="EF636" s="6"/>
      <c r="EG636" s="6"/>
      <c r="EH636" s="6"/>
      <c r="EI636" s="6"/>
      <c r="EJ636" s="6"/>
      <c r="EK636" s="6"/>
      <c r="EL636" s="6"/>
      <c r="EM636" s="6"/>
      <c r="EN636" s="6"/>
      <c r="EO636" s="6"/>
      <c r="EP636" s="6"/>
      <c r="EQ636" s="6"/>
      <c r="ER636" s="6"/>
      <c r="ES636" s="6"/>
      <c r="ET636" s="6"/>
      <c r="EU636" s="6"/>
      <c r="EV636" s="6"/>
      <c r="EW636" s="6"/>
      <c r="EX636" s="6"/>
      <c r="EY636" s="6"/>
      <c r="EZ636" s="6"/>
      <c r="FA636" s="6"/>
      <c r="FB636" s="6"/>
      <c r="FC636" s="6"/>
      <c r="FD636" s="6"/>
      <c r="FE636" s="6"/>
      <c r="FF636" s="6"/>
      <c r="FG636" s="6"/>
      <c r="FH636" s="6"/>
      <c r="FI636" s="6"/>
      <c r="FJ636" s="6"/>
      <c r="FK636" s="6"/>
      <c r="FL636" s="6"/>
      <c r="FM636" s="6"/>
      <c r="FN636" s="6"/>
      <c r="FO636" s="6"/>
      <c r="FP636" s="6"/>
      <c r="FQ636" s="6"/>
      <c r="FR636" s="6"/>
      <c r="FS636" s="6"/>
      <c r="FT636" s="6"/>
      <c r="FU636" s="6"/>
      <c r="FV636" s="6"/>
      <c r="FW636" s="6"/>
      <c r="FX636" s="6"/>
      <c r="FY636" s="6"/>
      <c r="FZ636" s="6"/>
      <c r="GA636" s="6"/>
      <c r="GB636" s="6"/>
      <c r="GC636" s="6"/>
      <c r="GD636" s="6"/>
      <c r="GE636" s="6"/>
      <c r="GF636" s="6"/>
      <c r="GG636" s="6"/>
      <c r="GH636" s="6"/>
      <c r="GI636" s="6"/>
      <c r="GJ636" s="6"/>
      <c r="GK636" s="6"/>
      <c r="GL636" s="6"/>
      <c r="GM636" s="6"/>
      <c r="GN636" s="6"/>
      <c r="GO636" s="6"/>
      <c r="GP636" s="6"/>
      <c r="GQ636" s="6"/>
      <c r="GR636" s="6"/>
      <c r="GS636" s="6"/>
      <c r="GT636" s="6"/>
      <c r="GU636" s="6"/>
      <c r="GV636" s="6"/>
      <c r="GW636" s="6"/>
      <c r="GX636" s="6"/>
      <c r="GY636" s="6"/>
      <c r="GZ636" s="6"/>
      <c r="HA636" s="6"/>
      <c r="HB636" s="6"/>
      <c r="HC636" s="6"/>
      <c r="HD636" s="6"/>
      <c r="HE636" s="6"/>
      <c r="HF636" s="6"/>
      <c r="HG636" s="6"/>
      <c r="HH636" s="6"/>
      <c r="HI636" s="6"/>
      <c r="HJ636" s="6"/>
      <c r="HK636" s="6"/>
      <c r="HL636" s="6"/>
      <c r="HM636" s="6"/>
      <c r="HN636" s="6"/>
      <c r="HO636" s="6"/>
      <c r="HP636" s="6"/>
      <c r="HQ636" s="6"/>
      <c r="HR636" s="6"/>
      <c r="HS636" s="6"/>
      <c r="HT636" s="6"/>
      <c r="HU636" s="6"/>
    </row>
    <row r="637" spans="74:229"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  <c r="CP637" s="6"/>
      <c r="CQ637" s="6"/>
      <c r="CR637" s="6"/>
      <c r="CS637" s="6"/>
      <c r="CT637" s="6"/>
      <c r="CU637" s="6"/>
      <c r="CV637" s="6"/>
      <c r="CW637" s="6"/>
      <c r="CX637" s="6"/>
      <c r="CY637" s="6"/>
      <c r="CZ637" s="6"/>
      <c r="DA637" s="6"/>
      <c r="DB637" s="6"/>
      <c r="DC637" s="6"/>
      <c r="DD637" s="6"/>
      <c r="DE637" s="6"/>
      <c r="DF637" s="6"/>
      <c r="DG637" s="6"/>
      <c r="DH637" s="6"/>
      <c r="DI637" s="6"/>
      <c r="DJ637" s="6"/>
      <c r="DK637" s="6"/>
      <c r="DL637" s="6"/>
      <c r="DM637" s="6"/>
      <c r="DN637" s="6"/>
      <c r="DO637" s="6"/>
      <c r="DP637" s="6"/>
      <c r="DQ637" s="6"/>
      <c r="DR637" s="6"/>
      <c r="DS637" s="6"/>
      <c r="DT637" s="6"/>
      <c r="DU637" s="6"/>
      <c r="DV637" s="6"/>
      <c r="DW637" s="6"/>
      <c r="DX637" s="6"/>
      <c r="DY637" s="6"/>
      <c r="DZ637" s="6"/>
      <c r="EA637" s="6"/>
      <c r="EB637" s="6"/>
      <c r="EC637" s="6"/>
      <c r="ED637" s="6"/>
      <c r="EE637" s="6"/>
      <c r="EF637" s="6"/>
      <c r="EG637" s="6"/>
      <c r="EH637" s="6"/>
      <c r="EI637" s="6"/>
      <c r="EJ637" s="6"/>
      <c r="EK637" s="6"/>
      <c r="EL637" s="6"/>
      <c r="EM637" s="6"/>
      <c r="EN637" s="6"/>
      <c r="EO637" s="6"/>
      <c r="EP637" s="6"/>
      <c r="EQ637" s="6"/>
      <c r="ER637" s="6"/>
      <c r="ES637" s="6"/>
      <c r="ET637" s="6"/>
      <c r="EU637" s="6"/>
      <c r="EV637" s="6"/>
      <c r="EW637" s="6"/>
      <c r="EX637" s="6"/>
      <c r="EY637" s="6"/>
      <c r="EZ637" s="6"/>
      <c r="FA637" s="6"/>
      <c r="FB637" s="6"/>
      <c r="FC637" s="6"/>
      <c r="FD637" s="6"/>
      <c r="FE637" s="6"/>
      <c r="FF637" s="6"/>
      <c r="FG637" s="6"/>
      <c r="FH637" s="6"/>
      <c r="FI637" s="6"/>
      <c r="FJ637" s="6"/>
      <c r="FK637" s="6"/>
      <c r="FL637" s="6"/>
      <c r="FM637" s="6"/>
      <c r="FN637" s="6"/>
      <c r="FO637" s="6"/>
      <c r="FP637" s="6"/>
      <c r="FQ637" s="6"/>
      <c r="FR637" s="6"/>
      <c r="FS637" s="6"/>
      <c r="FT637" s="6"/>
      <c r="FU637" s="6"/>
      <c r="FV637" s="6"/>
      <c r="FW637" s="6"/>
      <c r="FX637" s="6"/>
      <c r="FY637" s="6"/>
      <c r="FZ637" s="6"/>
      <c r="GA637" s="6"/>
      <c r="GB637" s="6"/>
      <c r="GC637" s="6"/>
      <c r="GD637" s="6"/>
      <c r="GE637" s="6"/>
      <c r="GF637" s="6"/>
      <c r="GG637" s="6"/>
      <c r="GH637" s="6"/>
      <c r="GI637" s="6"/>
      <c r="GJ637" s="6"/>
      <c r="GK637" s="6"/>
      <c r="GL637" s="6"/>
      <c r="GM637" s="6"/>
      <c r="GN637" s="6"/>
      <c r="GO637" s="6"/>
      <c r="GP637" s="6"/>
      <c r="GQ637" s="6"/>
      <c r="GR637" s="6"/>
      <c r="GS637" s="6"/>
      <c r="GT637" s="6"/>
      <c r="GU637" s="6"/>
      <c r="GV637" s="6"/>
      <c r="GW637" s="6"/>
      <c r="GX637" s="6"/>
      <c r="GY637" s="6"/>
      <c r="GZ637" s="6"/>
      <c r="HA637" s="6"/>
      <c r="HB637" s="6"/>
      <c r="HC637" s="6"/>
      <c r="HD637" s="6"/>
      <c r="HE637" s="6"/>
      <c r="HF637" s="6"/>
      <c r="HG637" s="6"/>
      <c r="HH637" s="6"/>
      <c r="HI637" s="6"/>
      <c r="HJ637" s="6"/>
      <c r="HK637" s="6"/>
      <c r="HL637" s="6"/>
      <c r="HM637" s="6"/>
      <c r="HN637" s="6"/>
      <c r="HO637" s="6"/>
      <c r="HP637" s="6"/>
      <c r="HQ637" s="6"/>
      <c r="HR637" s="6"/>
      <c r="HS637" s="6"/>
      <c r="HT637" s="6"/>
      <c r="HU637" s="6"/>
    </row>
    <row r="638" spans="74:229"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  <c r="CP638" s="6"/>
      <c r="CQ638" s="6"/>
      <c r="CR638" s="6"/>
      <c r="CS638" s="6"/>
      <c r="CT638" s="6"/>
      <c r="CU638" s="6"/>
      <c r="CV638" s="6"/>
      <c r="CW638" s="6"/>
      <c r="CX638" s="6"/>
      <c r="CY638" s="6"/>
      <c r="CZ638" s="6"/>
      <c r="DA638" s="6"/>
      <c r="DB638" s="6"/>
      <c r="DC638" s="6"/>
      <c r="DD638" s="6"/>
      <c r="DE638" s="6"/>
      <c r="DF638" s="6"/>
      <c r="DG638" s="6"/>
      <c r="DH638" s="6"/>
      <c r="DI638" s="6"/>
      <c r="DJ638" s="6"/>
      <c r="DK638" s="6"/>
      <c r="DL638" s="6"/>
      <c r="DM638" s="6"/>
      <c r="DN638" s="6"/>
      <c r="DO638" s="6"/>
      <c r="DP638" s="6"/>
      <c r="DQ638" s="6"/>
      <c r="DR638" s="6"/>
      <c r="DS638" s="6"/>
      <c r="DT638" s="6"/>
      <c r="DU638" s="6"/>
      <c r="DV638" s="6"/>
      <c r="DW638" s="6"/>
      <c r="DX638" s="6"/>
      <c r="DY638" s="6"/>
      <c r="DZ638" s="6"/>
      <c r="EA638" s="6"/>
      <c r="EB638" s="6"/>
      <c r="EC638" s="6"/>
      <c r="ED638" s="6"/>
      <c r="EE638" s="6"/>
      <c r="EF638" s="6"/>
      <c r="EG638" s="6"/>
      <c r="EH638" s="6"/>
      <c r="EI638" s="6"/>
      <c r="EJ638" s="6"/>
      <c r="EK638" s="6"/>
      <c r="EL638" s="6"/>
      <c r="EM638" s="6"/>
      <c r="EN638" s="6"/>
      <c r="EO638" s="6"/>
      <c r="EP638" s="6"/>
      <c r="EQ638" s="6"/>
      <c r="ER638" s="6"/>
      <c r="ES638" s="6"/>
      <c r="ET638" s="6"/>
      <c r="EU638" s="6"/>
      <c r="EV638" s="6"/>
      <c r="EW638" s="6"/>
      <c r="EX638" s="6"/>
      <c r="EY638" s="6"/>
      <c r="EZ638" s="6"/>
      <c r="FA638" s="6"/>
      <c r="FB638" s="6"/>
      <c r="FC638" s="6"/>
      <c r="FD638" s="6"/>
      <c r="FE638" s="6"/>
      <c r="FF638" s="6"/>
      <c r="FG638" s="6"/>
      <c r="FH638" s="6"/>
      <c r="FI638" s="6"/>
      <c r="FJ638" s="6"/>
      <c r="FK638" s="6"/>
      <c r="FL638" s="6"/>
      <c r="FM638" s="6"/>
      <c r="FN638" s="6"/>
      <c r="FO638" s="6"/>
      <c r="FP638" s="6"/>
      <c r="FQ638" s="6"/>
      <c r="FR638" s="6"/>
      <c r="FS638" s="6"/>
      <c r="FT638" s="6"/>
      <c r="FU638" s="6"/>
      <c r="FV638" s="6"/>
      <c r="FW638" s="6"/>
      <c r="FX638" s="6"/>
      <c r="FY638" s="6"/>
      <c r="FZ638" s="6"/>
      <c r="GA638" s="6"/>
      <c r="GB638" s="6"/>
      <c r="GC638" s="6"/>
      <c r="GD638" s="6"/>
      <c r="GE638" s="6"/>
      <c r="GF638" s="6"/>
      <c r="GG638" s="6"/>
      <c r="GH638" s="6"/>
      <c r="GI638" s="6"/>
      <c r="GJ638" s="6"/>
      <c r="GK638" s="6"/>
      <c r="GL638" s="6"/>
      <c r="GM638" s="6"/>
      <c r="GN638" s="6"/>
      <c r="GO638" s="6"/>
      <c r="GP638" s="6"/>
      <c r="GQ638" s="6"/>
      <c r="GR638" s="6"/>
      <c r="GS638" s="6"/>
      <c r="GT638" s="6"/>
      <c r="GU638" s="6"/>
      <c r="GV638" s="6"/>
      <c r="GW638" s="6"/>
      <c r="GX638" s="6"/>
      <c r="GY638" s="6"/>
      <c r="GZ638" s="6"/>
      <c r="HA638" s="6"/>
      <c r="HB638" s="6"/>
      <c r="HC638" s="6"/>
      <c r="HD638" s="6"/>
      <c r="HE638" s="6"/>
      <c r="HF638" s="6"/>
      <c r="HG638" s="6"/>
      <c r="HH638" s="6"/>
      <c r="HI638" s="6"/>
      <c r="HJ638" s="6"/>
      <c r="HK638" s="6"/>
      <c r="HL638" s="6"/>
      <c r="HM638" s="6"/>
      <c r="HN638" s="6"/>
      <c r="HO638" s="6"/>
      <c r="HP638" s="6"/>
      <c r="HQ638" s="6"/>
      <c r="HR638" s="6"/>
      <c r="HS638" s="6"/>
      <c r="HT638" s="6"/>
      <c r="HU638" s="6"/>
    </row>
    <row r="639" spans="74:229"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  <c r="CP639" s="6"/>
      <c r="CQ639" s="6"/>
      <c r="CR639" s="6"/>
      <c r="CS639" s="6"/>
      <c r="CT639" s="6"/>
      <c r="CU639" s="6"/>
      <c r="CV639" s="6"/>
      <c r="CW639" s="6"/>
      <c r="CX639" s="6"/>
      <c r="CY639" s="6"/>
      <c r="CZ639" s="6"/>
      <c r="DA639" s="6"/>
      <c r="DB639" s="6"/>
      <c r="DC639" s="6"/>
      <c r="DD639" s="6"/>
      <c r="DE639" s="6"/>
      <c r="DF639" s="6"/>
      <c r="DG639" s="6"/>
      <c r="DH639" s="6"/>
      <c r="DI639" s="6"/>
      <c r="DJ639" s="6"/>
      <c r="DK639" s="6"/>
      <c r="DL639" s="6"/>
      <c r="DM639" s="6"/>
      <c r="DN639" s="6"/>
      <c r="DO639" s="6"/>
      <c r="DP639" s="6"/>
      <c r="DQ639" s="6"/>
      <c r="DR639" s="6"/>
      <c r="DS639" s="6"/>
      <c r="DT639" s="6"/>
      <c r="DU639" s="6"/>
      <c r="DV639" s="6"/>
      <c r="DW639" s="6"/>
      <c r="DX639" s="6"/>
      <c r="DY639" s="6"/>
      <c r="DZ639" s="6"/>
      <c r="EA639" s="6"/>
      <c r="EB639" s="6"/>
      <c r="EC639" s="6"/>
      <c r="ED639" s="6"/>
      <c r="EE639" s="6"/>
      <c r="EF639" s="6"/>
      <c r="EG639" s="6"/>
      <c r="EH639" s="6"/>
      <c r="EI639" s="6"/>
      <c r="EJ639" s="6"/>
      <c r="EK639" s="6"/>
      <c r="EL639" s="6"/>
      <c r="EM639" s="6"/>
      <c r="EN639" s="6"/>
      <c r="EO639" s="6"/>
      <c r="EP639" s="6"/>
      <c r="EQ639" s="6"/>
      <c r="ER639" s="6"/>
      <c r="ES639" s="6"/>
      <c r="ET639" s="6"/>
      <c r="EU639" s="6"/>
      <c r="EV639" s="6"/>
      <c r="EW639" s="6"/>
      <c r="EX639" s="6"/>
      <c r="EY639" s="6"/>
      <c r="EZ639" s="6"/>
      <c r="FA639" s="6"/>
      <c r="FB639" s="6"/>
      <c r="FC639" s="6"/>
      <c r="FD639" s="6"/>
      <c r="FE639" s="6"/>
      <c r="FF639" s="6"/>
      <c r="FG639" s="6"/>
      <c r="FH639" s="6"/>
      <c r="FI639" s="6"/>
      <c r="FJ639" s="6"/>
      <c r="FK639" s="6"/>
      <c r="FL639" s="6"/>
      <c r="FM639" s="6"/>
      <c r="FN639" s="6"/>
      <c r="FO639" s="6"/>
      <c r="FP639" s="6"/>
      <c r="FQ639" s="6"/>
      <c r="FR639" s="6"/>
      <c r="FS639" s="6"/>
      <c r="FT639" s="6"/>
      <c r="FU639" s="6"/>
      <c r="FV639" s="6"/>
      <c r="FW639" s="6"/>
      <c r="FX639" s="6"/>
      <c r="FY639" s="6"/>
      <c r="FZ639" s="6"/>
      <c r="GA639" s="6"/>
      <c r="GB639" s="6"/>
      <c r="GC639" s="6"/>
      <c r="GD639" s="6"/>
      <c r="GE639" s="6"/>
      <c r="GF639" s="6"/>
      <c r="GG639" s="6"/>
      <c r="GH639" s="6"/>
      <c r="GI639" s="6"/>
      <c r="GJ639" s="6"/>
      <c r="GK639" s="6"/>
      <c r="GL639" s="6"/>
      <c r="GM639" s="6"/>
      <c r="GN639" s="6"/>
      <c r="GO639" s="6"/>
      <c r="GP639" s="6"/>
      <c r="GQ639" s="6"/>
      <c r="GR639" s="6"/>
      <c r="GS639" s="6"/>
      <c r="GT639" s="6"/>
      <c r="GU639" s="6"/>
      <c r="GV639" s="6"/>
      <c r="GW639" s="6"/>
      <c r="GX639" s="6"/>
      <c r="GY639" s="6"/>
      <c r="GZ639" s="6"/>
      <c r="HA639" s="6"/>
      <c r="HB639" s="6"/>
      <c r="HC639" s="6"/>
      <c r="HD639" s="6"/>
      <c r="HE639" s="6"/>
      <c r="HF639" s="6"/>
      <c r="HG639" s="6"/>
      <c r="HH639" s="6"/>
      <c r="HI639" s="6"/>
      <c r="HJ639" s="6"/>
      <c r="HK639" s="6"/>
      <c r="HL639" s="6"/>
      <c r="HM639" s="6"/>
      <c r="HN639" s="6"/>
      <c r="HO639" s="6"/>
      <c r="HP639" s="6"/>
      <c r="HQ639" s="6"/>
      <c r="HR639" s="6"/>
      <c r="HS639" s="6"/>
      <c r="HT639" s="6"/>
      <c r="HU639" s="6"/>
    </row>
    <row r="640" spans="74:229"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  <c r="CP640" s="6"/>
      <c r="CQ640" s="6"/>
      <c r="CR640" s="6"/>
      <c r="CS640" s="6"/>
      <c r="CT640" s="6"/>
      <c r="CU640" s="6"/>
      <c r="CV640" s="6"/>
      <c r="CW640" s="6"/>
      <c r="CX640" s="6"/>
      <c r="CY640" s="6"/>
      <c r="CZ640" s="6"/>
      <c r="DA640" s="6"/>
      <c r="DB640" s="6"/>
      <c r="DC640" s="6"/>
      <c r="DD640" s="6"/>
      <c r="DE640" s="6"/>
      <c r="DF640" s="6"/>
      <c r="DG640" s="6"/>
      <c r="DH640" s="6"/>
      <c r="DI640" s="6"/>
      <c r="DJ640" s="6"/>
      <c r="DK640" s="6"/>
      <c r="DL640" s="6"/>
      <c r="DM640" s="6"/>
      <c r="DN640" s="6"/>
      <c r="DO640" s="6"/>
      <c r="DP640" s="6"/>
      <c r="DQ640" s="6"/>
      <c r="DR640" s="6"/>
      <c r="DS640" s="6"/>
      <c r="DT640" s="6"/>
      <c r="DU640" s="6"/>
      <c r="DV640" s="6"/>
      <c r="DW640" s="6"/>
      <c r="DX640" s="6"/>
      <c r="DY640" s="6"/>
      <c r="DZ640" s="6"/>
      <c r="EA640" s="6"/>
      <c r="EB640" s="6"/>
      <c r="EC640" s="6"/>
      <c r="ED640" s="6"/>
      <c r="EE640" s="6"/>
      <c r="EF640" s="6"/>
      <c r="EG640" s="6"/>
      <c r="EH640" s="6"/>
      <c r="EI640" s="6"/>
      <c r="EJ640" s="6"/>
      <c r="EK640" s="6"/>
      <c r="EL640" s="6"/>
      <c r="EM640" s="6"/>
      <c r="EN640" s="6"/>
      <c r="EO640" s="6"/>
      <c r="EP640" s="6"/>
      <c r="EQ640" s="6"/>
      <c r="ER640" s="6"/>
      <c r="ES640" s="6"/>
      <c r="ET640" s="6"/>
      <c r="EU640" s="6"/>
      <c r="EV640" s="6"/>
      <c r="EW640" s="6"/>
      <c r="EX640" s="6"/>
      <c r="EY640" s="6"/>
      <c r="EZ640" s="6"/>
      <c r="FA640" s="6"/>
      <c r="FB640" s="6"/>
      <c r="FC640" s="6"/>
      <c r="FD640" s="6"/>
      <c r="FE640" s="6"/>
      <c r="FF640" s="6"/>
      <c r="FG640" s="6"/>
      <c r="FH640" s="6"/>
      <c r="FI640" s="6"/>
      <c r="FJ640" s="6"/>
      <c r="FK640" s="6"/>
      <c r="FL640" s="6"/>
      <c r="FM640" s="6"/>
      <c r="FN640" s="6"/>
      <c r="FO640" s="6"/>
      <c r="FP640" s="6"/>
      <c r="FQ640" s="6"/>
      <c r="FR640" s="6"/>
      <c r="FS640" s="6"/>
      <c r="FT640" s="6"/>
      <c r="FU640" s="6"/>
      <c r="FV640" s="6"/>
      <c r="FW640" s="6"/>
      <c r="FX640" s="6"/>
      <c r="FY640" s="6"/>
      <c r="FZ640" s="6"/>
      <c r="GA640" s="6"/>
      <c r="GB640" s="6"/>
      <c r="GC640" s="6"/>
      <c r="GD640" s="6"/>
      <c r="GE640" s="6"/>
      <c r="GF640" s="6"/>
      <c r="GG640" s="6"/>
      <c r="GH640" s="6"/>
      <c r="GI640" s="6"/>
      <c r="GJ640" s="6"/>
      <c r="GK640" s="6"/>
      <c r="GL640" s="6"/>
      <c r="GM640" s="6"/>
      <c r="GN640" s="6"/>
      <c r="GO640" s="6"/>
      <c r="GP640" s="6"/>
      <c r="GQ640" s="6"/>
      <c r="GR640" s="6"/>
      <c r="GS640" s="6"/>
      <c r="GT640" s="6"/>
      <c r="GU640" s="6"/>
      <c r="GV640" s="6"/>
      <c r="GW640" s="6"/>
      <c r="GX640" s="6"/>
      <c r="GY640" s="6"/>
      <c r="GZ640" s="6"/>
      <c r="HA640" s="6"/>
      <c r="HB640" s="6"/>
      <c r="HC640" s="6"/>
      <c r="HD640" s="6"/>
      <c r="HE640" s="6"/>
      <c r="HF640" s="6"/>
      <c r="HG640" s="6"/>
      <c r="HH640" s="6"/>
      <c r="HI640" s="6"/>
      <c r="HJ640" s="6"/>
      <c r="HK640" s="6"/>
      <c r="HL640" s="6"/>
      <c r="HM640" s="6"/>
      <c r="HN640" s="6"/>
      <c r="HO640" s="6"/>
      <c r="HP640" s="6"/>
      <c r="HQ640" s="6"/>
      <c r="HR640" s="6"/>
      <c r="HS640" s="6"/>
      <c r="HT640" s="6"/>
      <c r="HU640" s="6"/>
    </row>
    <row r="641" spans="74:229"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  <c r="CP641" s="6"/>
      <c r="CQ641" s="6"/>
      <c r="CR641" s="6"/>
      <c r="CS641" s="6"/>
      <c r="CT641" s="6"/>
      <c r="CU641" s="6"/>
      <c r="CV641" s="6"/>
      <c r="CW641" s="6"/>
      <c r="CX641" s="6"/>
      <c r="CY641" s="6"/>
      <c r="CZ641" s="6"/>
      <c r="DA641" s="6"/>
      <c r="DB641" s="6"/>
      <c r="DC641" s="6"/>
      <c r="DD641" s="6"/>
      <c r="DE641" s="6"/>
      <c r="DF641" s="6"/>
      <c r="DG641" s="6"/>
      <c r="DH641" s="6"/>
      <c r="DI641" s="6"/>
      <c r="DJ641" s="6"/>
      <c r="DK641" s="6"/>
      <c r="DL641" s="6"/>
      <c r="DM641" s="6"/>
      <c r="DN641" s="6"/>
      <c r="DO641" s="6"/>
      <c r="DP641" s="6"/>
      <c r="DQ641" s="6"/>
      <c r="DR641" s="6"/>
      <c r="DS641" s="6"/>
      <c r="DT641" s="6"/>
      <c r="DU641" s="6"/>
      <c r="DV641" s="6"/>
      <c r="DW641" s="6"/>
      <c r="DX641" s="6"/>
      <c r="DY641" s="6"/>
      <c r="DZ641" s="6"/>
      <c r="EA641" s="6"/>
      <c r="EB641" s="6"/>
      <c r="EC641" s="6"/>
      <c r="ED641" s="6"/>
      <c r="EE641" s="6"/>
      <c r="EF641" s="6"/>
      <c r="EG641" s="6"/>
      <c r="EH641" s="6"/>
      <c r="EI641" s="6"/>
      <c r="EJ641" s="6"/>
      <c r="EK641" s="6"/>
      <c r="EL641" s="6"/>
      <c r="EM641" s="6"/>
      <c r="EN641" s="6"/>
      <c r="EO641" s="6"/>
      <c r="EP641" s="6"/>
      <c r="EQ641" s="6"/>
      <c r="ER641" s="6"/>
      <c r="ES641" s="6"/>
      <c r="ET641" s="6"/>
      <c r="EU641" s="6"/>
      <c r="EV641" s="6"/>
      <c r="EW641" s="6"/>
      <c r="EX641" s="6"/>
      <c r="EY641" s="6"/>
      <c r="EZ641" s="6"/>
      <c r="FA641" s="6"/>
      <c r="FB641" s="6"/>
      <c r="FC641" s="6"/>
      <c r="FD641" s="6"/>
      <c r="FE641" s="6"/>
      <c r="FF641" s="6"/>
      <c r="FG641" s="6"/>
      <c r="FH641" s="6"/>
      <c r="FI641" s="6"/>
      <c r="FJ641" s="6"/>
      <c r="FK641" s="6"/>
      <c r="FL641" s="6"/>
      <c r="FM641" s="6"/>
      <c r="FN641" s="6"/>
      <c r="FO641" s="6"/>
      <c r="FP641" s="6"/>
      <c r="FQ641" s="6"/>
      <c r="FR641" s="6"/>
      <c r="FS641" s="6"/>
      <c r="FT641" s="6"/>
      <c r="FU641" s="6"/>
      <c r="FV641" s="6"/>
      <c r="FW641" s="6"/>
      <c r="FX641" s="6"/>
      <c r="FY641" s="6"/>
      <c r="FZ641" s="6"/>
      <c r="GA641" s="6"/>
      <c r="GB641" s="6"/>
      <c r="GC641" s="6"/>
      <c r="GD641" s="6"/>
      <c r="GE641" s="6"/>
      <c r="GF641" s="6"/>
      <c r="GG641" s="6"/>
      <c r="GH641" s="6"/>
      <c r="GI641" s="6"/>
      <c r="GJ641" s="6"/>
      <c r="GK641" s="6"/>
      <c r="GL641" s="6"/>
      <c r="GM641" s="6"/>
      <c r="GN641" s="6"/>
      <c r="GO641" s="6"/>
      <c r="GP641" s="6"/>
      <c r="GQ641" s="6"/>
      <c r="GR641" s="6"/>
      <c r="GS641" s="6"/>
      <c r="GT641" s="6"/>
      <c r="GU641" s="6"/>
      <c r="GV641" s="6"/>
      <c r="GW641" s="6"/>
      <c r="GX641" s="6"/>
      <c r="GY641" s="6"/>
      <c r="GZ641" s="6"/>
      <c r="HA641" s="6"/>
      <c r="HB641" s="6"/>
      <c r="HC641" s="6"/>
      <c r="HD641" s="6"/>
      <c r="HE641" s="6"/>
      <c r="HF641" s="6"/>
      <c r="HG641" s="6"/>
      <c r="HH641" s="6"/>
      <c r="HI641" s="6"/>
      <c r="HJ641" s="6"/>
      <c r="HK641" s="6"/>
      <c r="HL641" s="6"/>
      <c r="HM641" s="6"/>
      <c r="HN641" s="6"/>
      <c r="HO641" s="6"/>
      <c r="HP641" s="6"/>
      <c r="HQ641" s="6"/>
      <c r="HR641" s="6"/>
      <c r="HS641" s="6"/>
      <c r="HT641" s="6"/>
      <c r="HU641" s="6"/>
    </row>
    <row r="642" spans="74:229"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  <c r="CP642" s="6"/>
      <c r="CQ642" s="6"/>
      <c r="CR642" s="6"/>
      <c r="CS642" s="6"/>
      <c r="CT642" s="6"/>
      <c r="CU642" s="6"/>
      <c r="CV642" s="6"/>
      <c r="CW642" s="6"/>
      <c r="CX642" s="6"/>
      <c r="CY642" s="6"/>
      <c r="CZ642" s="6"/>
      <c r="DA642" s="6"/>
      <c r="DB642" s="6"/>
      <c r="DC642" s="6"/>
      <c r="DD642" s="6"/>
      <c r="DE642" s="6"/>
      <c r="DF642" s="6"/>
      <c r="DG642" s="6"/>
      <c r="DH642" s="6"/>
      <c r="DI642" s="6"/>
      <c r="DJ642" s="6"/>
      <c r="DK642" s="6"/>
      <c r="DL642" s="6"/>
      <c r="DM642" s="6"/>
      <c r="DN642" s="6"/>
      <c r="DO642" s="6"/>
      <c r="DP642" s="6"/>
      <c r="DQ642" s="6"/>
      <c r="DR642" s="6"/>
      <c r="DS642" s="6"/>
      <c r="DT642" s="6"/>
      <c r="DU642" s="6"/>
      <c r="DV642" s="6"/>
      <c r="DW642" s="6"/>
      <c r="DX642" s="6"/>
      <c r="DY642" s="6"/>
      <c r="DZ642" s="6"/>
      <c r="EA642" s="6"/>
      <c r="EB642" s="6"/>
      <c r="EC642" s="6"/>
      <c r="ED642" s="6"/>
      <c r="EE642" s="6"/>
      <c r="EF642" s="6"/>
      <c r="EG642" s="6"/>
      <c r="EH642" s="6"/>
      <c r="EI642" s="6"/>
      <c r="EJ642" s="6"/>
      <c r="EK642" s="6"/>
      <c r="EL642" s="6"/>
      <c r="EM642" s="6"/>
      <c r="EN642" s="6"/>
      <c r="EO642" s="6"/>
      <c r="EP642" s="6"/>
      <c r="EQ642" s="6"/>
      <c r="ER642" s="6"/>
      <c r="ES642" s="6"/>
      <c r="ET642" s="6"/>
      <c r="EU642" s="6"/>
      <c r="EV642" s="6"/>
      <c r="EW642" s="6"/>
      <c r="EX642" s="6"/>
      <c r="EY642" s="6"/>
      <c r="EZ642" s="6"/>
      <c r="FA642" s="6"/>
      <c r="FB642" s="6"/>
      <c r="FC642" s="6"/>
      <c r="FD642" s="6"/>
      <c r="FE642" s="6"/>
      <c r="FF642" s="6"/>
      <c r="FG642" s="6"/>
      <c r="FH642" s="6"/>
      <c r="FI642" s="6"/>
      <c r="FJ642" s="6"/>
      <c r="FK642" s="6"/>
      <c r="FL642" s="6"/>
      <c r="FM642" s="6"/>
      <c r="FN642" s="6"/>
      <c r="FO642" s="6"/>
      <c r="FP642" s="6"/>
      <c r="FQ642" s="6"/>
      <c r="FR642" s="6"/>
      <c r="FS642" s="6"/>
      <c r="FT642" s="6"/>
      <c r="FU642" s="6"/>
      <c r="FV642" s="6"/>
      <c r="FW642" s="6"/>
      <c r="FX642" s="6"/>
      <c r="FY642" s="6"/>
      <c r="FZ642" s="6"/>
      <c r="GA642" s="6"/>
      <c r="GB642" s="6"/>
      <c r="GC642" s="6"/>
      <c r="GD642" s="6"/>
      <c r="GE642" s="6"/>
      <c r="GF642" s="6"/>
      <c r="GG642" s="6"/>
      <c r="GH642" s="6"/>
      <c r="GI642" s="6"/>
      <c r="GJ642" s="6"/>
      <c r="GK642" s="6"/>
      <c r="GL642" s="6"/>
      <c r="GM642" s="6"/>
      <c r="GN642" s="6"/>
      <c r="GO642" s="6"/>
      <c r="GP642" s="6"/>
      <c r="GQ642" s="6"/>
      <c r="GR642" s="6"/>
      <c r="GS642" s="6"/>
      <c r="GT642" s="6"/>
      <c r="GU642" s="6"/>
      <c r="GV642" s="6"/>
      <c r="GW642" s="6"/>
      <c r="GX642" s="6"/>
      <c r="GY642" s="6"/>
      <c r="GZ642" s="6"/>
      <c r="HA642" s="6"/>
      <c r="HB642" s="6"/>
      <c r="HC642" s="6"/>
      <c r="HD642" s="6"/>
      <c r="HE642" s="6"/>
      <c r="HF642" s="6"/>
      <c r="HG642" s="6"/>
      <c r="HH642" s="6"/>
      <c r="HI642" s="6"/>
      <c r="HJ642" s="6"/>
      <c r="HK642" s="6"/>
      <c r="HL642" s="6"/>
      <c r="HM642" s="6"/>
      <c r="HN642" s="6"/>
      <c r="HO642" s="6"/>
      <c r="HP642" s="6"/>
      <c r="HQ642" s="6"/>
      <c r="HR642" s="6"/>
      <c r="HS642" s="6"/>
      <c r="HT642" s="6"/>
      <c r="HU642" s="6"/>
    </row>
    <row r="643" spans="74:229">
      <c r="BV643" s="6"/>
      <c r="BW643" s="6"/>
      <c r="BX643" s="6"/>
      <c r="BY643" s="6"/>
      <c r="BZ643" s="6"/>
      <c r="CA643" s="6"/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  <c r="CP643" s="6"/>
      <c r="CQ643" s="6"/>
      <c r="CR643" s="6"/>
      <c r="CS643" s="6"/>
      <c r="CT643" s="6"/>
      <c r="CU643" s="6"/>
      <c r="CV643" s="6"/>
      <c r="CW643" s="6"/>
      <c r="CX643" s="6"/>
      <c r="CY643" s="6"/>
      <c r="CZ643" s="6"/>
      <c r="DA643" s="6"/>
      <c r="DB643" s="6"/>
      <c r="DC643" s="6"/>
      <c r="DD643" s="6"/>
      <c r="DE643" s="6"/>
      <c r="DF643" s="6"/>
      <c r="DG643" s="6"/>
      <c r="DH643" s="6"/>
      <c r="DI643" s="6"/>
      <c r="DJ643" s="6"/>
      <c r="DK643" s="6"/>
      <c r="DL643" s="6"/>
      <c r="DM643" s="6"/>
      <c r="DN643" s="6"/>
      <c r="DO643" s="6"/>
      <c r="DP643" s="6"/>
      <c r="DQ643" s="6"/>
      <c r="DR643" s="6"/>
      <c r="DS643" s="6"/>
      <c r="DT643" s="6"/>
      <c r="DU643" s="6"/>
      <c r="DV643" s="6"/>
      <c r="DW643" s="6"/>
      <c r="DX643" s="6"/>
      <c r="DY643" s="6"/>
      <c r="DZ643" s="6"/>
      <c r="EA643" s="6"/>
      <c r="EB643" s="6"/>
      <c r="EC643" s="6"/>
      <c r="ED643" s="6"/>
      <c r="EE643" s="6"/>
      <c r="EF643" s="6"/>
      <c r="EG643" s="6"/>
      <c r="EH643" s="6"/>
      <c r="EI643" s="6"/>
      <c r="EJ643" s="6"/>
      <c r="EK643" s="6"/>
      <c r="EL643" s="6"/>
      <c r="EM643" s="6"/>
      <c r="EN643" s="6"/>
      <c r="EO643" s="6"/>
      <c r="EP643" s="6"/>
      <c r="EQ643" s="6"/>
      <c r="ER643" s="6"/>
      <c r="ES643" s="6"/>
      <c r="ET643" s="6"/>
      <c r="EU643" s="6"/>
      <c r="EV643" s="6"/>
      <c r="EW643" s="6"/>
      <c r="EX643" s="6"/>
      <c r="EY643" s="6"/>
      <c r="EZ643" s="6"/>
      <c r="FA643" s="6"/>
      <c r="FB643" s="6"/>
      <c r="FC643" s="6"/>
      <c r="FD643" s="6"/>
      <c r="FE643" s="6"/>
      <c r="FF643" s="6"/>
      <c r="FG643" s="6"/>
      <c r="FH643" s="6"/>
      <c r="FI643" s="6"/>
      <c r="FJ643" s="6"/>
      <c r="FK643" s="6"/>
      <c r="FL643" s="6"/>
      <c r="FM643" s="6"/>
      <c r="FN643" s="6"/>
      <c r="FO643" s="6"/>
      <c r="FP643" s="6"/>
      <c r="FQ643" s="6"/>
      <c r="FR643" s="6"/>
      <c r="FS643" s="6"/>
      <c r="FT643" s="6"/>
      <c r="FU643" s="6"/>
      <c r="FV643" s="6"/>
      <c r="FW643" s="6"/>
      <c r="FX643" s="6"/>
      <c r="FY643" s="6"/>
      <c r="FZ643" s="6"/>
      <c r="GA643" s="6"/>
      <c r="GB643" s="6"/>
      <c r="GC643" s="6"/>
      <c r="GD643" s="6"/>
      <c r="GE643" s="6"/>
      <c r="GF643" s="6"/>
      <c r="GG643" s="6"/>
      <c r="GH643" s="6"/>
      <c r="GI643" s="6"/>
      <c r="GJ643" s="6"/>
      <c r="GK643" s="6"/>
      <c r="GL643" s="6"/>
      <c r="GM643" s="6"/>
      <c r="GN643" s="6"/>
      <c r="GO643" s="6"/>
      <c r="GP643" s="6"/>
      <c r="GQ643" s="6"/>
      <c r="GR643" s="6"/>
      <c r="GS643" s="6"/>
      <c r="GT643" s="6"/>
      <c r="GU643" s="6"/>
      <c r="GV643" s="6"/>
      <c r="GW643" s="6"/>
      <c r="GX643" s="6"/>
      <c r="GY643" s="6"/>
      <c r="GZ643" s="6"/>
      <c r="HA643" s="6"/>
      <c r="HB643" s="6"/>
      <c r="HC643" s="6"/>
      <c r="HD643" s="6"/>
      <c r="HE643" s="6"/>
      <c r="HF643" s="6"/>
      <c r="HG643" s="6"/>
      <c r="HH643" s="6"/>
      <c r="HI643" s="6"/>
      <c r="HJ643" s="6"/>
      <c r="HK643" s="6"/>
      <c r="HL643" s="6"/>
      <c r="HM643" s="6"/>
      <c r="HN643" s="6"/>
      <c r="HO643" s="6"/>
      <c r="HP643" s="6"/>
      <c r="HQ643" s="6"/>
      <c r="HR643" s="6"/>
      <c r="HS643" s="6"/>
      <c r="HT643" s="6"/>
      <c r="HU643" s="6"/>
    </row>
    <row r="644" spans="74:229"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  <c r="CP644" s="6"/>
      <c r="CQ644" s="6"/>
      <c r="CR644" s="6"/>
      <c r="CS644" s="6"/>
      <c r="CT644" s="6"/>
      <c r="CU644" s="6"/>
      <c r="CV644" s="6"/>
      <c r="CW644" s="6"/>
      <c r="CX644" s="6"/>
      <c r="CY644" s="6"/>
      <c r="CZ644" s="6"/>
      <c r="DA644" s="6"/>
      <c r="DB644" s="6"/>
      <c r="DC644" s="6"/>
      <c r="DD644" s="6"/>
      <c r="DE644" s="6"/>
      <c r="DF644" s="6"/>
      <c r="DG644" s="6"/>
      <c r="DH644" s="6"/>
      <c r="DI644" s="6"/>
      <c r="DJ644" s="6"/>
      <c r="DK644" s="6"/>
      <c r="DL644" s="6"/>
      <c r="DM644" s="6"/>
      <c r="DN644" s="6"/>
      <c r="DO644" s="6"/>
      <c r="DP644" s="6"/>
      <c r="DQ644" s="6"/>
      <c r="DR644" s="6"/>
      <c r="DS644" s="6"/>
      <c r="DT644" s="6"/>
      <c r="DU644" s="6"/>
      <c r="DV644" s="6"/>
      <c r="DW644" s="6"/>
      <c r="DX644" s="6"/>
      <c r="DY644" s="6"/>
      <c r="DZ644" s="6"/>
      <c r="EA644" s="6"/>
      <c r="EB644" s="6"/>
      <c r="EC644" s="6"/>
      <c r="ED644" s="6"/>
      <c r="EE644" s="6"/>
      <c r="EF644" s="6"/>
      <c r="EG644" s="6"/>
      <c r="EH644" s="6"/>
      <c r="EI644" s="6"/>
      <c r="EJ644" s="6"/>
      <c r="EK644" s="6"/>
      <c r="EL644" s="6"/>
      <c r="EM644" s="6"/>
      <c r="EN644" s="6"/>
      <c r="EO644" s="6"/>
      <c r="EP644" s="6"/>
      <c r="EQ644" s="6"/>
      <c r="ER644" s="6"/>
      <c r="ES644" s="6"/>
      <c r="ET644" s="6"/>
      <c r="EU644" s="6"/>
      <c r="EV644" s="6"/>
      <c r="EW644" s="6"/>
      <c r="EX644" s="6"/>
      <c r="EY644" s="6"/>
      <c r="EZ644" s="6"/>
      <c r="FA644" s="6"/>
      <c r="FB644" s="6"/>
      <c r="FC644" s="6"/>
      <c r="FD644" s="6"/>
      <c r="FE644" s="6"/>
      <c r="FF644" s="6"/>
      <c r="FG644" s="6"/>
      <c r="FH644" s="6"/>
      <c r="FI644" s="6"/>
      <c r="FJ644" s="6"/>
      <c r="FK644" s="6"/>
      <c r="FL644" s="6"/>
      <c r="FM644" s="6"/>
      <c r="FN644" s="6"/>
      <c r="FO644" s="6"/>
      <c r="FP644" s="6"/>
      <c r="FQ644" s="6"/>
      <c r="FR644" s="6"/>
      <c r="FS644" s="6"/>
      <c r="FT644" s="6"/>
      <c r="FU644" s="6"/>
      <c r="FV644" s="6"/>
      <c r="FW644" s="6"/>
      <c r="FX644" s="6"/>
      <c r="FY644" s="6"/>
      <c r="FZ644" s="6"/>
      <c r="GA644" s="6"/>
      <c r="GB644" s="6"/>
      <c r="GC644" s="6"/>
      <c r="GD644" s="6"/>
      <c r="GE644" s="6"/>
      <c r="GF644" s="6"/>
      <c r="GG644" s="6"/>
      <c r="GH644" s="6"/>
      <c r="GI644" s="6"/>
      <c r="GJ644" s="6"/>
      <c r="GK644" s="6"/>
      <c r="GL644" s="6"/>
      <c r="GM644" s="6"/>
      <c r="GN644" s="6"/>
      <c r="GO644" s="6"/>
      <c r="GP644" s="6"/>
      <c r="GQ644" s="6"/>
      <c r="GR644" s="6"/>
      <c r="GS644" s="6"/>
      <c r="GT644" s="6"/>
      <c r="GU644" s="6"/>
      <c r="GV644" s="6"/>
      <c r="GW644" s="6"/>
      <c r="GX644" s="6"/>
      <c r="GY644" s="6"/>
      <c r="GZ644" s="6"/>
      <c r="HA644" s="6"/>
      <c r="HB644" s="6"/>
      <c r="HC644" s="6"/>
      <c r="HD644" s="6"/>
      <c r="HE644" s="6"/>
      <c r="HF644" s="6"/>
      <c r="HG644" s="6"/>
      <c r="HH644" s="6"/>
      <c r="HI644" s="6"/>
      <c r="HJ644" s="6"/>
      <c r="HK644" s="6"/>
      <c r="HL644" s="6"/>
      <c r="HM644" s="6"/>
      <c r="HN644" s="6"/>
      <c r="HO644" s="6"/>
      <c r="HP644" s="6"/>
      <c r="HQ644" s="6"/>
      <c r="HR644" s="6"/>
      <c r="HS644" s="6"/>
      <c r="HT644" s="6"/>
      <c r="HU644" s="6"/>
    </row>
    <row r="645" spans="74:229">
      <c r="BV645" s="6"/>
      <c r="BW645" s="6"/>
      <c r="BX645" s="6"/>
      <c r="BY645" s="6"/>
      <c r="BZ645" s="6"/>
      <c r="CA645" s="6"/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  <c r="CP645" s="6"/>
      <c r="CQ645" s="6"/>
      <c r="CR645" s="6"/>
      <c r="CS645" s="6"/>
      <c r="CT645" s="6"/>
      <c r="CU645" s="6"/>
      <c r="CV645" s="6"/>
      <c r="CW645" s="6"/>
      <c r="CX645" s="6"/>
      <c r="CY645" s="6"/>
      <c r="CZ645" s="6"/>
      <c r="DA645" s="6"/>
      <c r="DB645" s="6"/>
      <c r="DC645" s="6"/>
      <c r="DD645" s="6"/>
      <c r="DE645" s="6"/>
      <c r="DF645" s="6"/>
      <c r="DG645" s="6"/>
      <c r="DH645" s="6"/>
      <c r="DI645" s="6"/>
      <c r="DJ645" s="6"/>
      <c r="DK645" s="6"/>
      <c r="DL645" s="6"/>
      <c r="DM645" s="6"/>
      <c r="DN645" s="6"/>
      <c r="DO645" s="6"/>
      <c r="DP645" s="6"/>
      <c r="DQ645" s="6"/>
      <c r="DR645" s="6"/>
      <c r="DS645" s="6"/>
      <c r="DT645" s="6"/>
      <c r="DU645" s="6"/>
      <c r="DV645" s="6"/>
      <c r="DW645" s="6"/>
      <c r="DX645" s="6"/>
      <c r="DY645" s="6"/>
      <c r="DZ645" s="6"/>
      <c r="EA645" s="6"/>
      <c r="EB645" s="6"/>
      <c r="EC645" s="6"/>
      <c r="ED645" s="6"/>
      <c r="EE645" s="6"/>
      <c r="EF645" s="6"/>
      <c r="EG645" s="6"/>
      <c r="EH645" s="6"/>
      <c r="EI645" s="6"/>
      <c r="EJ645" s="6"/>
      <c r="EK645" s="6"/>
      <c r="EL645" s="6"/>
      <c r="EM645" s="6"/>
      <c r="EN645" s="6"/>
      <c r="EO645" s="6"/>
      <c r="EP645" s="6"/>
      <c r="EQ645" s="6"/>
      <c r="ER645" s="6"/>
      <c r="ES645" s="6"/>
      <c r="ET645" s="6"/>
      <c r="EU645" s="6"/>
      <c r="EV645" s="6"/>
      <c r="EW645" s="6"/>
      <c r="EX645" s="6"/>
      <c r="EY645" s="6"/>
      <c r="EZ645" s="6"/>
      <c r="FA645" s="6"/>
      <c r="FB645" s="6"/>
      <c r="FC645" s="6"/>
      <c r="FD645" s="6"/>
      <c r="FE645" s="6"/>
      <c r="FF645" s="6"/>
      <c r="FG645" s="6"/>
      <c r="FH645" s="6"/>
      <c r="FI645" s="6"/>
      <c r="FJ645" s="6"/>
      <c r="FK645" s="6"/>
      <c r="FL645" s="6"/>
      <c r="FM645" s="6"/>
      <c r="FN645" s="6"/>
      <c r="FO645" s="6"/>
      <c r="FP645" s="6"/>
      <c r="FQ645" s="6"/>
      <c r="FR645" s="6"/>
      <c r="FS645" s="6"/>
      <c r="FT645" s="6"/>
      <c r="FU645" s="6"/>
      <c r="FV645" s="6"/>
      <c r="FW645" s="6"/>
      <c r="FX645" s="6"/>
      <c r="FY645" s="6"/>
      <c r="FZ645" s="6"/>
      <c r="GA645" s="6"/>
      <c r="GB645" s="6"/>
      <c r="GC645" s="6"/>
      <c r="GD645" s="6"/>
      <c r="GE645" s="6"/>
      <c r="GF645" s="6"/>
      <c r="GG645" s="6"/>
      <c r="GH645" s="6"/>
      <c r="GI645" s="6"/>
      <c r="GJ645" s="6"/>
      <c r="GK645" s="6"/>
      <c r="GL645" s="6"/>
      <c r="GM645" s="6"/>
      <c r="GN645" s="6"/>
      <c r="GO645" s="6"/>
      <c r="GP645" s="6"/>
      <c r="GQ645" s="6"/>
      <c r="GR645" s="6"/>
      <c r="GS645" s="6"/>
      <c r="GT645" s="6"/>
      <c r="GU645" s="6"/>
      <c r="GV645" s="6"/>
      <c r="GW645" s="6"/>
      <c r="GX645" s="6"/>
      <c r="GY645" s="6"/>
      <c r="GZ645" s="6"/>
      <c r="HA645" s="6"/>
      <c r="HB645" s="6"/>
      <c r="HC645" s="6"/>
      <c r="HD645" s="6"/>
      <c r="HE645" s="6"/>
      <c r="HF645" s="6"/>
      <c r="HG645" s="6"/>
      <c r="HH645" s="6"/>
      <c r="HI645" s="6"/>
      <c r="HJ645" s="6"/>
      <c r="HK645" s="6"/>
      <c r="HL645" s="6"/>
      <c r="HM645" s="6"/>
      <c r="HN645" s="6"/>
      <c r="HO645" s="6"/>
      <c r="HP645" s="6"/>
      <c r="HQ645" s="6"/>
      <c r="HR645" s="6"/>
      <c r="HS645" s="6"/>
      <c r="HT645" s="6"/>
      <c r="HU645" s="6"/>
    </row>
    <row r="646" spans="74:229"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  <c r="CP646" s="6"/>
      <c r="CQ646" s="6"/>
      <c r="CR646" s="6"/>
      <c r="CS646" s="6"/>
      <c r="CT646" s="6"/>
      <c r="CU646" s="6"/>
      <c r="CV646" s="6"/>
      <c r="CW646" s="6"/>
      <c r="CX646" s="6"/>
      <c r="CY646" s="6"/>
      <c r="CZ646" s="6"/>
      <c r="DA646" s="6"/>
      <c r="DB646" s="6"/>
      <c r="DC646" s="6"/>
      <c r="DD646" s="6"/>
      <c r="DE646" s="6"/>
      <c r="DF646" s="6"/>
      <c r="DG646" s="6"/>
      <c r="DH646" s="6"/>
      <c r="DI646" s="6"/>
      <c r="DJ646" s="6"/>
      <c r="DK646" s="6"/>
      <c r="DL646" s="6"/>
      <c r="DM646" s="6"/>
      <c r="DN646" s="6"/>
      <c r="DO646" s="6"/>
      <c r="DP646" s="6"/>
      <c r="DQ646" s="6"/>
      <c r="DR646" s="6"/>
      <c r="DS646" s="6"/>
      <c r="DT646" s="6"/>
      <c r="DU646" s="6"/>
      <c r="DV646" s="6"/>
      <c r="DW646" s="6"/>
      <c r="DX646" s="6"/>
      <c r="DY646" s="6"/>
      <c r="DZ646" s="6"/>
      <c r="EA646" s="6"/>
      <c r="EB646" s="6"/>
      <c r="EC646" s="6"/>
      <c r="ED646" s="6"/>
      <c r="EE646" s="6"/>
      <c r="EF646" s="6"/>
      <c r="EG646" s="6"/>
      <c r="EH646" s="6"/>
      <c r="EI646" s="6"/>
      <c r="EJ646" s="6"/>
      <c r="EK646" s="6"/>
      <c r="EL646" s="6"/>
      <c r="EM646" s="6"/>
      <c r="EN646" s="6"/>
      <c r="EO646" s="6"/>
      <c r="EP646" s="6"/>
      <c r="EQ646" s="6"/>
      <c r="ER646" s="6"/>
      <c r="ES646" s="6"/>
      <c r="ET646" s="6"/>
      <c r="EU646" s="6"/>
      <c r="EV646" s="6"/>
      <c r="EW646" s="6"/>
      <c r="EX646" s="6"/>
      <c r="EY646" s="6"/>
      <c r="EZ646" s="6"/>
      <c r="FA646" s="6"/>
      <c r="FB646" s="6"/>
      <c r="FC646" s="6"/>
      <c r="FD646" s="6"/>
      <c r="FE646" s="6"/>
      <c r="FF646" s="6"/>
      <c r="FG646" s="6"/>
      <c r="FH646" s="6"/>
      <c r="FI646" s="6"/>
      <c r="FJ646" s="6"/>
      <c r="FK646" s="6"/>
      <c r="FL646" s="6"/>
      <c r="FM646" s="6"/>
      <c r="FN646" s="6"/>
      <c r="FO646" s="6"/>
      <c r="FP646" s="6"/>
      <c r="FQ646" s="6"/>
      <c r="FR646" s="6"/>
      <c r="FS646" s="6"/>
      <c r="FT646" s="6"/>
      <c r="FU646" s="6"/>
      <c r="FV646" s="6"/>
      <c r="FW646" s="6"/>
      <c r="FX646" s="6"/>
      <c r="FY646" s="6"/>
      <c r="FZ646" s="6"/>
      <c r="GA646" s="6"/>
      <c r="GB646" s="6"/>
      <c r="GC646" s="6"/>
      <c r="GD646" s="6"/>
      <c r="GE646" s="6"/>
      <c r="GF646" s="6"/>
      <c r="GG646" s="6"/>
      <c r="GH646" s="6"/>
      <c r="GI646" s="6"/>
      <c r="GJ646" s="6"/>
      <c r="GK646" s="6"/>
      <c r="GL646" s="6"/>
      <c r="GM646" s="6"/>
      <c r="GN646" s="6"/>
      <c r="GO646" s="6"/>
      <c r="GP646" s="6"/>
      <c r="GQ646" s="6"/>
      <c r="GR646" s="6"/>
      <c r="GS646" s="6"/>
      <c r="GT646" s="6"/>
      <c r="GU646" s="6"/>
      <c r="GV646" s="6"/>
      <c r="GW646" s="6"/>
      <c r="GX646" s="6"/>
      <c r="GY646" s="6"/>
      <c r="GZ646" s="6"/>
      <c r="HA646" s="6"/>
      <c r="HB646" s="6"/>
      <c r="HC646" s="6"/>
      <c r="HD646" s="6"/>
      <c r="HE646" s="6"/>
      <c r="HF646" s="6"/>
      <c r="HG646" s="6"/>
      <c r="HH646" s="6"/>
      <c r="HI646" s="6"/>
      <c r="HJ646" s="6"/>
      <c r="HK646" s="6"/>
      <c r="HL646" s="6"/>
      <c r="HM646" s="6"/>
      <c r="HN646" s="6"/>
      <c r="HO646" s="6"/>
      <c r="HP646" s="6"/>
      <c r="HQ646" s="6"/>
      <c r="HR646" s="6"/>
      <c r="HS646" s="6"/>
      <c r="HT646" s="6"/>
      <c r="HU646" s="6"/>
    </row>
    <row r="647" spans="74:229">
      <c r="BV647" s="6"/>
      <c r="BW647" s="6"/>
      <c r="BX647" s="6"/>
      <c r="BY647" s="6"/>
      <c r="BZ647" s="6"/>
      <c r="CA647" s="6"/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  <c r="CP647" s="6"/>
      <c r="CQ647" s="6"/>
      <c r="CR647" s="6"/>
      <c r="CS647" s="6"/>
      <c r="CT647" s="6"/>
      <c r="CU647" s="6"/>
      <c r="CV647" s="6"/>
      <c r="CW647" s="6"/>
      <c r="CX647" s="6"/>
      <c r="CY647" s="6"/>
      <c r="CZ647" s="6"/>
      <c r="DA647" s="6"/>
      <c r="DB647" s="6"/>
      <c r="DC647" s="6"/>
      <c r="DD647" s="6"/>
      <c r="DE647" s="6"/>
      <c r="DF647" s="6"/>
      <c r="DG647" s="6"/>
      <c r="DH647" s="6"/>
      <c r="DI647" s="6"/>
      <c r="DJ647" s="6"/>
      <c r="DK647" s="6"/>
      <c r="DL647" s="6"/>
      <c r="DM647" s="6"/>
      <c r="DN647" s="6"/>
      <c r="DO647" s="6"/>
      <c r="DP647" s="6"/>
      <c r="DQ647" s="6"/>
      <c r="DR647" s="6"/>
      <c r="DS647" s="6"/>
      <c r="DT647" s="6"/>
      <c r="DU647" s="6"/>
      <c r="DV647" s="6"/>
      <c r="DW647" s="6"/>
      <c r="DX647" s="6"/>
      <c r="DY647" s="6"/>
      <c r="DZ647" s="6"/>
      <c r="EA647" s="6"/>
      <c r="EB647" s="6"/>
      <c r="EC647" s="6"/>
      <c r="ED647" s="6"/>
      <c r="EE647" s="6"/>
      <c r="EF647" s="6"/>
      <c r="EG647" s="6"/>
      <c r="EH647" s="6"/>
      <c r="EI647" s="6"/>
      <c r="EJ647" s="6"/>
      <c r="EK647" s="6"/>
      <c r="EL647" s="6"/>
      <c r="EM647" s="6"/>
      <c r="EN647" s="6"/>
      <c r="EO647" s="6"/>
      <c r="EP647" s="6"/>
      <c r="EQ647" s="6"/>
      <c r="ER647" s="6"/>
      <c r="ES647" s="6"/>
      <c r="ET647" s="6"/>
      <c r="EU647" s="6"/>
      <c r="EV647" s="6"/>
      <c r="EW647" s="6"/>
      <c r="EX647" s="6"/>
      <c r="EY647" s="6"/>
      <c r="EZ647" s="6"/>
      <c r="FA647" s="6"/>
      <c r="FB647" s="6"/>
      <c r="FC647" s="6"/>
      <c r="FD647" s="6"/>
      <c r="FE647" s="6"/>
      <c r="FF647" s="6"/>
      <c r="FG647" s="6"/>
      <c r="FH647" s="6"/>
      <c r="FI647" s="6"/>
      <c r="FJ647" s="6"/>
      <c r="FK647" s="6"/>
      <c r="FL647" s="6"/>
      <c r="FM647" s="6"/>
      <c r="FN647" s="6"/>
      <c r="FO647" s="6"/>
      <c r="FP647" s="6"/>
      <c r="FQ647" s="6"/>
      <c r="FR647" s="6"/>
      <c r="FS647" s="6"/>
      <c r="FT647" s="6"/>
      <c r="FU647" s="6"/>
      <c r="FV647" s="6"/>
      <c r="FW647" s="6"/>
      <c r="FX647" s="6"/>
      <c r="FY647" s="6"/>
      <c r="FZ647" s="6"/>
      <c r="GA647" s="6"/>
      <c r="GB647" s="6"/>
      <c r="GC647" s="6"/>
      <c r="GD647" s="6"/>
      <c r="GE647" s="6"/>
      <c r="GF647" s="6"/>
      <c r="GG647" s="6"/>
      <c r="GH647" s="6"/>
      <c r="GI647" s="6"/>
      <c r="GJ647" s="6"/>
      <c r="GK647" s="6"/>
      <c r="GL647" s="6"/>
      <c r="GM647" s="6"/>
      <c r="GN647" s="6"/>
      <c r="GO647" s="6"/>
      <c r="GP647" s="6"/>
      <c r="GQ647" s="6"/>
      <c r="GR647" s="6"/>
      <c r="GS647" s="6"/>
      <c r="GT647" s="6"/>
      <c r="GU647" s="6"/>
      <c r="GV647" s="6"/>
      <c r="GW647" s="6"/>
      <c r="GX647" s="6"/>
      <c r="GY647" s="6"/>
      <c r="GZ647" s="6"/>
      <c r="HA647" s="6"/>
      <c r="HB647" s="6"/>
      <c r="HC647" s="6"/>
      <c r="HD647" s="6"/>
      <c r="HE647" s="6"/>
      <c r="HF647" s="6"/>
      <c r="HG647" s="6"/>
      <c r="HH647" s="6"/>
      <c r="HI647" s="6"/>
      <c r="HJ647" s="6"/>
      <c r="HK647" s="6"/>
      <c r="HL647" s="6"/>
      <c r="HM647" s="6"/>
      <c r="HN647" s="6"/>
      <c r="HO647" s="6"/>
      <c r="HP647" s="6"/>
      <c r="HQ647" s="6"/>
      <c r="HR647" s="6"/>
      <c r="HS647" s="6"/>
      <c r="HT647" s="6"/>
      <c r="HU647" s="6"/>
    </row>
    <row r="648" spans="74:229"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  <c r="CP648" s="6"/>
      <c r="CQ648" s="6"/>
      <c r="CR648" s="6"/>
      <c r="CS648" s="6"/>
      <c r="CT648" s="6"/>
      <c r="CU648" s="6"/>
      <c r="CV648" s="6"/>
      <c r="CW648" s="6"/>
      <c r="CX648" s="6"/>
      <c r="CY648" s="6"/>
      <c r="CZ648" s="6"/>
      <c r="DA648" s="6"/>
      <c r="DB648" s="6"/>
      <c r="DC648" s="6"/>
      <c r="DD648" s="6"/>
      <c r="DE648" s="6"/>
      <c r="DF648" s="6"/>
      <c r="DG648" s="6"/>
      <c r="DH648" s="6"/>
      <c r="DI648" s="6"/>
      <c r="DJ648" s="6"/>
      <c r="DK648" s="6"/>
      <c r="DL648" s="6"/>
      <c r="DM648" s="6"/>
      <c r="DN648" s="6"/>
      <c r="DO648" s="6"/>
      <c r="DP648" s="6"/>
      <c r="DQ648" s="6"/>
      <c r="DR648" s="6"/>
      <c r="DS648" s="6"/>
      <c r="DT648" s="6"/>
      <c r="DU648" s="6"/>
      <c r="DV648" s="6"/>
      <c r="DW648" s="6"/>
      <c r="DX648" s="6"/>
      <c r="DY648" s="6"/>
      <c r="DZ648" s="6"/>
      <c r="EA648" s="6"/>
      <c r="EB648" s="6"/>
      <c r="EC648" s="6"/>
      <c r="ED648" s="6"/>
      <c r="EE648" s="6"/>
      <c r="EF648" s="6"/>
      <c r="EG648" s="6"/>
      <c r="EH648" s="6"/>
      <c r="EI648" s="6"/>
      <c r="EJ648" s="6"/>
      <c r="EK648" s="6"/>
      <c r="EL648" s="6"/>
      <c r="EM648" s="6"/>
      <c r="EN648" s="6"/>
      <c r="EO648" s="6"/>
      <c r="EP648" s="6"/>
      <c r="EQ648" s="6"/>
      <c r="ER648" s="6"/>
      <c r="ES648" s="6"/>
      <c r="ET648" s="6"/>
      <c r="EU648" s="6"/>
      <c r="EV648" s="6"/>
      <c r="EW648" s="6"/>
      <c r="EX648" s="6"/>
      <c r="EY648" s="6"/>
      <c r="EZ648" s="6"/>
      <c r="FA648" s="6"/>
      <c r="FB648" s="6"/>
      <c r="FC648" s="6"/>
      <c r="FD648" s="6"/>
      <c r="FE648" s="6"/>
      <c r="FF648" s="6"/>
      <c r="FG648" s="6"/>
      <c r="FH648" s="6"/>
      <c r="FI648" s="6"/>
      <c r="FJ648" s="6"/>
      <c r="FK648" s="6"/>
      <c r="FL648" s="6"/>
      <c r="FM648" s="6"/>
      <c r="FN648" s="6"/>
      <c r="FO648" s="6"/>
      <c r="FP648" s="6"/>
      <c r="FQ648" s="6"/>
      <c r="FR648" s="6"/>
      <c r="FS648" s="6"/>
      <c r="FT648" s="6"/>
      <c r="FU648" s="6"/>
      <c r="FV648" s="6"/>
      <c r="FW648" s="6"/>
      <c r="FX648" s="6"/>
      <c r="FY648" s="6"/>
      <c r="FZ648" s="6"/>
      <c r="GA648" s="6"/>
      <c r="GB648" s="6"/>
      <c r="GC648" s="6"/>
      <c r="GD648" s="6"/>
      <c r="GE648" s="6"/>
      <c r="GF648" s="6"/>
      <c r="GG648" s="6"/>
      <c r="GH648" s="6"/>
      <c r="GI648" s="6"/>
      <c r="GJ648" s="6"/>
      <c r="GK648" s="6"/>
      <c r="GL648" s="6"/>
      <c r="GM648" s="6"/>
      <c r="GN648" s="6"/>
      <c r="GO648" s="6"/>
      <c r="GP648" s="6"/>
      <c r="GQ648" s="6"/>
      <c r="GR648" s="6"/>
      <c r="GS648" s="6"/>
      <c r="GT648" s="6"/>
      <c r="GU648" s="6"/>
      <c r="GV648" s="6"/>
      <c r="GW648" s="6"/>
      <c r="GX648" s="6"/>
      <c r="GY648" s="6"/>
      <c r="GZ648" s="6"/>
      <c r="HA648" s="6"/>
      <c r="HB648" s="6"/>
      <c r="HC648" s="6"/>
      <c r="HD648" s="6"/>
      <c r="HE648" s="6"/>
      <c r="HF648" s="6"/>
      <c r="HG648" s="6"/>
      <c r="HH648" s="6"/>
      <c r="HI648" s="6"/>
      <c r="HJ648" s="6"/>
      <c r="HK648" s="6"/>
      <c r="HL648" s="6"/>
      <c r="HM648" s="6"/>
      <c r="HN648" s="6"/>
      <c r="HO648" s="6"/>
      <c r="HP648" s="6"/>
      <c r="HQ648" s="6"/>
      <c r="HR648" s="6"/>
      <c r="HS648" s="6"/>
      <c r="HT648" s="6"/>
      <c r="HU648" s="6"/>
    </row>
    <row r="649" spans="74:229"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  <c r="CP649" s="6"/>
      <c r="CQ649" s="6"/>
      <c r="CR649" s="6"/>
      <c r="CS649" s="6"/>
      <c r="CT649" s="6"/>
      <c r="CU649" s="6"/>
      <c r="CV649" s="6"/>
      <c r="CW649" s="6"/>
      <c r="CX649" s="6"/>
      <c r="CY649" s="6"/>
      <c r="CZ649" s="6"/>
      <c r="DA649" s="6"/>
      <c r="DB649" s="6"/>
      <c r="DC649" s="6"/>
      <c r="DD649" s="6"/>
      <c r="DE649" s="6"/>
      <c r="DF649" s="6"/>
      <c r="DG649" s="6"/>
      <c r="DH649" s="6"/>
      <c r="DI649" s="6"/>
      <c r="DJ649" s="6"/>
      <c r="DK649" s="6"/>
      <c r="DL649" s="6"/>
      <c r="DM649" s="6"/>
      <c r="DN649" s="6"/>
      <c r="DO649" s="6"/>
      <c r="DP649" s="6"/>
      <c r="DQ649" s="6"/>
      <c r="DR649" s="6"/>
      <c r="DS649" s="6"/>
      <c r="DT649" s="6"/>
      <c r="DU649" s="6"/>
      <c r="DV649" s="6"/>
      <c r="DW649" s="6"/>
      <c r="DX649" s="6"/>
      <c r="DY649" s="6"/>
      <c r="DZ649" s="6"/>
      <c r="EA649" s="6"/>
      <c r="EB649" s="6"/>
      <c r="EC649" s="6"/>
      <c r="ED649" s="6"/>
      <c r="EE649" s="6"/>
      <c r="EF649" s="6"/>
      <c r="EG649" s="6"/>
      <c r="EH649" s="6"/>
      <c r="EI649" s="6"/>
      <c r="EJ649" s="6"/>
      <c r="EK649" s="6"/>
      <c r="EL649" s="6"/>
      <c r="EM649" s="6"/>
      <c r="EN649" s="6"/>
      <c r="EO649" s="6"/>
      <c r="EP649" s="6"/>
      <c r="EQ649" s="6"/>
      <c r="ER649" s="6"/>
      <c r="ES649" s="6"/>
      <c r="ET649" s="6"/>
      <c r="EU649" s="6"/>
      <c r="EV649" s="6"/>
      <c r="EW649" s="6"/>
      <c r="EX649" s="6"/>
      <c r="EY649" s="6"/>
      <c r="EZ649" s="6"/>
      <c r="FA649" s="6"/>
      <c r="FB649" s="6"/>
      <c r="FC649" s="6"/>
      <c r="FD649" s="6"/>
      <c r="FE649" s="6"/>
      <c r="FF649" s="6"/>
      <c r="FG649" s="6"/>
      <c r="FH649" s="6"/>
      <c r="FI649" s="6"/>
      <c r="FJ649" s="6"/>
      <c r="FK649" s="6"/>
      <c r="FL649" s="6"/>
      <c r="FM649" s="6"/>
      <c r="FN649" s="6"/>
      <c r="FO649" s="6"/>
      <c r="FP649" s="6"/>
      <c r="FQ649" s="6"/>
      <c r="FR649" s="6"/>
      <c r="FS649" s="6"/>
      <c r="FT649" s="6"/>
      <c r="FU649" s="6"/>
      <c r="FV649" s="6"/>
      <c r="FW649" s="6"/>
      <c r="FX649" s="6"/>
      <c r="FY649" s="6"/>
      <c r="FZ649" s="6"/>
      <c r="GA649" s="6"/>
      <c r="GB649" s="6"/>
      <c r="GC649" s="6"/>
      <c r="GD649" s="6"/>
      <c r="GE649" s="6"/>
      <c r="GF649" s="6"/>
      <c r="GG649" s="6"/>
      <c r="GH649" s="6"/>
      <c r="GI649" s="6"/>
      <c r="GJ649" s="6"/>
      <c r="GK649" s="6"/>
      <c r="GL649" s="6"/>
      <c r="GM649" s="6"/>
      <c r="GN649" s="6"/>
      <c r="GO649" s="6"/>
      <c r="GP649" s="6"/>
      <c r="GQ649" s="6"/>
      <c r="GR649" s="6"/>
      <c r="GS649" s="6"/>
      <c r="GT649" s="6"/>
      <c r="GU649" s="6"/>
      <c r="GV649" s="6"/>
      <c r="GW649" s="6"/>
      <c r="GX649" s="6"/>
      <c r="GY649" s="6"/>
      <c r="GZ649" s="6"/>
      <c r="HA649" s="6"/>
      <c r="HB649" s="6"/>
      <c r="HC649" s="6"/>
      <c r="HD649" s="6"/>
      <c r="HE649" s="6"/>
      <c r="HF649" s="6"/>
      <c r="HG649" s="6"/>
      <c r="HH649" s="6"/>
      <c r="HI649" s="6"/>
      <c r="HJ649" s="6"/>
      <c r="HK649" s="6"/>
      <c r="HL649" s="6"/>
      <c r="HM649" s="6"/>
      <c r="HN649" s="6"/>
      <c r="HO649" s="6"/>
      <c r="HP649" s="6"/>
      <c r="HQ649" s="6"/>
      <c r="HR649" s="6"/>
      <c r="HS649" s="6"/>
      <c r="HT649" s="6"/>
      <c r="HU649" s="6"/>
    </row>
    <row r="650" spans="74:229"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  <c r="CP650" s="6"/>
      <c r="CQ650" s="6"/>
      <c r="CR650" s="6"/>
      <c r="CS650" s="6"/>
      <c r="CT650" s="6"/>
      <c r="CU650" s="6"/>
      <c r="CV650" s="6"/>
      <c r="CW650" s="6"/>
      <c r="CX650" s="6"/>
      <c r="CY650" s="6"/>
      <c r="CZ650" s="6"/>
      <c r="DA650" s="6"/>
      <c r="DB650" s="6"/>
      <c r="DC650" s="6"/>
      <c r="DD650" s="6"/>
      <c r="DE650" s="6"/>
      <c r="DF650" s="6"/>
      <c r="DG650" s="6"/>
      <c r="DH650" s="6"/>
      <c r="DI650" s="6"/>
      <c r="DJ650" s="6"/>
      <c r="DK650" s="6"/>
      <c r="DL650" s="6"/>
      <c r="DM650" s="6"/>
      <c r="DN650" s="6"/>
      <c r="DO650" s="6"/>
      <c r="DP650" s="6"/>
      <c r="DQ650" s="6"/>
      <c r="DR650" s="6"/>
      <c r="DS650" s="6"/>
      <c r="DT650" s="6"/>
      <c r="DU650" s="6"/>
      <c r="DV650" s="6"/>
      <c r="DW650" s="6"/>
      <c r="DX650" s="6"/>
      <c r="DY650" s="6"/>
      <c r="DZ650" s="6"/>
      <c r="EA650" s="6"/>
      <c r="EB650" s="6"/>
      <c r="EC650" s="6"/>
      <c r="ED650" s="6"/>
      <c r="EE650" s="6"/>
      <c r="EF650" s="6"/>
      <c r="EG650" s="6"/>
      <c r="EH650" s="6"/>
      <c r="EI650" s="6"/>
      <c r="EJ650" s="6"/>
      <c r="EK650" s="6"/>
      <c r="EL650" s="6"/>
      <c r="EM650" s="6"/>
      <c r="EN650" s="6"/>
      <c r="EO650" s="6"/>
      <c r="EP650" s="6"/>
      <c r="EQ650" s="6"/>
      <c r="ER650" s="6"/>
      <c r="ES650" s="6"/>
      <c r="ET650" s="6"/>
      <c r="EU650" s="6"/>
      <c r="EV650" s="6"/>
      <c r="EW650" s="6"/>
      <c r="EX650" s="6"/>
      <c r="EY650" s="6"/>
      <c r="EZ650" s="6"/>
      <c r="FA650" s="6"/>
      <c r="FB650" s="6"/>
      <c r="FC650" s="6"/>
      <c r="FD650" s="6"/>
      <c r="FE650" s="6"/>
      <c r="FF650" s="6"/>
      <c r="FG650" s="6"/>
      <c r="FH650" s="6"/>
      <c r="FI650" s="6"/>
      <c r="FJ650" s="6"/>
      <c r="FK650" s="6"/>
      <c r="FL650" s="6"/>
      <c r="FM650" s="6"/>
      <c r="FN650" s="6"/>
      <c r="FO650" s="6"/>
      <c r="FP650" s="6"/>
      <c r="FQ650" s="6"/>
      <c r="FR650" s="6"/>
      <c r="FS650" s="6"/>
      <c r="FT650" s="6"/>
      <c r="FU650" s="6"/>
      <c r="FV650" s="6"/>
      <c r="FW650" s="6"/>
      <c r="FX650" s="6"/>
      <c r="FY650" s="6"/>
      <c r="FZ650" s="6"/>
      <c r="GA650" s="6"/>
      <c r="GB650" s="6"/>
      <c r="GC650" s="6"/>
      <c r="GD650" s="6"/>
      <c r="GE650" s="6"/>
      <c r="GF650" s="6"/>
      <c r="GG650" s="6"/>
      <c r="GH650" s="6"/>
      <c r="GI650" s="6"/>
      <c r="GJ650" s="6"/>
      <c r="GK650" s="6"/>
      <c r="GL650" s="6"/>
      <c r="GM650" s="6"/>
      <c r="GN650" s="6"/>
      <c r="GO650" s="6"/>
      <c r="GP650" s="6"/>
      <c r="GQ650" s="6"/>
      <c r="GR650" s="6"/>
      <c r="GS650" s="6"/>
      <c r="GT650" s="6"/>
      <c r="GU650" s="6"/>
      <c r="GV650" s="6"/>
      <c r="GW650" s="6"/>
      <c r="GX650" s="6"/>
      <c r="GY650" s="6"/>
      <c r="GZ650" s="6"/>
      <c r="HA650" s="6"/>
      <c r="HB650" s="6"/>
      <c r="HC650" s="6"/>
      <c r="HD650" s="6"/>
      <c r="HE650" s="6"/>
      <c r="HF650" s="6"/>
      <c r="HG650" s="6"/>
      <c r="HH650" s="6"/>
      <c r="HI650" s="6"/>
      <c r="HJ650" s="6"/>
      <c r="HK650" s="6"/>
      <c r="HL650" s="6"/>
      <c r="HM650" s="6"/>
      <c r="HN650" s="6"/>
      <c r="HO650" s="6"/>
      <c r="HP650" s="6"/>
      <c r="HQ650" s="6"/>
      <c r="HR650" s="6"/>
      <c r="HS650" s="6"/>
      <c r="HT650" s="6"/>
      <c r="HU650" s="6"/>
    </row>
    <row r="651" spans="74:229">
      <c r="BV651" s="6"/>
      <c r="BW651" s="6"/>
      <c r="BX651" s="6"/>
      <c r="BY651" s="6"/>
      <c r="BZ651" s="6"/>
      <c r="CA651" s="6"/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  <c r="CP651" s="6"/>
      <c r="CQ651" s="6"/>
      <c r="CR651" s="6"/>
      <c r="CS651" s="6"/>
      <c r="CT651" s="6"/>
      <c r="CU651" s="6"/>
      <c r="CV651" s="6"/>
      <c r="CW651" s="6"/>
      <c r="CX651" s="6"/>
      <c r="CY651" s="6"/>
      <c r="CZ651" s="6"/>
      <c r="DA651" s="6"/>
      <c r="DB651" s="6"/>
      <c r="DC651" s="6"/>
      <c r="DD651" s="6"/>
      <c r="DE651" s="6"/>
      <c r="DF651" s="6"/>
      <c r="DG651" s="6"/>
      <c r="DH651" s="6"/>
      <c r="DI651" s="6"/>
      <c r="DJ651" s="6"/>
      <c r="DK651" s="6"/>
      <c r="DL651" s="6"/>
      <c r="DM651" s="6"/>
      <c r="DN651" s="6"/>
      <c r="DO651" s="6"/>
      <c r="DP651" s="6"/>
      <c r="DQ651" s="6"/>
      <c r="DR651" s="6"/>
      <c r="DS651" s="6"/>
      <c r="DT651" s="6"/>
      <c r="DU651" s="6"/>
      <c r="DV651" s="6"/>
      <c r="DW651" s="6"/>
      <c r="DX651" s="6"/>
      <c r="DY651" s="6"/>
      <c r="DZ651" s="6"/>
      <c r="EA651" s="6"/>
      <c r="EB651" s="6"/>
      <c r="EC651" s="6"/>
      <c r="ED651" s="6"/>
      <c r="EE651" s="6"/>
      <c r="EF651" s="6"/>
      <c r="EG651" s="6"/>
      <c r="EH651" s="6"/>
      <c r="EI651" s="6"/>
      <c r="EJ651" s="6"/>
      <c r="EK651" s="6"/>
      <c r="EL651" s="6"/>
      <c r="EM651" s="6"/>
      <c r="EN651" s="6"/>
      <c r="EO651" s="6"/>
      <c r="EP651" s="6"/>
      <c r="EQ651" s="6"/>
      <c r="ER651" s="6"/>
      <c r="ES651" s="6"/>
      <c r="ET651" s="6"/>
      <c r="EU651" s="6"/>
      <c r="EV651" s="6"/>
      <c r="EW651" s="6"/>
      <c r="EX651" s="6"/>
      <c r="EY651" s="6"/>
      <c r="EZ651" s="6"/>
      <c r="FA651" s="6"/>
      <c r="FB651" s="6"/>
      <c r="FC651" s="6"/>
      <c r="FD651" s="6"/>
      <c r="FE651" s="6"/>
      <c r="FF651" s="6"/>
      <c r="FG651" s="6"/>
      <c r="FH651" s="6"/>
      <c r="FI651" s="6"/>
      <c r="FJ651" s="6"/>
      <c r="FK651" s="6"/>
      <c r="FL651" s="6"/>
      <c r="FM651" s="6"/>
      <c r="FN651" s="6"/>
      <c r="FO651" s="6"/>
      <c r="FP651" s="6"/>
      <c r="FQ651" s="6"/>
      <c r="FR651" s="6"/>
      <c r="FS651" s="6"/>
      <c r="FT651" s="6"/>
      <c r="FU651" s="6"/>
      <c r="FV651" s="6"/>
      <c r="FW651" s="6"/>
      <c r="FX651" s="6"/>
      <c r="FY651" s="6"/>
      <c r="FZ651" s="6"/>
      <c r="GA651" s="6"/>
      <c r="GB651" s="6"/>
      <c r="GC651" s="6"/>
      <c r="GD651" s="6"/>
      <c r="GE651" s="6"/>
      <c r="GF651" s="6"/>
      <c r="GG651" s="6"/>
      <c r="GH651" s="6"/>
      <c r="GI651" s="6"/>
      <c r="GJ651" s="6"/>
      <c r="GK651" s="6"/>
      <c r="GL651" s="6"/>
      <c r="GM651" s="6"/>
      <c r="GN651" s="6"/>
      <c r="GO651" s="6"/>
      <c r="GP651" s="6"/>
      <c r="GQ651" s="6"/>
      <c r="GR651" s="6"/>
      <c r="GS651" s="6"/>
      <c r="GT651" s="6"/>
      <c r="GU651" s="6"/>
      <c r="GV651" s="6"/>
      <c r="GW651" s="6"/>
      <c r="GX651" s="6"/>
      <c r="GY651" s="6"/>
      <c r="GZ651" s="6"/>
      <c r="HA651" s="6"/>
      <c r="HB651" s="6"/>
      <c r="HC651" s="6"/>
      <c r="HD651" s="6"/>
      <c r="HE651" s="6"/>
      <c r="HF651" s="6"/>
      <c r="HG651" s="6"/>
      <c r="HH651" s="6"/>
      <c r="HI651" s="6"/>
      <c r="HJ651" s="6"/>
      <c r="HK651" s="6"/>
      <c r="HL651" s="6"/>
      <c r="HM651" s="6"/>
      <c r="HN651" s="6"/>
      <c r="HO651" s="6"/>
      <c r="HP651" s="6"/>
      <c r="HQ651" s="6"/>
      <c r="HR651" s="6"/>
      <c r="HS651" s="6"/>
      <c r="HT651" s="6"/>
      <c r="HU651" s="6"/>
    </row>
  </sheetData>
  <mergeCells count="11">
    <mergeCell ref="M20:N20"/>
    <mergeCell ref="O3:P3"/>
    <mergeCell ref="Q3:R3"/>
    <mergeCell ref="W4:Y4"/>
    <mergeCell ref="Z4:AA4"/>
    <mergeCell ref="AE1:AN1"/>
    <mergeCell ref="O2:P2"/>
    <mergeCell ref="Q2:R2"/>
    <mergeCell ref="AJ2:AL2"/>
    <mergeCell ref="AC3:AD3"/>
    <mergeCell ref="AF3:AG3"/>
  </mergeCells>
  <pageMargins left="0.75" right="0.75" top="1" bottom="1" header="0.5" footer="0.5"/>
  <pageSetup orientation="portrait" horizontalDpi="1200" verticalDpi="12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58"/>
  <sheetViews>
    <sheetView workbookViewId="0">
      <selection activeCell="B4" sqref="B4"/>
    </sheetView>
  </sheetViews>
  <sheetFormatPr defaultColWidth="11.5546875" defaultRowHeight="13.2"/>
  <cols>
    <col min="6" max="6" width="12.77734375" customWidth="1"/>
    <col min="11" max="11" width="4.33203125" customWidth="1"/>
    <col min="14" max="14" width="12.21875" bestFit="1" customWidth="1"/>
    <col min="24" max="24" width="13.21875" bestFit="1" customWidth="1"/>
  </cols>
  <sheetData>
    <row r="1" spans="1:52">
      <c r="A1" s="7" t="s">
        <v>7</v>
      </c>
      <c r="B1" s="1">
        <f>Inputs!B1</f>
        <v>45</v>
      </c>
      <c r="E1" s="27"/>
      <c r="F1" s="27" t="s">
        <v>113</v>
      </c>
      <c r="G1" s="28"/>
      <c r="P1" s="7" t="s">
        <v>99</v>
      </c>
      <c r="Q1">
        <f>(1+Inputs!B4)^(1/12)-1</f>
        <v>4.471698917043021E-3</v>
      </c>
      <c r="W1" s="6"/>
      <c r="X1" s="6"/>
      <c r="Y1" s="6"/>
      <c r="Z1" s="6"/>
      <c r="AA1" s="110"/>
      <c r="AB1" s="21"/>
      <c r="AC1" s="64"/>
      <c r="AD1" s="64"/>
      <c r="AE1" s="252"/>
      <c r="AF1" s="241"/>
      <c r="AG1" s="241"/>
      <c r="AH1" s="241"/>
      <c r="AI1" s="241"/>
      <c r="AJ1" s="241"/>
      <c r="AK1" s="241"/>
      <c r="AL1" s="241"/>
      <c r="AM1" s="241"/>
      <c r="AN1" s="241"/>
      <c r="AO1" s="110"/>
      <c r="AP1" s="61"/>
    </row>
    <row r="2" spans="1:52">
      <c r="A2" s="33" t="s">
        <v>67</v>
      </c>
      <c r="B2" s="131" t="str">
        <f>Inputs!B2</f>
        <v>M</v>
      </c>
      <c r="C2" s="33"/>
      <c r="D2" s="33"/>
      <c r="E2" s="33"/>
      <c r="F2" s="33"/>
      <c r="G2" s="33"/>
      <c r="O2" s="236"/>
      <c r="P2" s="237"/>
      <c r="Q2" s="236" t="s">
        <v>26</v>
      </c>
      <c r="R2" s="238"/>
      <c r="W2" s="6"/>
      <c r="X2" s="6"/>
      <c r="Y2" s="174"/>
      <c r="Z2" s="6"/>
      <c r="AA2" s="173"/>
      <c r="AB2" s="21"/>
      <c r="AC2" s="64"/>
      <c r="AD2" s="64"/>
      <c r="AE2" s="64"/>
      <c r="AF2" s="64"/>
      <c r="AG2" s="64"/>
      <c r="AH2" s="64"/>
      <c r="AI2" s="64"/>
      <c r="AJ2" s="240"/>
      <c r="AK2" s="241"/>
      <c r="AL2" s="241"/>
      <c r="AM2" s="64"/>
      <c r="AN2" s="64"/>
      <c r="AO2" s="64"/>
      <c r="AP2" s="65"/>
    </row>
    <row r="3" spans="1:52">
      <c r="A3" s="7" t="s">
        <v>109</v>
      </c>
      <c r="B3" s="132">
        <f>Inputs!B5</f>
        <v>30000</v>
      </c>
      <c r="C3" s="7"/>
      <c r="D3" s="33"/>
      <c r="E3" s="33"/>
      <c r="F3" s="33" t="s">
        <v>62</v>
      </c>
      <c r="G3" s="33"/>
      <c r="J3" s="1"/>
      <c r="L3" s="75" t="s">
        <v>31</v>
      </c>
      <c r="M3" s="30" t="s">
        <v>31</v>
      </c>
      <c r="N3" s="77" t="s">
        <v>69</v>
      </c>
      <c r="O3" s="244" t="s">
        <v>27</v>
      </c>
      <c r="P3" s="243"/>
      <c r="Q3" s="244" t="s">
        <v>28</v>
      </c>
      <c r="R3" s="243"/>
      <c r="W3" s="6"/>
      <c r="X3" s="6"/>
      <c r="Y3" s="174"/>
      <c r="Z3" s="6"/>
      <c r="AA3" s="112"/>
      <c r="AB3" s="21"/>
      <c r="AC3" s="240"/>
      <c r="AD3" s="241"/>
      <c r="AE3" s="64"/>
      <c r="AF3" s="252"/>
      <c r="AG3" s="241"/>
      <c r="AH3" s="21"/>
      <c r="AI3" s="64"/>
      <c r="AJ3" s="64"/>
      <c r="AK3" s="175"/>
      <c r="AL3" s="175"/>
      <c r="AM3" s="64"/>
      <c r="AN3" s="64"/>
      <c r="AO3" s="64"/>
      <c r="AP3" s="65"/>
    </row>
    <row r="4" spans="1:52">
      <c r="A4" s="7" t="s">
        <v>105</v>
      </c>
      <c r="B4" s="140">
        <v>500</v>
      </c>
      <c r="C4" s="54"/>
      <c r="D4" s="55"/>
      <c r="E4" s="55"/>
      <c r="F4" s="55"/>
      <c r="G4" s="55"/>
      <c r="J4" s="1"/>
      <c r="L4" s="76" t="s">
        <v>68</v>
      </c>
      <c r="M4" s="30" t="s">
        <v>15</v>
      </c>
      <c r="N4" s="77" t="s">
        <v>17</v>
      </c>
      <c r="O4" s="31"/>
      <c r="P4" s="31"/>
      <c r="Q4" s="31"/>
      <c r="R4" s="31"/>
      <c r="T4" s="27" t="s">
        <v>101</v>
      </c>
      <c r="U4" s="12"/>
      <c r="V4" t="s">
        <v>100</v>
      </c>
      <c r="W4" s="250" t="s">
        <v>102</v>
      </c>
      <c r="X4" s="251"/>
      <c r="Y4" s="247"/>
      <c r="Z4" s="248" t="s">
        <v>103</v>
      </c>
      <c r="AA4" s="249"/>
      <c r="AB4" s="173"/>
      <c r="AC4" t="s">
        <v>123</v>
      </c>
      <c r="AP4" t="s">
        <v>120</v>
      </c>
    </row>
    <row r="5" spans="1:52">
      <c r="A5" s="4" t="s">
        <v>36</v>
      </c>
      <c r="B5" s="34" t="s">
        <v>37</v>
      </c>
      <c r="C5" s="7"/>
      <c r="D5" s="7"/>
      <c r="E5" s="7"/>
      <c r="F5" s="162">
        <f>SUMPRODUCT(T6:T29,Q6:Q29)</f>
        <v>5534.6336967173429</v>
      </c>
      <c r="G5" s="7" t="s">
        <v>35</v>
      </c>
      <c r="H5" s="29" t="s">
        <v>4</v>
      </c>
      <c r="I5" t="s">
        <v>2</v>
      </c>
      <c r="J5" t="s">
        <v>5</v>
      </c>
      <c r="L5" s="76" t="s">
        <v>19</v>
      </c>
      <c r="M5" s="77" t="s">
        <v>19</v>
      </c>
      <c r="N5" s="77" t="s">
        <v>19</v>
      </c>
      <c r="O5" s="176" t="s">
        <v>96</v>
      </c>
      <c r="P5" s="176" t="s">
        <v>97</v>
      </c>
      <c r="Q5" s="176" t="s">
        <v>96</v>
      </c>
      <c r="R5" s="176" t="s">
        <v>97</v>
      </c>
      <c r="S5" s="176" t="s">
        <v>98</v>
      </c>
      <c r="T5" s="116" t="s">
        <v>96</v>
      </c>
      <c r="U5" s="117" t="s">
        <v>97</v>
      </c>
      <c r="V5" t="s">
        <v>53</v>
      </c>
      <c r="W5" s="177" t="s">
        <v>107</v>
      </c>
      <c r="X5" s="178" t="s">
        <v>108</v>
      </c>
      <c r="Y5" s="179" t="s">
        <v>106</v>
      </c>
      <c r="Z5" s="69" t="s">
        <v>70</v>
      </c>
      <c r="AA5" s="13" t="s">
        <v>104</v>
      </c>
      <c r="AB5" s="173"/>
      <c r="AC5">
        <f>S6</f>
        <v>0</v>
      </c>
      <c r="AD5">
        <f>S7</f>
        <v>0</v>
      </c>
      <c r="AE5">
        <f>S8</f>
        <v>0</v>
      </c>
      <c r="AF5">
        <f>S9</f>
        <v>0</v>
      </c>
      <c r="AG5">
        <f>S10</f>
        <v>0</v>
      </c>
      <c r="AH5">
        <f>S11</f>
        <v>0</v>
      </c>
      <c r="AI5">
        <f>S12</f>
        <v>500</v>
      </c>
      <c r="AJ5">
        <f>S13</f>
        <v>0</v>
      </c>
      <c r="AK5">
        <f>S14</f>
        <v>0</v>
      </c>
      <c r="AL5">
        <f>S15</f>
        <v>0</v>
      </c>
      <c r="AM5">
        <f>S16</f>
        <v>0</v>
      </c>
      <c r="AN5">
        <f>S17</f>
        <v>0</v>
      </c>
    </row>
    <row r="6" spans="1:52">
      <c r="A6" s="35" t="s">
        <v>38</v>
      </c>
      <c r="B6" s="36" t="s">
        <v>39</v>
      </c>
      <c r="C6" s="7"/>
      <c r="D6" s="7"/>
      <c r="E6" s="35" t="s">
        <v>38</v>
      </c>
      <c r="F6" s="164">
        <f>SUMPRODUCT(R6:R29,Z6:Z29)</f>
        <v>54169.177262188248</v>
      </c>
      <c r="G6" s="7"/>
      <c r="H6" s="211">
        <f>F17</f>
        <v>17.869819029426832</v>
      </c>
      <c r="I6">
        <v>1</v>
      </c>
      <c r="J6">
        <v>1</v>
      </c>
      <c r="L6" s="215">
        <f>1-(1-VLOOKUP(Inputs!B$1+I6-1,Inputs!$F$5:$H$105,IF(B$2="M",2,3),0))^(1/12)</f>
        <v>3.2770253940961336E-4</v>
      </c>
      <c r="M6" s="216">
        <f>1-(1-VLOOKUP(I6,Inputs!$C$22:$D$32,2,FALSE))^(VLOOKUP(J6,Inputs!$A$22:$B$33,2,1))</f>
        <v>6.7987910816060815E-3</v>
      </c>
      <c r="N6" s="215">
        <f>1-(1-VLOOKUP(Inputs!B$1+I6-1,Inputs!$J$5:$L$105,IF(B$2="M",2,3),0))^(1/12)</f>
        <v>1.3593491795749202E-4</v>
      </c>
      <c r="O6" s="217">
        <v>1</v>
      </c>
      <c r="P6" s="218">
        <f>1*(1-L6)*(1-M6)*(1-N6)</f>
        <v>0.99274076787859444</v>
      </c>
      <c r="Q6" s="218">
        <v>1</v>
      </c>
      <c r="R6" s="218">
        <f>Q6/(1+Q$1)</f>
        <v>0.99554820815572587</v>
      </c>
      <c r="S6" s="180"/>
      <c r="T6" s="222">
        <f>SUM(AC6:AN6)</f>
        <v>0</v>
      </c>
      <c r="U6" s="104"/>
      <c r="V6" s="221">
        <f>SUM(AP6:BA6)</f>
        <v>0</v>
      </c>
      <c r="W6" s="6"/>
      <c r="X6" s="181">
        <f>Inputs!C$14*V6</f>
        <v>0</v>
      </c>
      <c r="Y6" s="224">
        <f>Inputs!C$17*V6</f>
        <v>0</v>
      </c>
      <c r="Z6" s="225">
        <f>B$3*V6</f>
        <v>0</v>
      </c>
      <c r="AA6" s="182"/>
      <c r="AB6" s="146"/>
      <c r="AC6" s="210">
        <f>AC$5*$O6</f>
        <v>0</v>
      </c>
      <c r="AP6">
        <f>AC6*$L6</f>
        <v>0</v>
      </c>
    </row>
    <row r="7" spans="1:52">
      <c r="B7" t="s">
        <v>59</v>
      </c>
      <c r="F7" s="165">
        <v>0</v>
      </c>
      <c r="I7">
        <v>1</v>
      </c>
      <c r="J7">
        <v>2</v>
      </c>
      <c r="L7" s="215">
        <f>1-(1-VLOOKUP(Inputs!B$1+I7-1,Inputs!$F$5:$H$105,IF(B$2="M",2,3),0))^(1/12)</f>
        <v>3.2770253940961336E-4</v>
      </c>
      <c r="M7" s="216">
        <f>1-(1-VLOOKUP(I7,Inputs!$C$22:$D$32,2,FALSE))^(VLOOKUP(J7,Inputs!$A$22:$B$33,2,1))</f>
        <v>6.7987910816060815E-3</v>
      </c>
      <c r="N7" s="215">
        <f>1-(1-VLOOKUP(Inputs!B$1+I7-1,Inputs!$J$5:$L$105,IF(B$2="M",2,3),0))^(1/12)</f>
        <v>1.3593491795749202E-4</v>
      </c>
      <c r="O7" s="219">
        <f>P6</f>
        <v>0.99274076787859444</v>
      </c>
      <c r="P7" s="218">
        <f>P6*(1-L7)*(1-M7)*(1-N7)</f>
        <v>0.98553423220818137</v>
      </c>
      <c r="Q7" s="220">
        <f>R6</f>
        <v>0.99554820815572587</v>
      </c>
      <c r="R7" s="218">
        <f t="shared" ref="R7:R29" si="0">Q7/(1+Q$1)</f>
        <v>0.99111623476207655</v>
      </c>
      <c r="S7" s="180"/>
      <c r="T7" s="222">
        <f t="shared" ref="T7:T17" si="1">SUM(AC7:AN7)</f>
        <v>0</v>
      </c>
      <c r="U7" s="183"/>
      <c r="V7" s="221">
        <f t="shared" ref="V7:V29" si="2">SUM(AP7:BA7)</f>
        <v>0</v>
      </c>
      <c r="W7" s="6"/>
      <c r="X7" s="181">
        <f>Inputs!C$14*V7</f>
        <v>0</v>
      </c>
      <c r="Y7" s="224">
        <f>Inputs!C$17*V7</f>
        <v>0</v>
      </c>
      <c r="Z7" s="225">
        <f t="shared" ref="Z7:Z29" si="3">B$3*V7</f>
        <v>0</v>
      </c>
      <c r="AA7" s="185"/>
      <c r="AB7" s="92"/>
      <c r="AC7" s="210">
        <f t="shared" ref="AC7:AC17" si="4">AC$5*$O7</f>
        <v>0</v>
      </c>
      <c r="AD7" s="8">
        <f>AD$5*$O6</f>
        <v>0</v>
      </c>
      <c r="AP7">
        <f t="shared" ref="AP7:AP17" si="5">AC7*$L7</f>
        <v>0</v>
      </c>
      <c r="AQ7">
        <f>AD7*$L6</f>
        <v>0</v>
      </c>
    </row>
    <row r="8" spans="1:52">
      <c r="A8" s="35" t="s">
        <v>40</v>
      </c>
      <c r="B8" s="7" t="s">
        <v>56</v>
      </c>
      <c r="C8" s="7"/>
      <c r="D8" s="7"/>
      <c r="E8" s="35" t="s">
        <v>40</v>
      </c>
      <c r="F8" s="165">
        <f>F5*(Inputs!C16+Inputs!C10)</f>
        <v>581.13653815532109</v>
      </c>
      <c r="G8" s="7" t="s">
        <v>35</v>
      </c>
      <c r="I8">
        <v>1</v>
      </c>
      <c r="J8">
        <v>3</v>
      </c>
      <c r="L8" s="215">
        <f>1-(1-VLOOKUP(Inputs!B$1+I8-1,Inputs!$F$5:$H$105,IF(B$2="M",2,3),0))^(1/12)</f>
        <v>3.2770253940961336E-4</v>
      </c>
      <c r="M8" s="216">
        <f>1-(1-VLOOKUP(I8,Inputs!$C$22:$D$32,2,FALSE))^(VLOOKUP(J8,Inputs!$A$22:$B$33,2,1))</f>
        <v>6.7987910816060815E-3</v>
      </c>
      <c r="N8" s="215">
        <f>1-(1-VLOOKUP(Inputs!B$1+I8-1,Inputs!$J$5:$L$105,IF(B$2="M",2,3),0))^(1/12)</f>
        <v>1.3593491795749202E-4</v>
      </c>
      <c r="O8" s="219">
        <f t="shared" ref="O8:O17" si="6">P7</f>
        <v>0.98553423220818137</v>
      </c>
      <c r="P8" s="218">
        <f t="shared" ref="P8:P17" si="7">P7*(1-L8)*(1-M8)*(1-N8)</f>
        <v>0.97838001045299106</v>
      </c>
      <c r="Q8" s="220">
        <f t="shared" ref="Q8:Q29" si="8">R7</f>
        <v>0.99111623476207655</v>
      </c>
      <c r="R8" s="218">
        <f t="shared" si="0"/>
        <v>0.98670399159143507</v>
      </c>
      <c r="S8" s="180"/>
      <c r="T8" s="222">
        <f t="shared" si="1"/>
        <v>0</v>
      </c>
      <c r="U8" s="183"/>
      <c r="V8" s="221">
        <f t="shared" si="2"/>
        <v>0</v>
      </c>
      <c r="W8" s="6"/>
      <c r="X8" s="181">
        <f>Inputs!C$14*V8</f>
        <v>0</v>
      </c>
      <c r="Y8" s="224">
        <f>Inputs!C$17*V8</f>
        <v>0</v>
      </c>
      <c r="Z8" s="225">
        <f t="shared" si="3"/>
        <v>0</v>
      </c>
      <c r="AA8" s="185"/>
      <c r="AB8" s="92"/>
      <c r="AC8" s="210">
        <f t="shared" si="4"/>
        <v>0</v>
      </c>
      <c r="AD8" s="8">
        <f t="shared" ref="AD8:AD18" si="9">AD$5*$O7</f>
        <v>0</v>
      </c>
      <c r="AE8" s="8">
        <f>AE$5*$O6</f>
        <v>0</v>
      </c>
      <c r="AP8">
        <f t="shared" si="5"/>
        <v>0</v>
      </c>
      <c r="AQ8">
        <f t="shared" ref="AQ8:AQ18" si="10">AD8*$L7</f>
        <v>0</v>
      </c>
      <c r="AR8">
        <f>AE8*$L6</f>
        <v>0</v>
      </c>
    </row>
    <row r="9" spans="1:52">
      <c r="A9" s="35" t="s">
        <v>40</v>
      </c>
      <c r="B9" s="7" t="s">
        <v>57</v>
      </c>
      <c r="C9" s="7"/>
      <c r="D9" s="7"/>
      <c r="E9" s="35" t="s">
        <v>40</v>
      </c>
      <c r="F9" s="165">
        <f>F5*Inputs!C8</f>
        <v>553.46336967173431</v>
      </c>
      <c r="G9" s="7" t="s">
        <v>35</v>
      </c>
      <c r="I9">
        <v>1</v>
      </c>
      <c r="J9">
        <v>4</v>
      </c>
      <c r="L9" s="215">
        <f>1-(1-VLOOKUP(Inputs!B$1+I9-1,Inputs!$F$5:$H$105,IF(B$2="M",2,3),0))^(1/12)</f>
        <v>3.2770253940961336E-4</v>
      </c>
      <c r="M9" s="216">
        <f>1-(1-VLOOKUP(I9,Inputs!$C$22:$D$32,2,FALSE))^(VLOOKUP(J9,Inputs!$A$22:$B$33,2,1))</f>
        <v>3.4307521988581335E-3</v>
      </c>
      <c r="N9" s="215">
        <f>1-(1-VLOOKUP(Inputs!B$1+I9-1,Inputs!$J$5:$L$105,IF(B$2="M",2,3),0))^(1/12)</f>
        <v>1.3593491795749202E-4</v>
      </c>
      <c r="O9" s="219">
        <f t="shared" si="6"/>
        <v>0.97838001045299106</v>
      </c>
      <c r="P9" s="218">
        <f t="shared" si="7"/>
        <v>0.9745714171299571</v>
      </c>
      <c r="Q9" s="220">
        <f t="shared" si="8"/>
        <v>0.98670399159143507</v>
      </c>
      <c r="R9" s="218">
        <f t="shared" si="0"/>
        <v>0.98231139080895569</v>
      </c>
      <c r="S9" s="180"/>
      <c r="T9" s="222">
        <f t="shared" si="1"/>
        <v>0</v>
      </c>
      <c r="U9" s="183"/>
      <c r="V9" s="221">
        <f t="shared" si="2"/>
        <v>0</v>
      </c>
      <c r="W9" s="6"/>
      <c r="X9" s="181">
        <f>Inputs!C$14*V9</f>
        <v>0</v>
      </c>
      <c r="Y9" s="224">
        <f>Inputs!C$17*V9</f>
        <v>0</v>
      </c>
      <c r="Z9" s="225">
        <f t="shared" si="3"/>
        <v>0</v>
      </c>
      <c r="AA9" s="185"/>
      <c r="AB9" s="92"/>
      <c r="AC9" s="210">
        <f t="shared" si="4"/>
        <v>0</v>
      </c>
      <c r="AD9" s="8">
        <f t="shared" si="9"/>
        <v>0</v>
      </c>
      <c r="AE9" s="8">
        <f t="shared" ref="AE9:AE19" si="11">AE$5*$O7</f>
        <v>0</v>
      </c>
      <c r="AF9" s="223">
        <f>AE$5*$O6</f>
        <v>0</v>
      </c>
      <c r="AP9">
        <f t="shared" si="5"/>
        <v>0</v>
      </c>
      <c r="AQ9">
        <f t="shared" si="10"/>
        <v>0</v>
      </c>
      <c r="AR9">
        <f t="shared" ref="AR9:AR19" si="12">AE9*$L7</f>
        <v>0</v>
      </c>
      <c r="AS9" s="223">
        <f>AF9*$L6</f>
        <v>0</v>
      </c>
    </row>
    <row r="10" spans="1:52">
      <c r="A10" s="35" t="s">
        <v>40</v>
      </c>
      <c r="B10" s="7" t="s">
        <v>58</v>
      </c>
      <c r="C10" s="7"/>
      <c r="D10" s="7"/>
      <c r="E10" s="35" t="s">
        <v>40</v>
      </c>
      <c r="F10" s="165">
        <f>F5*Inputs!C11</f>
        <v>387.42435877021404</v>
      </c>
      <c r="G10" s="7" t="s">
        <v>35</v>
      </c>
      <c r="I10">
        <v>1</v>
      </c>
      <c r="J10">
        <v>5</v>
      </c>
      <c r="L10" s="215">
        <f>1-(1-VLOOKUP(Inputs!B$1+I10-1,Inputs!$F$5:$H$105,IF(B$2="M",2,3),0))^(1/12)</f>
        <v>3.2770253940961336E-4</v>
      </c>
      <c r="M10" s="216">
        <f>1-(1-VLOOKUP(I10,Inputs!$C$22:$D$32,2,FALSE))^(VLOOKUP(J10,Inputs!$A$22:$B$33,2,1))</f>
        <v>3.4307521988581335E-3</v>
      </c>
      <c r="N10" s="215">
        <f>1-(1-VLOOKUP(Inputs!B$1+I10-1,Inputs!$J$5:$L$105,IF(B$2="M",2,3),0))^(1/12)</f>
        <v>1.3593491795749202E-4</v>
      </c>
      <c r="O10" s="219">
        <f t="shared" si="6"/>
        <v>0.9745714171299571</v>
      </c>
      <c r="P10" s="218">
        <f t="shared" si="7"/>
        <v>0.97077764972624414</v>
      </c>
      <c r="Q10" s="220">
        <f t="shared" si="8"/>
        <v>0.98231139080895569</v>
      </c>
      <c r="R10" s="218">
        <f t="shared" si="0"/>
        <v>0.97793834497081489</v>
      </c>
      <c r="S10" s="180"/>
      <c r="T10" s="222">
        <f t="shared" si="1"/>
        <v>0</v>
      </c>
      <c r="U10" s="183"/>
      <c r="V10" s="221">
        <f t="shared" si="2"/>
        <v>0</v>
      </c>
      <c r="W10" s="6"/>
      <c r="X10" s="181">
        <f>Inputs!C$14*V10</f>
        <v>0</v>
      </c>
      <c r="Y10" s="224">
        <f>Inputs!C$17*V10</f>
        <v>0</v>
      </c>
      <c r="Z10" s="225">
        <f t="shared" si="3"/>
        <v>0</v>
      </c>
      <c r="AA10" s="185"/>
      <c r="AB10" s="92"/>
      <c r="AC10" s="210">
        <f t="shared" si="4"/>
        <v>0</v>
      </c>
      <c r="AD10" s="8">
        <f t="shared" si="9"/>
        <v>0</v>
      </c>
      <c r="AE10" s="8">
        <f t="shared" si="11"/>
        <v>0</v>
      </c>
      <c r="AF10" s="223">
        <f t="shared" ref="AF10:AF20" si="13">AE$5*$O7</f>
        <v>0</v>
      </c>
      <c r="AG10" s="223">
        <f>AE$5*$O6</f>
        <v>0</v>
      </c>
      <c r="AP10">
        <f t="shared" si="5"/>
        <v>0</v>
      </c>
      <c r="AQ10">
        <f t="shared" si="10"/>
        <v>0</v>
      </c>
      <c r="AR10">
        <f t="shared" si="12"/>
        <v>0</v>
      </c>
      <c r="AS10" s="223">
        <f t="shared" ref="AS10:AS20" si="14">AF10*$L7</f>
        <v>0</v>
      </c>
      <c r="AT10" s="223">
        <f>AG10*$L6</f>
        <v>0</v>
      </c>
    </row>
    <row r="11" spans="1:52">
      <c r="A11" s="35" t="s">
        <v>40</v>
      </c>
      <c r="B11" s="7" t="s">
        <v>41</v>
      </c>
      <c r="C11" s="7"/>
      <c r="D11" s="7"/>
      <c r="E11" s="35" t="s">
        <v>40</v>
      </c>
      <c r="F11" s="165">
        <f>F5*Inputs!C18</f>
        <v>276.73168483586716</v>
      </c>
      <c r="G11" s="7" t="s">
        <v>35</v>
      </c>
      <c r="I11">
        <v>1</v>
      </c>
      <c r="J11">
        <v>6</v>
      </c>
      <c r="L11" s="215">
        <f>1-(1-VLOOKUP(Inputs!B$1+I11-1,Inputs!$F$5:$H$105,IF(B$2="M",2,3),0))^(1/12)</f>
        <v>3.2770253940961336E-4</v>
      </c>
      <c r="M11" s="216">
        <f>1-(1-VLOOKUP(I11,Inputs!$C$22:$D$32,2,FALSE))^(VLOOKUP(J11,Inputs!$A$22:$B$33,2,1))</f>
        <v>3.4307521988581335E-3</v>
      </c>
      <c r="N11" s="215">
        <f>1-(1-VLOOKUP(Inputs!B$1+I11-1,Inputs!$J$5:$L$105,IF(B$2="M",2,3),0))^(1/12)</f>
        <v>1.3593491795749202E-4</v>
      </c>
      <c r="O11" s="219">
        <f t="shared" si="6"/>
        <v>0.97077764972624414</v>
      </c>
      <c r="P11" s="218">
        <f t="shared" si="7"/>
        <v>0.96699865052818601</v>
      </c>
      <c r="Q11" s="220">
        <f t="shared" si="8"/>
        <v>0.97793834497081489</v>
      </c>
      <c r="R11" s="218">
        <f t="shared" si="0"/>
        <v>0.97358476702247088</v>
      </c>
      <c r="S11" s="180"/>
      <c r="T11" s="222">
        <f t="shared" si="1"/>
        <v>0</v>
      </c>
      <c r="U11" s="183"/>
      <c r="V11" s="221">
        <f t="shared" si="2"/>
        <v>0</v>
      </c>
      <c r="W11" s="6"/>
      <c r="X11" s="181">
        <f>Inputs!C$14*V11</f>
        <v>0</v>
      </c>
      <c r="Y11" s="224">
        <f>Inputs!C$17*V11</f>
        <v>0</v>
      </c>
      <c r="Z11" s="225">
        <f t="shared" si="3"/>
        <v>0</v>
      </c>
      <c r="AA11" s="185"/>
      <c r="AB11" s="92"/>
      <c r="AC11" s="210">
        <f t="shared" si="4"/>
        <v>0</v>
      </c>
      <c r="AD11" s="8">
        <f t="shared" si="9"/>
        <v>0</v>
      </c>
      <c r="AE11" s="8">
        <f t="shared" si="11"/>
        <v>0</v>
      </c>
      <c r="AF11" s="223">
        <f t="shared" si="13"/>
        <v>0</v>
      </c>
      <c r="AG11" s="223">
        <f t="shared" ref="AG11:AG21" si="15">AE$5*$O7</f>
        <v>0</v>
      </c>
      <c r="AH11" s="223">
        <f>AE$5*$O6</f>
        <v>0</v>
      </c>
      <c r="AP11">
        <f t="shared" si="5"/>
        <v>0</v>
      </c>
      <c r="AQ11">
        <f t="shared" si="10"/>
        <v>0</v>
      </c>
      <c r="AR11">
        <f t="shared" si="12"/>
        <v>0</v>
      </c>
      <c r="AS11" s="223">
        <f t="shared" si="14"/>
        <v>0</v>
      </c>
      <c r="AT11" s="223">
        <f t="shared" ref="AT11:AT21" si="16">AG11*$L7</f>
        <v>0</v>
      </c>
      <c r="AU11" s="223">
        <f>AH11*$L6</f>
        <v>0</v>
      </c>
    </row>
    <row r="12" spans="1:52">
      <c r="A12" s="35" t="s">
        <v>40</v>
      </c>
      <c r="B12" s="7" t="s">
        <v>111</v>
      </c>
      <c r="E12" s="35" t="s">
        <v>40</v>
      </c>
      <c r="F12" s="166">
        <f>SUMPRODUCT(R6:R29,Y6:Y29)</f>
        <v>90.281962103647075</v>
      </c>
      <c r="I12">
        <v>1</v>
      </c>
      <c r="J12">
        <v>7</v>
      </c>
      <c r="L12" s="215">
        <f>1-(1-VLOOKUP(Inputs!B$1+I12-1,Inputs!$F$5:$H$105,IF(B$2="M",2,3),0))^(1/12)</f>
        <v>3.2770253940961336E-4</v>
      </c>
      <c r="M12" s="216">
        <f>1-(1-VLOOKUP(I12,Inputs!$C$22:$D$32,2,FALSE))^(VLOOKUP(J12,Inputs!$A$22:$B$33,2,1))</f>
        <v>3.4307521988581335E-3</v>
      </c>
      <c r="N12" s="215">
        <f>1-(1-VLOOKUP(Inputs!B$1+I12-1,Inputs!$J$5:$L$105,IF(B$2="M",2,3),0))^(1/12)</f>
        <v>1.3593491795749202E-4</v>
      </c>
      <c r="O12" s="219">
        <f t="shared" si="6"/>
        <v>0.96699865052818601</v>
      </c>
      <c r="P12" s="218">
        <f t="shared" si="7"/>
        <v>0.96323436204678148</v>
      </c>
      <c r="Q12" s="220">
        <f t="shared" si="8"/>
        <v>0.97358476702247088</v>
      </c>
      <c r="R12" s="218">
        <f t="shared" si="0"/>
        <v>0.96925057029693074</v>
      </c>
      <c r="S12" s="180">
        <v>500</v>
      </c>
      <c r="T12" s="222">
        <f t="shared" si="1"/>
        <v>500</v>
      </c>
      <c r="U12" s="183"/>
      <c r="V12" s="221">
        <f t="shared" si="2"/>
        <v>0.16385126970480668</v>
      </c>
      <c r="W12" s="6"/>
      <c r="X12" s="181">
        <f>Inputs!C$14*V12</f>
        <v>0</v>
      </c>
      <c r="Y12" s="224">
        <f>Inputs!C$17*V12</f>
        <v>8.1925634852403348</v>
      </c>
      <c r="Z12" s="225">
        <f t="shared" si="3"/>
        <v>4915.5380911442007</v>
      </c>
      <c r="AA12" s="185"/>
      <c r="AB12" s="92"/>
      <c r="AC12" s="210">
        <f t="shared" si="4"/>
        <v>0</v>
      </c>
      <c r="AD12" s="8">
        <f t="shared" si="9"/>
        <v>0</v>
      </c>
      <c r="AE12" s="8">
        <f t="shared" si="11"/>
        <v>0</v>
      </c>
      <c r="AF12" s="223">
        <f t="shared" si="13"/>
        <v>0</v>
      </c>
      <c r="AG12" s="223">
        <f t="shared" si="15"/>
        <v>0</v>
      </c>
      <c r="AH12" s="223">
        <f t="shared" ref="AH12:AH22" si="17">AE$5*$O7</f>
        <v>0</v>
      </c>
      <c r="AI12" s="223">
        <f>AI$5*$O6</f>
        <v>500</v>
      </c>
      <c r="AP12">
        <f t="shared" si="5"/>
        <v>0</v>
      </c>
      <c r="AQ12">
        <f t="shared" si="10"/>
        <v>0</v>
      </c>
      <c r="AR12">
        <f t="shared" si="12"/>
        <v>0</v>
      </c>
      <c r="AS12" s="223">
        <f t="shared" si="14"/>
        <v>0</v>
      </c>
      <c r="AT12" s="223">
        <f t="shared" si="16"/>
        <v>0</v>
      </c>
      <c r="AU12" s="223">
        <f t="shared" ref="AU12:AU22" si="18">AH12*$L7</f>
        <v>0</v>
      </c>
      <c r="AV12" s="223">
        <f>AI12*$L6</f>
        <v>0.16385126970480668</v>
      </c>
    </row>
    <row r="13" spans="1:52">
      <c r="A13" s="36" t="s">
        <v>112</v>
      </c>
      <c r="F13" s="167">
        <f>B4*25</f>
        <v>12500</v>
      </c>
      <c r="I13">
        <v>1</v>
      </c>
      <c r="J13">
        <v>8</v>
      </c>
      <c r="L13" s="215">
        <f>1-(1-VLOOKUP(Inputs!B$1+I13-1,Inputs!$F$5:$H$105,IF(B$2="M",2,3),0))^(1/12)</f>
        <v>3.2770253940961336E-4</v>
      </c>
      <c r="M13" s="216">
        <f>1-(1-VLOOKUP(I13,Inputs!$C$22:$D$32,2,FALSE))^(VLOOKUP(J13,Inputs!$A$22:$B$33,2,1))</f>
        <v>3.4307521988581335E-3</v>
      </c>
      <c r="N13" s="215">
        <f>1-(1-VLOOKUP(Inputs!B$1+I13-1,Inputs!$J$5:$L$105,IF(B$2="M",2,3),0))^(1/12)</f>
        <v>1.3593491795749202E-4</v>
      </c>
      <c r="O13" s="219">
        <f t="shared" si="6"/>
        <v>0.96323436204678148</v>
      </c>
      <c r="P13" s="218">
        <f t="shared" si="7"/>
        <v>0.95948472701682042</v>
      </c>
      <c r="Q13" s="220">
        <f t="shared" si="8"/>
        <v>0.96925057029693074</v>
      </c>
      <c r="R13" s="218">
        <f t="shared" si="0"/>
        <v>0.96493566851302481</v>
      </c>
      <c r="S13" s="180"/>
      <c r="T13" s="222">
        <f t="shared" si="1"/>
        <v>496.3703839392972</v>
      </c>
      <c r="U13" s="183"/>
      <c r="V13" s="221">
        <f t="shared" si="2"/>
        <v>0.16266183530463246</v>
      </c>
      <c r="W13" s="6"/>
      <c r="X13" s="181">
        <f>Inputs!C$14*V13</f>
        <v>0</v>
      </c>
      <c r="Y13" s="224">
        <f>Inputs!C$17*V13</f>
        <v>8.1330917652316224</v>
      </c>
      <c r="Z13" s="225">
        <f t="shared" si="3"/>
        <v>4879.855059138974</v>
      </c>
      <c r="AA13" s="185"/>
      <c r="AB13" s="92"/>
      <c r="AC13" s="210">
        <f t="shared" si="4"/>
        <v>0</v>
      </c>
      <c r="AD13" s="8">
        <f t="shared" si="9"/>
        <v>0</v>
      </c>
      <c r="AE13" s="8">
        <f t="shared" si="11"/>
        <v>0</v>
      </c>
      <c r="AF13" s="223">
        <f t="shared" si="13"/>
        <v>0</v>
      </c>
      <c r="AG13" s="223">
        <f t="shared" si="15"/>
        <v>0</v>
      </c>
      <c r="AH13" s="223">
        <f t="shared" si="17"/>
        <v>0</v>
      </c>
      <c r="AI13" s="223">
        <f t="shared" ref="AI13:AI23" si="19">AI$5*$O7</f>
        <v>496.3703839392972</v>
      </c>
      <c r="AJ13" s="223">
        <f>AE$5*$O6</f>
        <v>0</v>
      </c>
      <c r="AP13">
        <f t="shared" si="5"/>
        <v>0</v>
      </c>
      <c r="AQ13">
        <f t="shared" si="10"/>
        <v>0</v>
      </c>
      <c r="AR13">
        <f t="shared" si="12"/>
        <v>0</v>
      </c>
      <c r="AS13" s="223">
        <f t="shared" si="14"/>
        <v>0</v>
      </c>
      <c r="AT13" s="223">
        <f t="shared" si="16"/>
        <v>0</v>
      </c>
      <c r="AU13" s="223">
        <f t="shared" si="18"/>
        <v>0</v>
      </c>
      <c r="AV13" s="223">
        <f t="shared" ref="AV13:AV23" si="20">AI13*$L7</f>
        <v>0.16266183530463246</v>
      </c>
      <c r="AW13" s="223">
        <f>AJ13*$L6</f>
        <v>0</v>
      </c>
    </row>
    <row r="14" spans="1:52">
      <c r="A14" s="36" t="s">
        <v>42</v>
      </c>
      <c r="B14" s="7"/>
      <c r="C14" s="7"/>
      <c r="D14" s="7"/>
      <c r="E14" s="7"/>
      <c r="F14" s="168"/>
      <c r="G14" s="7"/>
      <c r="I14">
        <v>1</v>
      </c>
      <c r="J14">
        <v>9</v>
      </c>
      <c r="L14" s="215">
        <f>1-(1-VLOOKUP(Inputs!B$1+I14-1,Inputs!$F$5:$H$105,IF(B$2="M",2,3),0))^(1/12)</f>
        <v>3.2770253940961336E-4</v>
      </c>
      <c r="M14" s="216">
        <f>1-(1-VLOOKUP(I14,Inputs!$C$22:$D$32,2,FALSE))^(VLOOKUP(J14,Inputs!$A$22:$B$33,2,1))</f>
        <v>3.4307521988581335E-3</v>
      </c>
      <c r="N14" s="215">
        <f>1-(1-VLOOKUP(Inputs!B$1+I14-1,Inputs!$J$5:$L$105,IF(B$2="M",2,3),0))^(1/12)</f>
        <v>1.3593491795749202E-4</v>
      </c>
      <c r="O14" s="219">
        <f t="shared" si="6"/>
        <v>0.95948472701682042</v>
      </c>
      <c r="P14" s="218">
        <f t="shared" si="7"/>
        <v>0.9557496883960116</v>
      </c>
      <c r="Q14" s="220">
        <f t="shared" si="8"/>
        <v>0.96493566851302481</v>
      </c>
      <c r="R14" s="218">
        <f t="shared" si="0"/>
        <v>0.96063997577368943</v>
      </c>
      <c r="S14" s="180"/>
      <c r="T14" s="222">
        <f t="shared" si="1"/>
        <v>492.76711610409069</v>
      </c>
      <c r="U14" s="183"/>
      <c r="V14" s="221">
        <f t="shared" si="2"/>
        <v>0.1614810352848623</v>
      </c>
      <c r="W14" s="6"/>
      <c r="X14" s="181">
        <f>Inputs!C$14*V14</f>
        <v>0</v>
      </c>
      <c r="Y14" s="224">
        <f>Inputs!C$17*V14</f>
        <v>8.074051764243114</v>
      </c>
      <c r="Z14" s="225">
        <f t="shared" si="3"/>
        <v>4844.4310585458688</v>
      </c>
      <c r="AA14" s="185"/>
      <c r="AB14" s="92"/>
      <c r="AC14" s="210">
        <f t="shared" si="4"/>
        <v>0</v>
      </c>
      <c r="AD14" s="8">
        <f t="shared" si="9"/>
        <v>0</v>
      </c>
      <c r="AE14" s="8">
        <f t="shared" si="11"/>
        <v>0</v>
      </c>
      <c r="AF14" s="223">
        <f t="shared" si="13"/>
        <v>0</v>
      </c>
      <c r="AG14" s="223">
        <f t="shared" si="15"/>
        <v>0</v>
      </c>
      <c r="AH14" s="223">
        <f t="shared" si="17"/>
        <v>0</v>
      </c>
      <c r="AI14" s="223">
        <f t="shared" si="19"/>
        <v>492.76711610409069</v>
      </c>
      <c r="AJ14" s="223">
        <f t="shared" ref="AJ14:AJ24" si="21">AE$5*$O7</f>
        <v>0</v>
      </c>
      <c r="AK14" s="223">
        <f>AE$5*$O6</f>
        <v>0</v>
      </c>
      <c r="AP14">
        <f t="shared" si="5"/>
        <v>0</v>
      </c>
      <c r="AQ14">
        <f t="shared" si="10"/>
        <v>0</v>
      </c>
      <c r="AR14">
        <f t="shared" si="12"/>
        <v>0</v>
      </c>
      <c r="AS14" s="223">
        <f t="shared" si="14"/>
        <v>0</v>
      </c>
      <c r="AT14" s="223">
        <f t="shared" si="16"/>
        <v>0</v>
      </c>
      <c r="AU14" s="223">
        <f t="shared" si="18"/>
        <v>0</v>
      </c>
      <c r="AV14" s="223">
        <f t="shared" si="20"/>
        <v>0.1614810352848623</v>
      </c>
      <c r="AW14" s="223">
        <f t="shared" ref="AW14:AW24" si="22">AJ14*$L7</f>
        <v>0</v>
      </c>
      <c r="AX14" s="223">
        <f>AK14*$L6</f>
        <v>0</v>
      </c>
    </row>
    <row r="15" spans="1:52">
      <c r="B15" s="7"/>
      <c r="C15" s="7"/>
      <c r="D15" s="7"/>
      <c r="E15" s="7"/>
      <c r="F15" s="163">
        <f>F6+F7+F12+F13</f>
        <v>66759.459224291903</v>
      </c>
      <c r="G15" s="7"/>
      <c r="I15">
        <v>1</v>
      </c>
      <c r="J15">
        <v>10</v>
      </c>
      <c r="L15" s="215">
        <f>1-(1-VLOOKUP(Inputs!B$1+I15-1,Inputs!$F$5:$H$105,IF(B$2="M",2,3),0))^(1/12)</f>
        <v>3.2770253940961336E-4</v>
      </c>
      <c r="M15" s="216">
        <f>1-(1-VLOOKUP(I15,Inputs!$C$22:$D$32,2,FALSE))^(VLOOKUP(J15,Inputs!$A$22:$B$33,2,1))</f>
        <v>3.4307521988581335E-3</v>
      </c>
      <c r="N15" s="215">
        <f>1-(1-VLOOKUP(Inputs!B$1+I15-1,Inputs!$J$5:$L$105,IF(B$2="M",2,3),0))^(1/12)</f>
        <v>1.3593491795749202E-4</v>
      </c>
      <c r="O15" s="219">
        <f t="shared" si="6"/>
        <v>0.9557496883960116</v>
      </c>
      <c r="P15" s="218">
        <f t="shared" si="7"/>
        <v>0.95202918936411551</v>
      </c>
      <c r="Q15" s="220">
        <f t="shared" si="8"/>
        <v>0.96063997577368943</v>
      </c>
      <c r="R15" s="218">
        <f t="shared" si="0"/>
        <v>0.95636340656425645</v>
      </c>
      <c r="S15" s="180"/>
      <c r="T15" s="222">
        <f t="shared" si="1"/>
        <v>489.19000522649554</v>
      </c>
      <c r="U15" s="183"/>
      <c r="V15" s="221">
        <f t="shared" si="2"/>
        <v>0.16030880696652461</v>
      </c>
      <c r="W15" s="6"/>
      <c r="X15" s="181">
        <f>Inputs!C$14*V15</f>
        <v>0</v>
      </c>
      <c r="Y15" s="224">
        <f>Inputs!C$17*V15</f>
        <v>8.01544034832623</v>
      </c>
      <c r="Z15" s="225">
        <f t="shared" si="3"/>
        <v>4809.264208995738</v>
      </c>
      <c r="AA15" s="185"/>
      <c r="AB15" s="92"/>
      <c r="AC15" s="210">
        <f t="shared" si="4"/>
        <v>0</v>
      </c>
      <c r="AD15" s="8">
        <f t="shared" si="9"/>
        <v>0</v>
      </c>
      <c r="AE15" s="8">
        <f t="shared" si="11"/>
        <v>0</v>
      </c>
      <c r="AF15" s="223">
        <f t="shared" si="13"/>
        <v>0</v>
      </c>
      <c r="AG15" s="223">
        <f t="shared" si="15"/>
        <v>0</v>
      </c>
      <c r="AH15" s="223">
        <f t="shared" si="17"/>
        <v>0</v>
      </c>
      <c r="AI15" s="223">
        <f t="shared" si="19"/>
        <v>489.19000522649554</v>
      </c>
      <c r="AJ15" s="223">
        <f t="shared" si="21"/>
        <v>0</v>
      </c>
      <c r="AK15" s="223">
        <f t="shared" ref="AK15:AK25" si="23">AE$5*$O7</f>
        <v>0</v>
      </c>
      <c r="AL15" s="223">
        <f>AE$5*$O6</f>
        <v>0</v>
      </c>
      <c r="AP15">
        <f t="shared" si="5"/>
        <v>0</v>
      </c>
      <c r="AQ15">
        <f t="shared" si="10"/>
        <v>0</v>
      </c>
      <c r="AR15">
        <f t="shared" si="12"/>
        <v>0</v>
      </c>
      <c r="AS15" s="223">
        <f t="shared" si="14"/>
        <v>0</v>
      </c>
      <c r="AT15" s="223">
        <f t="shared" si="16"/>
        <v>0</v>
      </c>
      <c r="AU15" s="223">
        <f t="shared" si="18"/>
        <v>0</v>
      </c>
      <c r="AV15" s="223">
        <f t="shared" si="20"/>
        <v>0.16030880696652461</v>
      </c>
      <c r="AW15" s="223">
        <f t="shared" si="22"/>
        <v>0</v>
      </c>
      <c r="AX15" s="223">
        <f t="shared" ref="AX15:AX25" si="24">AK15*$L7</f>
        <v>0</v>
      </c>
      <c r="AY15" s="223">
        <f>AL15*$L6</f>
        <v>0</v>
      </c>
    </row>
    <row r="16" spans="1:52">
      <c r="B16" s="7"/>
      <c r="C16" s="7"/>
      <c r="D16" s="7"/>
      <c r="E16" s="35" t="s">
        <v>25</v>
      </c>
      <c r="F16" s="169">
        <f>F5-F8-F9-F10-F11</f>
        <v>3735.8777452842055</v>
      </c>
      <c r="G16" s="7" t="s">
        <v>43</v>
      </c>
      <c r="I16">
        <v>1</v>
      </c>
      <c r="J16">
        <v>11</v>
      </c>
      <c r="L16" s="215">
        <f>1-(1-VLOOKUP(Inputs!B$1+I16-1,Inputs!$F$5:$H$105,IF(B$2="M",2,3),0))^(1/12)</f>
        <v>3.2770253940961336E-4</v>
      </c>
      <c r="M16" s="216">
        <f>1-(1-VLOOKUP(I16,Inputs!$C$22:$D$32,2,FALSE))^(VLOOKUP(J16,Inputs!$A$22:$B$33,2,1))</f>
        <v>3.4307521988581335E-3</v>
      </c>
      <c r="N16" s="215">
        <f>1-(1-VLOOKUP(Inputs!B$1+I16-1,Inputs!$J$5:$L$105,IF(B$2="M",2,3),0))^(1/12)</f>
        <v>1.3593491795749202E-4</v>
      </c>
      <c r="O16" s="219">
        <f t="shared" si="6"/>
        <v>0.95202918936411551</v>
      </c>
      <c r="P16" s="218">
        <f t="shared" si="7"/>
        <v>0.94832317332208005</v>
      </c>
      <c r="Q16" s="220">
        <f t="shared" si="8"/>
        <v>0.95636340656425645</v>
      </c>
      <c r="R16" s="218">
        <f t="shared" si="0"/>
        <v>0.95210587575075156</v>
      </c>
      <c r="S16" s="180"/>
      <c r="T16" s="222">
        <f t="shared" si="1"/>
        <v>487.28570856497856</v>
      </c>
      <c r="U16" s="183"/>
      <c r="V16" s="221">
        <f t="shared" si="2"/>
        <v>0.15968476411475627</v>
      </c>
      <c r="W16" s="6"/>
      <c r="X16" s="181">
        <f>Inputs!C$14*V16</f>
        <v>0</v>
      </c>
      <c r="Y16" s="224">
        <f>Inputs!C$17*V16</f>
        <v>7.984238205737813</v>
      </c>
      <c r="Z16" s="225">
        <f t="shared" si="3"/>
        <v>4790.5429234426883</v>
      </c>
      <c r="AA16" s="185"/>
      <c r="AB16" s="92"/>
      <c r="AC16" s="210">
        <f t="shared" si="4"/>
        <v>0</v>
      </c>
      <c r="AD16" s="8">
        <f t="shared" si="9"/>
        <v>0</v>
      </c>
      <c r="AE16" s="8">
        <f t="shared" si="11"/>
        <v>0</v>
      </c>
      <c r="AF16" s="223">
        <f t="shared" si="13"/>
        <v>0</v>
      </c>
      <c r="AG16" s="223">
        <f t="shared" si="15"/>
        <v>0</v>
      </c>
      <c r="AH16" s="223">
        <f t="shared" si="17"/>
        <v>0</v>
      </c>
      <c r="AI16" s="223">
        <f t="shared" si="19"/>
        <v>487.28570856497856</v>
      </c>
      <c r="AJ16" s="223">
        <f t="shared" si="21"/>
        <v>0</v>
      </c>
      <c r="AK16" s="223">
        <f t="shared" si="23"/>
        <v>0</v>
      </c>
      <c r="AL16" s="223">
        <f t="shared" ref="AL16:AL26" si="25">AE$5*$O7</f>
        <v>0</v>
      </c>
      <c r="AM16" s="223">
        <f>AE$5*$O6</f>
        <v>0</v>
      </c>
      <c r="AP16">
        <f t="shared" si="5"/>
        <v>0</v>
      </c>
      <c r="AQ16">
        <f t="shared" si="10"/>
        <v>0</v>
      </c>
      <c r="AR16">
        <f t="shared" si="12"/>
        <v>0</v>
      </c>
      <c r="AS16" s="223">
        <f t="shared" si="14"/>
        <v>0</v>
      </c>
      <c r="AT16" s="223">
        <f t="shared" si="16"/>
        <v>0</v>
      </c>
      <c r="AU16" s="223">
        <f t="shared" si="18"/>
        <v>0</v>
      </c>
      <c r="AV16" s="223">
        <f t="shared" si="20"/>
        <v>0.15968476411475627</v>
      </c>
      <c r="AW16" s="223">
        <f t="shared" si="22"/>
        <v>0</v>
      </c>
      <c r="AX16" s="223">
        <f t="shared" si="24"/>
        <v>0</v>
      </c>
      <c r="AY16" s="223">
        <f t="shared" ref="AY16:AY26" si="26">AL16*$L7</f>
        <v>0</v>
      </c>
      <c r="AZ16" s="223">
        <f>AM16*$L6</f>
        <v>0</v>
      </c>
    </row>
    <row r="17" spans="1:53">
      <c r="B17" s="38"/>
      <c r="C17" s="38"/>
      <c r="D17" s="38"/>
      <c r="E17" s="35" t="s">
        <v>25</v>
      </c>
      <c r="F17" s="226">
        <f>F15/F16</f>
        <v>17.869819029426832</v>
      </c>
      <c r="G17" s="160"/>
      <c r="H17" s="95"/>
      <c r="I17" s="5">
        <f>IF(J17=1,I16+1,I16)</f>
        <v>1</v>
      </c>
      <c r="J17" s="5">
        <v>12</v>
      </c>
      <c r="L17" s="215">
        <f>1-(1-VLOOKUP(Inputs!B$1+I17-1,Inputs!$F$5:$H$105,IF(B$2="M",2,3),0))^(1/12)</f>
        <v>3.2770253940961336E-4</v>
      </c>
      <c r="M17" s="216">
        <f>1-(1-VLOOKUP(I17,Inputs!$C$22:$D$32,2,FALSE))^(VLOOKUP(J17,Inputs!$A$22:$B$33,2,1))</f>
        <v>3.4307521988581335E-3</v>
      </c>
      <c r="N17" s="215">
        <f>1-(1-VLOOKUP(Inputs!B$1+I17-1,Inputs!$J$5:$L$105,IF(B$2="M",2,3),0))^(1/12)</f>
        <v>1.3593491795749202E-4</v>
      </c>
      <c r="O17" s="219">
        <f t="shared" si="6"/>
        <v>0.94832317332208005</v>
      </c>
      <c r="P17" s="218">
        <f t="shared" si="7"/>
        <v>0.94463158389117929</v>
      </c>
      <c r="Q17" s="220">
        <f t="shared" si="8"/>
        <v>0.95210587575075156</v>
      </c>
      <c r="R17" s="218">
        <f t="shared" si="0"/>
        <v>0.94786729857819896</v>
      </c>
      <c r="S17" s="180"/>
      <c r="T17" s="222">
        <f t="shared" si="1"/>
        <v>485.38882486312207</v>
      </c>
      <c r="U17" s="183"/>
      <c r="V17" s="221">
        <f t="shared" si="2"/>
        <v>0.15906315050869319</v>
      </c>
      <c r="W17" s="6"/>
      <c r="X17" s="181">
        <f>Inputs!C$14*V17</f>
        <v>0</v>
      </c>
      <c r="Y17" s="224">
        <f>Inputs!C$17*V17</f>
        <v>7.9531575254346594</v>
      </c>
      <c r="Z17" s="225">
        <f t="shared" si="3"/>
        <v>4771.8945152607957</v>
      </c>
      <c r="AA17" s="185"/>
      <c r="AB17" s="92"/>
      <c r="AC17" s="210">
        <f t="shared" si="4"/>
        <v>0</v>
      </c>
      <c r="AD17" s="8">
        <f t="shared" si="9"/>
        <v>0</v>
      </c>
      <c r="AE17" s="8">
        <f t="shared" si="11"/>
        <v>0</v>
      </c>
      <c r="AF17" s="223">
        <f t="shared" si="13"/>
        <v>0</v>
      </c>
      <c r="AG17" s="223">
        <f t="shared" si="15"/>
        <v>0</v>
      </c>
      <c r="AH17" s="223">
        <f t="shared" si="17"/>
        <v>0</v>
      </c>
      <c r="AI17" s="223">
        <f t="shared" si="19"/>
        <v>485.38882486312207</v>
      </c>
      <c r="AJ17" s="223">
        <f t="shared" si="21"/>
        <v>0</v>
      </c>
      <c r="AK17" s="223">
        <f t="shared" si="23"/>
        <v>0</v>
      </c>
      <c r="AL17" s="223">
        <f t="shared" si="25"/>
        <v>0</v>
      </c>
      <c r="AM17" s="223">
        <f t="shared" ref="AM17:AM26" si="27">AE$5*$O7</f>
        <v>0</v>
      </c>
      <c r="AN17" s="223">
        <f>AE$5*$O6</f>
        <v>0</v>
      </c>
      <c r="AP17">
        <f t="shared" si="5"/>
        <v>0</v>
      </c>
      <c r="AQ17">
        <f t="shared" si="10"/>
        <v>0</v>
      </c>
      <c r="AR17">
        <f t="shared" si="12"/>
        <v>0</v>
      </c>
      <c r="AS17" s="223">
        <f t="shared" si="14"/>
        <v>0</v>
      </c>
      <c r="AT17" s="223">
        <f t="shared" si="16"/>
        <v>0</v>
      </c>
      <c r="AU17" s="223">
        <f t="shared" si="18"/>
        <v>0</v>
      </c>
      <c r="AV17" s="223">
        <f t="shared" si="20"/>
        <v>0.15906315050869319</v>
      </c>
      <c r="AW17" s="223">
        <f t="shared" si="22"/>
        <v>0</v>
      </c>
      <c r="AX17" s="223">
        <f t="shared" si="24"/>
        <v>0</v>
      </c>
      <c r="AY17" s="223">
        <f t="shared" si="26"/>
        <v>0</v>
      </c>
      <c r="AZ17" s="223">
        <f t="shared" ref="AZ17:AZ27" si="28">AM17*$L7</f>
        <v>0</v>
      </c>
      <c r="BA17" s="223">
        <f>AN17*$L6</f>
        <v>0</v>
      </c>
    </row>
    <row r="18" spans="1:53">
      <c r="B18" s="34"/>
      <c r="C18" s="7"/>
      <c r="D18" s="7"/>
      <c r="E18" s="161" t="s">
        <v>124</v>
      </c>
      <c r="F18" s="84">
        <f>F17*12</f>
        <v>214.43782835312197</v>
      </c>
      <c r="G18" s="161"/>
      <c r="H18" s="6"/>
      <c r="I18" s="5">
        <f t="shared" ref="I18:I27" si="29">IF(J18=1,I17+1,I17)</f>
        <v>2</v>
      </c>
      <c r="J18" s="5">
        <v>1</v>
      </c>
      <c r="K18" s="6"/>
      <c r="L18" s="88"/>
      <c r="M18" s="83"/>
      <c r="N18" s="88"/>
      <c r="O18" s="89"/>
      <c r="P18" s="89"/>
      <c r="Q18" s="220">
        <f t="shared" si="8"/>
        <v>0.94786729857819896</v>
      </c>
      <c r="R18" s="218">
        <f t="shared" si="0"/>
        <v>0.94364759066893444</v>
      </c>
      <c r="S18" s="6"/>
      <c r="T18" s="222">
        <f t="shared" ref="T18:T29" si="30">SUM(AC18:AN18)</f>
        <v>483.49932526409299</v>
      </c>
      <c r="U18" s="84"/>
      <c r="V18" s="221">
        <f t="shared" si="2"/>
        <v>0.15844395669187791</v>
      </c>
      <c r="W18" s="6"/>
      <c r="X18" s="181">
        <f>Inputs!C$14*V18</f>
        <v>0</v>
      </c>
      <c r="Y18" s="224">
        <f>Inputs!C$17*V18</f>
        <v>7.9221978345938959</v>
      </c>
      <c r="Z18" s="225">
        <f t="shared" si="3"/>
        <v>4753.3187007563374</v>
      </c>
      <c r="AA18" s="185"/>
      <c r="AB18" s="92"/>
      <c r="AD18" s="8">
        <f t="shared" si="9"/>
        <v>0</v>
      </c>
      <c r="AE18" s="8">
        <f t="shared" si="11"/>
        <v>0</v>
      </c>
      <c r="AF18" s="223">
        <f t="shared" si="13"/>
        <v>0</v>
      </c>
      <c r="AG18" s="223">
        <f t="shared" si="15"/>
        <v>0</v>
      </c>
      <c r="AH18" s="223">
        <f t="shared" si="17"/>
        <v>0</v>
      </c>
      <c r="AI18" s="223">
        <f t="shared" si="19"/>
        <v>483.49932526409299</v>
      </c>
      <c r="AJ18" s="223">
        <f t="shared" si="21"/>
        <v>0</v>
      </c>
      <c r="AK18" s="223">
        <f t="shared" si="23"/>
        <v>0</v>
      </c>
      <c r="AL18" s="223">
        <f t="shared" si="25"/>
        <v>0</v>
      </c>
      <c r="AM18" s="223">
        <f t="shared" si="27"/>
        <v>0</v>
      </c>
      <c r="AN18" s="223">
        <f t="shared" ref="AN18:AN28" si="31">AE$5*$O7</f>
        <v>0</v>
      </c>
      <c r="AP18" s="8"/>
      <c r="AQ18">
        <f t="shared" si="10"/>
        <v>0</v>
      </c>
      <c r="AR18">
        <f t="shared" si="12"/>
        <v>0</v>
      </c>
      <c r="AS18" s="223">
        <f t="shared" si="14"/>
        <v>0</v>
      </c>
      <c r="AT18" s="223">
        <f t="shared" si="16"/>
        <v>0</v>
      </c>
      <c r="AU18" s="223">
        <f t="shared" si="18"/>
        <v>0</v>
      </c>
      <c r="AV18" s="223">
        <f t="shared" si="20"/>
        <v>0.15844395669187791</v>
      </c>
      <c r="AW18" s="223">
        <f t="shared" si="22"/>
        <v>0</v>
      </c>
      <c r="AX18" s="223">
        <f t="shared" si="24"/>
        <v>0</v>
      </c>
      <c r="AY18" s="223">
        <f t="shared" si="26"/>
        <v>0</v>
      </c>
      <c r="AZ18" s="223">
        <f t="shared" si="28"/>
        <v>0</v>
      </c>
      <c r="BA18" s="223">
        <f t="shared" ref="BA18:BA28" si="32">AN18*$L7</f>
        <v>0</v>
      </c>
    </row>
    <row r="19" spans="1:53">
      <c r="I19" s="5">
        <f t="shared" si="29"/>
        <v>2</v>
      </c>
      <c r="J19" s="5">
        <v>2</v>
      </c>
      <c r="Q19" s="220">
        <f t="shared" si="8"/>
        <v>0.94364759066893444</v>
      </c>
      <c r="R19" s="218">
        <f t="shared" si="0"/>
        <v>0.93944666802092558</v>
      </c>
      <c r="T19" s="222">
        <f t="shared" si="30"/>
        <v>481.61718102339074</v>
      </c>
      <c r="V19" s="221">
        <f t="shared" si="2"/>
        <v>0.15782717324466461</v>
      </c>
      <c r="X19" s="181">
        <f>Inputs!C$14*V19</f>
        <v>0</v>
      </c>
      <c r="Y19" s="224">
        <f>Inputs!C$17*V19</f>
        <v>7.8913586622332303</v>
      </c>
      <c r="Z19" s="225">
        <f t="shared" si="3"/>
        <v>4734.8151973399381</v>
      </c>
      <c r="AA19" s="185"/>
      <c r="AB19" s="92"/>
      <c r="AE19" s="8">
        <f t="shared" si="11"/>
        <v>0</v>
      </c>
      <c r="AF19" s="223">
        <f t="shared" si="13"/>
        <v>0</v>
      </c>
      <c r="AG19" s="223">
        <f t="shared" si="15"/>
        <v>0</v>
      </c>
      <c r="AH19" s="223">
        <f t="shared" si="17"/>
        <v>0</v>
      </c>
      <c r="AI19" s="223">
        <f t="shared" si="19"/>
        <v>481.61718102339074</v>
      </c>
      <c r="AJ19" s="223">
        <f t="shared" si="21"/>
        <v>0</v>
      </c>
      <c r="AK19" s="223">
        <f t="shared" si="23"/>
        <v>0</v>
      </c>
      <c r="AL19" s="223">
        <f t="shared" si="25"/>
        <v>0</v>
      </c>
      <c r="AM19" s="223">
        <f t="shared" si="27"/>
        <v>0</v>
      </c>
      <c r="AN19" s="223">
        <f t="shared" si="31"/>
        <v>0</v>
      </c>
      <c r="AQ19" s="8"/>
      <c r="AR19">
        <f t="shared" si="12"/>
        <v>0</v>
      </c>
      <c r="AS19" s="223">
        <f t="shared" si="14"/>
        <v>0</v>
      </c>
      <c r="AT19" s="223">
        <f t="shared" si="16"/>
        <v>0</v>
      </c>
      <c r="AU19" s="223">
        <f t="shared" si="18"/>
        <v>0</v>
      </c>
      <c r="AV19" s="223">
        <f t="shared" si="20"/>
        <v>0.15782717324466461</v>
      </c>
      <c r="AW19" s="223">
        <f t="shared" si="22"/>
        <v>0</v>
      </c>
      <c r="AX19" s="223">
        <f t="shared" si="24"/>
        <v>0</v>
      </c>
      <c r="AY19" s="223">
        <f t="shared" si="26"/>
        <v>0</v>
      </c>
      <c r="AZ19" s="223">
        <f t="shared" si="28"/>
        <v>0</v>
      </c>
      <c r="BA19" s="223">
        <f t="shared" si="32"/>
        <v>0</v>
      </c>
    </row>
    <row r="20" spans="1:53">
      <c r="B20" s="7"/>
      <c r="C20" s="7"/>
      <c r="D20" s="7"/>
      <c r="E20" s="86"/>
      <c r="F20" s="83"/>
      <c r="I20" s="5">
        <f t="shared" si="29"/>
        <v>2</v>
      </c>
      <c r="J20" s="5">
        <v>3</v>
      </c>
      <c r="Q20" s="220">
        <f t="shared" si="8"/>
        <v>0.93944666802092558</v>
      </c>
      <c r="R20" s="218">
        <f t="shared" si="0"/>
        <v>0.93526444700609956</v>
      </c>
      <c r="T20" s="222">
        <f t="shared" si="30"/>
        <v>479.74236350841022</v>
      </c>
      <c r="V20" s="221">
        <f t="shared" si="2"/>
        <v>0.15721279078407585</v>
      </c>
      <c r="X20" s="181">
        <f>Inputs!C$14*V20</f>
        <v>0</v>
      </c>
      <c r="Y20" s="224">
        <f>Inputs!C$17*V20</f>
        <v>7.8606395392037927</v>
      </c>
      <c r="Z20" s="225">
        <f t="shared" si="3"/>
        <v>4716.3837235222754</v>
      </c>
      <c r="AA20" s="185"/>
      <c r="AB20" s="92"/>
      <c r="AF20" s="223">
        <f t="shared" si="13"/>
        <v>0</v>
      </c>
      <c r="AG20" s="223">
        <f t="shared" si="15"/>
        <v>0</v>
      </c>
      <c r="AH20" s="223">
        <f t="shared" si="17"/>
        <v>0</v>
      </c>
      <c r="AI20" s="223">
        <f t="shared" si="19"/>
        <v>479.74236350841022</v>
      </c>
      <c r="AJ20" s="223">
        <f t="shared" si="21"/>
        <v>0</v>
      </c>
      <c r="AK20" s="223">
        <f t="shared" si="23"/>
        <v>0</v>
      </c>
      <c r="AL20" s="223">
        <f t="shared" si="25"/>
        <v>0</v>
      </c>
      <c r="AM20" s="223">
        <f t="shared" si="27"/>
        <v>0</v>
      </c>
      <c r="AN20" s="223">
        <f t="shared" si="31"/>
        <v>0</v>
      </c>
      <c r="AR20" s="8"/>
      <c r="AS20" s="223">
        <f t="shared" si="14"/>
        <v>0</v>
      </c>
      <c r="AT20" s="223">
        <f t="shared" si="16"/>
        <v>0</v>
      </c>
      <c r="AU20" s="223">
        <f t="shared" si="18"/>
        <v>0</v>
      </c>
      <c r="AV20" s="223">
        <f t="shared" si="20"/>
        <v>0.15721279078407585</v>
      </c>
      <c r="AW20" s="223">
        <f t="shared" si="22"/>
        <v>0</v>
      </c>
      <c r="AX20" s="223">
        <f t="shared" si="24"/>
        <v>0</v>
      </c>
      <c r="AY20" s="223">
        <f t="shared" si="26"/>
        <v>0</v>
      </c>
      <c r="AZ20" s="223">
        <f t="shared" si="28"/>
        <v>0</v>
      </c>
      <c r="BA20" s="223">
        <f t="shared" si="32"/>
        <v>0</v>
      </c>
    </row>
    <row r="21" spans="1:53">
      <c r="B21" s="7"/>
      <c r="C21" s="7"/>
      <c r="D21" s="7"/>
      <c r="E21" s="86"/>
      <c r="F21" s="83"/>
      <c r="I21" s="5">
        <f t="shared" si="29"/>
        <v>2</v>
      </c>
      <c r="J21" s="5">
        <v>4</v>
      </c>
      <c r="Q21" s="220">
        <f t="shared" si="8"/>
        <v>0.93526444700609956</v>
      </c>
      <c r="R21" s="218">
        <f t="shared" si="0"/>
        <v>0.93110084436867835</v>
      </c>
      <c r="T21" s="222">
        <f t="shared" si="30"/>
        <v>477.8748441980058</v>
      </c>
      <c r="V21" s="221">
        <f t="shared" si="2"/>
        <v>0.15660079996365983</v>
      </c>
      <c r="X21" s="181">
        <f>Inputs!C$14*V21</f>
        <v>0</v>
      </c>
      <c r="Y21" s="224">
        <f>Inputs!C$17*V21</f>
        <v>7.8300399981829916</v>
      </c>
      <c r="Z21" s="225">
        <f t="shared" si="3"/>
        <v>4698.0239989097945</v>
      </c>
      <c r="AA21" s="185"/>
      <c r="AB21" s="92"/>
      <c r="AG21" s="223">
        <f t="shared" si="15"/>
        <v>0</v>
      </c>
      <c r="AH21" s="223">
        <f t="shared" si="17"/>
        <v>0</v>
      </c>
      <c r="AI21" s="223">
        <f t="shared" si="19"/>
        <v>477.8748441980058</v>
      </c>
      <c r="AJ21" s="223">
        <f t="shared" si="21"/>
        <v>0</v>
      </c>
      <c r="AK21" s="223">
        <f t="shared" si="23"/>
        <v>0</v>
      </c>
      <c r="AL21" s="223">
        <f t="shared" si="25"/>
        <v>0</v>
      </c>
      <c r="AM21" s="223">
        <f t="shared" si="27"/>
        <v>0</v>
      </c>
      <c r="AN21" s="223">
        <f t="shared" si="31"/>
        <v>0</v>
      </c>
      <c r="AT21" s="223">
        <f t="shared" si="16"/>
        <v>0</v>
      </c>
      <c r="AU21" s="223">
        <f t="shared" si="18"/>
        <v>0</v>
      </c>
      <c r="AV21" s="223">
        <f t="shared" si="20"/>
        <v>0.15660079996365983</v>
      </c>
      <c r="AW21" s="223">
        <f t="shared" si="22"/>
        <v>0</v>
      </c>
      <c r="AX21" s="223">
        <f t="shared" si="24"/>
        <v>0</v>
      </c>
      <c r="AY21" s="223">
        <f t="shared" si="26"/>
        <v>0</v>
      </c>
      <c r="AZ21" s="223">
        <f t="shared" si="28"/>
        <v>0</v>
      </c>
      <c r="BA21" s="223">
        <f t="shared" si="32"/>
        <v>0</v>
      </c>
    </row>
    <row r="22" spans="1:53">
      <c r="B22" s="7"/>
      <c r="C22" s="7"/>
      <c r="D22" s="7"/>
      <c r="E22" s="86"/>
      <c r="I22" s="5">
        <f t="shared" si="29"/>
        <v>2</v>
      </c>
      <c r="J22" s="5">
        <v>5</v>
      </c>
      <c r="Q22" s="220">
        <f t="shared" si="8"/>
        <v>0.93110084436867835</v>
      </c>
      <c r="R22" s="218">
        <f t="shared" si="0"/>
        <v>0.92695577722352118</v>
      </c>
      <c r="T22" s="222">
        <f t="shared" si="30"/>
        <v>476.01459468205775</v>
      </c>
      <c r="V22" s="221">
        <f t="shared" si="2"/>
        <v>0.15599119147334817</v>
      </c>
      <c r="X22" s="181">
        <f>Inputs!C$14*V22</f>
        <v>0</v>
      </c>
      <c r="Y22" s="224">
        <f>Inputs!C$17*V22</f>
        <v>7.7995595736674082</v>
      </c>
      <c r="Z22" s="225">
        <f t="shared" si="3"/>
        <v>4679.735744200445</v>
      </c>
      <c r="AA22" s="185"/>
      <c r="AB22" s="92"/>
      <c r="AH22" s="223">
        <f t="shared" si="17"/>
        <v>0</v>
      </c>
      <c r="AI22" s="223">
        <f t="shared" si="19"/>
        <v>476.01459468205775</v>
      </c>
      <c r="AJ22" s="223">
        <f t="shared" si="21"/>
        <v>0</v>
      </c>
      <c r="AK22" s="223">
        <f t="shared" si="23"/>
        <v>0</v>
      </c>
      <c r="AL22" s="223">
        <f t="shared" si="25"/>
        <v>0</v>
      </c>
      <c r="AM22" s="223">
        <f t="shared" si="27"/>
        <v>0</v>
      </c>
      <c r="AN22" s="223">
        <f t="shared" si="31"/>
        <v>0</v>
      </c>
      <c r="AU22" s="223">
        <f t="shared" si="18"/>
        <v>0</v>
      </c>
      <c r="AV22" s="223">
        <f t="shared" si="20"/>
        <v>0.15599119147334817</v>
      </c>
      <c r="AW22" s="223">
        <f t="shared" si="22"/>
        <v>0</v>
      </c>
      <c r="AX22" s="223">
        <f t="shared" si="24"/>
        <v>0</v>
      </c>
      <c r="AY22" s="223">
        <f t="shared" si="26"/>
        <v>0</v>
      </c>
      <c r="AZ22" s="223">
        <f t="shared" si="28"/>
        <v>0</v>
      </c>
      <c r="BA22" s="223">
        <f t="shared" si="32"/>
        <v>0</v>
      </c>
    </row>
    <row r="23" spans="1:53">
      <c r="B23" s="7"/>
      <c r="C23" s="7"/>
      <c r="D23" s="7"/>
      <c r="E23" s="86"/>
      <c r="I23" s="5">
        <f t="shared" si="29"/>
        <v>2</v>
      </c>
      <c r="J23" s="5">
        <v>6</v>
      </c>
      <c r="Q23" s="220">
        <f t="shared" si="8"/>
        <v>0.92695577722352118</v>
      </c>
      <c r="R23" s="218">
        <f t="shared" si="0"/>
        <v>0.92282916305447482</v>
      </c>
      <c r="T23" s="222">
        <f t="shared" si="30"/>
        <v>474.16158666104002</v>
      </c>
      <c r="V23" s="221">
        <f t="shared" si="2"/>
        <v>0.15538395603931426</v>
      </c>
      <c r="X23" s="181">
        <f>Inputs!C$14*V23</f>
        <v>0</v>
      </c>
      <c r="Y23" s="224">
        <f>Inputs!C$17*V23</f>
        <v>7.7691978019657135</v>
      </c>
      <c r="Z23" s="225">
        <f t="shared" si="3"/>
        <v>4661.5186811794283</v>
      </c>
      <c r="AA23" s="185"/>
      <c r="AB23" s="92"/>
      <c r="AI23" s="223">
        <f t="shared" si="19"/>
        <v>474.16158666104002</v>
      </c>
      <c r="AJ23" s="223">
        <f t="shared" si="21"/>
        <v>0</v>
      </c>
      <c r="AK23" s="223">
        <f t="shared" si="23"/>
        <v>0</v>
      </c>
      <c r="AL23" s="223">
        <f t="shared" si="25"/>
        <v>0</v>
      </c>
      <c r="AM23" s="223">
        <f t="shared" si="27"/>
        <v>0</v>
      </c>
      <c r="AN23" s="223">
        <f t="shared" si="31"/>
        <v>0</v>
      </c>
      <c r="AV23" s="223">
        <f t="shared" si="20"/>
        <v>0.15538395603931426</v>
      </c>
      <c r="AW23" s="223">
        <f t="shared" si="22"/>
        <v>0</v>
      </c>
      <c r="AX23" s="223">
        <f t="shared" si="24"/>
        <v>0</v>
      </c>
      <c r="AY23" s="223">
        <f t="shared" si="26"/>
        <v>0</v>
      </c>
      <c r="AZ23" s="223">
        <f t="shared" si="28"/>
        <v>0</v>
      </c>
      <c r="BA23" s="223">
        <f t="shared" si="32"/>
        <v>0</v>
      </c>
    </row>
    <row r="24" spans="1:53">
      <c r="B24" s="7"/>
      <c r="C24" s="7"/>
      <c r="D24" s="7"/>
      <c r="E24" s="55"/>
      <c r="I24" s="5">
        <f t="shared" si="29"/>
        <v>2</v>
      </c>
      <c r="J24" s="5">
        <v>7</v>
      </c>
      <c r="Q24" s="220">
        <f t="shared" si="8"/>
        <v>0.92282916305447482</v>
      </c>
      <c r="R24" s="218">
        <f t="shared" si="0"/>
        <v>0.91872091971273062</v>
      </c>
      <c r="T24" s="222">
        <f t="shared" si="30"/>
        <v>0</v>
      </c>
      <c r="V24" s="221">
        <f t="shared" si="2"/>
        <v>0</v>
      </c>
      <c r="X24" s="181">
        <f>Inputs!C$14*V24</f>
        <v>0</v>
      </c>
      <c r="Y24" s="224">
        <f>Inputs!C$17*V24</f>
        <v>0</v>
      </c>
      <c r="Z24" s="225">
        <f t="shared" si="3"/>
        <v>0</v>
      </c>
      <c r="AA24" s="185"/>
      <c r="AB24" s="92"/>
      <c r="AJ24" s="223">
        <f t="shared" si="21"/>
        <v>0</v>
      </c>
      <c r="AK24" s="223">
        <f t="shared" si="23"/>
        <v>0</v>
      </c>
      <c r="AL24" s="223">
        <f t="shared" si="25"/>
        <v>0</v>
      </c>
      <c r="AM24" s="223">
        <f t="shared" si="27"/>
        <v>0</v>
      </c>
      <c r="AN24" s="223">
        <f t="shared" si="31"/>
        <v>0</v>
      </c>
      <c r="AW24" s="223">
        <f t="shared" si="22"/>
        <v>0</v>
      </c>
      <c r="AX24" s="223">
        <f t="shared" si="24"/>
        <v>0</v>
      </c>
      <c r="AY24" s="223">
        <f t="shared" si="26"/>
        <v>0</v>
      </c>
      <c r="AZ24" s="223">
        <f t="shared" si="28"/>
        <v>0</v>
      </c>
      <c r="BA24" s="223">
        <f t="shared" si="32"/>
        <v>0</v>
      </c>
    </row>
    <row r="25" spans="1:53">
      <c r="B25" s="7"/>
      <c r="C25" s="7"/>
      <c r="D25" s="7"/>
      <c r="E25" s="55"/>
      <c r="F25" s="83"/>
      <c r="I25" s="5">
        <f t="shared" si="29"/>
        <v>2</v>
      </c>
      <c r="J25" s="5">
        <v>8</v>
      </c>
      <c r="Q25" s="220">
        <f t="shared" si="8"/>
        <v>0.91872091971273062</v>
      </c>
      <c r="R25" s="218">
        <f t="shared" si="0"/>
        <v>0.91463096541518951</v>
      </c>
      <c r="T25" s="222">
        <f t="shared" si="30"/>
        <v>0</v>
      </c>
      <c r="V25" s="221">
        <f t="shared" si="2"/>
        <v>0</v>
      </c>
      <c r="X25" s="181">
        <f>Inputs!C$14*V25</f>
        <v>0</v>
      </c>
      <c r="Y25" s="224">
        <f>Inputs!C$17*V25</f>
        <v>0</v>
      </c>
      <c r="Z25" s="225">
        <f t="shared" si="3"/>
        <v>0</v>
      </c>
      <c r="AA25" s="185"/>
      <c r="AB25" s="92"/>
      <c r="AK25" s="223">
        <f t="shared" si="23"/>
        <v>0</v>
      </c>
      <c r="AL25" s="223">
        <f t="shared" si="25"/>
        <v>0</v>
      </c>
      <c r="AM25" s="223">
        <f t="shared" si="27"/>
        <v>0</v>
      </c>
      <c r="AN25" s="223">
        <f t="shared" si="31"/>
        <v>0</v>
      </c>
      <c r="AX25" s="223">
        <f t="shared" si="24"/>
        <v>0</v>
      </c>
      <c r="AY25" s="223">
        <f t="shared" si="26"/>
        <v>0</v>
      </c>
      <c r="AZ25" s="223">
        <f t="shared" si="28"/>
        <v>0</v>
      </c>
      <c r="BA25" s="223">
        <f t="shared" si="32"/>
        <v>0</v>
      </c>
    </row>
    <row r="26" spans="1:53">
      <c r="B26" s="7"/>
      <c r="C26" s="7"/>
      <c r="D26" s="7"/>
      <c r="E26" s="86"/>
      <c r="F26" s="83"/>
      <c r="I26" s="5">
        <f t="shared" si="29"/>
        <v>2</v>
      </c>
      <c r="J26" s="5">
        <v>9</v>
      </c>
      <c r="Q26" s="220">
        <f t="shared" si="8"/>
        <v>0.91463096541518951</v>
      </c>
      <c r="R26" s="218">
        <f t="shared" si="0"/>
        <v>0.91055921874283363</v>
      </c>
      <c r="T26" s="222">
        <f t="shared" si="30"/>
        <v>0</v>
      </c>
      <c r="V26" s="221">
        <f t="shared" si="2"/>
        <v>0</v>
      </c>
      <c r="X26" s="181">
        <f>Inputs!C$14*V26</f>
        <v>0</v>
      </c>
      <c r="Y26" s="224">
        <f>Inputs!C$17*V26</f>
        <v>0</v>
      </c>
      <c r="Z26" s="225">
        <f t="shared" si="3"/>
        <v>0</v>
      </c>
      <c r="AA26" s="185"/>
      <c r="AB26" s="92"/>
      <c r="AL26" s="223">
        <f t="shared" si="25"/>
        <v>0</v>
      </c>
      <c r="AM26" s="223">
        <f t="shared" si="27"/>
        <v>0</v>
      </c>
      <c r="AN26" s="223">
        <f t="shared" si="31"/>
        <v>0</v>
      </c>
      <c r="AY26" s="223">
        <f t="shared" si="26"/>
        <v>0</v>
      </c>
      <c r="AZ26" s="223">
        <f t="shared" si="28"/>
        <v>0</v>
      </c>
      <c r="BA26" s="223">
        <f t="shared" si="32"/>
        <v>0</v>
      </c>
    </row>
    <row r="27" spans="1:53">
      <c r="B27" s="7"/>
      <c r="C27" s="7"/>
      <c r="D27" s="7"/>
      <c r="E27" s="86"/>
      <c r="F27" s="84"/>
      <c r="I27" s="5">
        <f t="shared" si="29"/>
        <v>2</v>
      </c>
      <c r="J27" s="5">
        <v>10</v>
      </c>
      <c r="Q27" s="220">
        <f t="shared" si="8"/>
        <v>0.91055921874283363</v>
      </c>
      <c r="R27" s="218">
        <f t="shared" si="0"/>
        <v>0.90650559863910574</v>
      </c>
      <c r="T27" s="222">
        <f t="shared" si="30"/>
        <v>0</v>
      </c>
      <c r="V27" s="221">
        <f t="shared" si="2"/>
        <v>0</v>
      </c>
      <c r="X27" s="181">
        <f>Inputs!C$14*V27</f>
        <v>0</v>
      </c>
      <c r="Y27" s="224">
        <f>Inputs!C$17*V27</f>
        <v>0</v>
      </c>
      <c r="Z27" s="225">
        <f t="shared" si="3"/>
        <v>0</v>
      </c>
      <c r="AA27" s="185"/>
      <c r="AB27" s="92"/>
      <c r="AM27" s="223">
        <f>AE$5*$O17</f>
        <v>0</v>
      </c>
      <c r="AN27" s="223">
        <f t="shared" si="31"/>
        <v>0</v>
      </c>
      <c r="AZ27" s="223">
        <f t="shared" si="28"/>
        <v>0</v>
      </c>
      <c r="BA27" s="223">
        <f t="shared" si="32"/>
        <v>0</v>
      </c>
    </row>
    <row r="28" spans="1:53">
      <c r="B28" s="38"/>
      <c r="C28" s="38"/>
      <c r="D28" s="38"/>
      <c r="E28" s="6"/>
      <c r="F28" s="6"/>
      <c r="I28" s="5">
        <f>IF(J28=1,I27+1,I27)</f>
        <v>2</v>
      </c>
      <c r="J28" s="5">
        <v>11</v>
      </c>
      <c r="Q28" s="220">
        <f t="shared" si="8"/>
        <v>0.90650559863910574</v>
      </c>
      <c r="R28" s="218">
        <f t="shared" si="0"/>
        <v>0.90247002440829538</v>
      </c>
      <c r="T28" s="222">
        <f t="shared" si="30"/>
        <v>0</v>
      </c>
      <c r="V28" s="221">
        <f t="shared" si="2"/>
        <v>0</v>
      </c>
      <c r="X28" s="181">
        <f>Inputs!C$14*V28</f>
        <v>0</v>
      </c>
      <c r="Y28" s="224">
        <f>Inputs!C$17*V28</f>
        <v>0</v>
      </c>
      <c r="Z28" s="225">
        <f t="shared" si="3"/>
        <v>0</v>
      </c>
      <c r="AA28" s="185"/>
      <c r="AB28" s="92"/>
      <c r="AN28" s="223">
        <f t="shared" si="31"/>
        <v>0</v>
      </c>
      <c r="BA28" s="223">
        <f t="shared" si="32"/>
        <v>0</v>
      </c>
    </row>
    <row r="29" spans="1:53">
      <c r="B29" s="55"/>
      <c r="C29" s="54"/>
      <c r="D29" s="55"/>
      <c r="E29" s="55"/>
      <c r="F29" s="83"/>
      <c r="I29" s="5">
        <f>IF(J29=1,I28+1,I28)</f>
        <v>2</v>
      </c>
      <c r="J29" s="5">
        <v>12</v>
      </c>
      <c r="Q29" s="220">
        <f t="shared" si="8"/>
        <v>0.90247002440829538</v>
      </c>
      <c r="R29" s="218">
        <f t="shared" si="0"/>
        <v>0.89845241571393275</v>
      </c>
      <c r="T29" s="222">
        <f t="shared" si="30"/>
        <v>0</v>
      </c>
      <c r="V29" s="221">
        <f t="shared" si="2"/>
        <v>0</v>
      </c>
      <c r="X29" s="181">
        <f>Inputs!C$14*V29</f>
        <v>0</v>
      </c>
      <c r="Y29" s="224">
        <f>Inputs!C$17*V29</f>
        <v>0</v>
      </c>
      <c r="Z29" s="225">
        <f t="shared" si="3"/>
        <v>0</v>
      </c>
      <c r="AA29" s="185"/>
      <c r="AB29" s="92"/>
    </row>
    <row r="30" spans="1:53">
      <c r="B30" s="55"/>
      <c r="C30" s="54"/>
      <c r="D30" s="55"/>
      <c r="E30" s="86"/>
      <c r="F30" s="83"/>
      <c r="X30" s="6"/>
      <c r="Y30" s="91"/>
      <c r="Z30" s="6"/>
      <c r="AA30" s="92"/>
      <c r="AB30" s="92"/>
    </row>
    <row r="31" spans="1:53">
      <c r="A31" s="7"/>
      <c r="B31" s="55"/>
      <c r="C31" s="55"/>
      <c r="D31" s="55"/>
      <c r="E31" s="6"/>
      <c r="F31" s="83"/>
      <c r="H31" s="6"/>
      <c r="I31" s="5"/>
      <c r="J31" s="5" t="s">
        <v>45</v>
      </c>
      <c r="K31" s="6"/>
      <c r="L31" s="152" t="s">
        <v>96</v>
      </c>
      <c r="M31" s="83"/>
      <c r="N31" s="148" t="s">
        <v>96</v>
      </c>
      <c r="O31" s="148" t="s">
        <v>96</v>
      </c>
      <c r="P31" s="148" t="s">
        <v>96</v>
      </c>
      <c r="Q31" s="148" t="s">
        <v>114</v>
      </c>
      <c r="R31" s="89"/>
      <c r="S31" s="6"/>
      <c r="T31" s="147"/>
      <c r="U31" s="84"/>
      <c r="V31" s="6"/>
      <c r="X31" s="6"/>
      <c r="Y31" s="91"/>
      <c r="Z31" s="6"/>
      <c r="AA31" s="92"/>
      <c r="AB31" s="92"/>
    </row>
    <row r="32" spans="1:53">
      <c r="A32" s="7"/>
      <c r="B32" s="55"/>
      <c r="C32" s="56"/>
      <c r="D32" s="55"/>
      <c r="E32" s="86"/>
      <c r="F32" s="83"/>
      <c r="G32" s="55"/>
      <c r="H32" s="6"/>
      <c r="I32" s="5"/>
      <c r="J32" s="5"/>
      <c r="K32" s="6"/>
      <c r="L32" s="64" t="s">
        <v>4</v>
      </c>
      <c r="M32" s="186" t="s">
        <v>3</v>
      </c>
      <c r="N32" s="172"/>
      <c r="O32" s="62" t="s">
        <v>4</v>
      </c>
      <c r="P32" s="187" t="s">
        <v>48</v>
      </c>
      <c r="Q32" s="149" t="s">
        <v>47</v>
      </c>
      <c r="R32" s="151" t="s">
        <v>11</v>
      </c>
      <c r="S32" s="67"/>
      <c r="T32" s="78" t="s">
        <v>70</v>
      </c>
      <c r="U32" s="154" t="s">
        <v>53</v>
      </c>
      <c r="V32" s="63" t="s">
        <v>50</v>
      </c>
      <c r="X32" s="6"/>
      <c r="Y32" s="91"/>
      <c r="Z32" s="6"/>
      <c r="AA32" s="92"/>
      <c r="AB32" s="92"/>
    </row>
    <row r="33" spans="2:45">
      <c r="B33" s="6"/>
      <c r="C33" s="6"/>
      <c r="D33" s="6"/>
      <c r="E33" s="86"/>
      <c r="F33" s="83"/>
      <c r="G33" s="55"/>
      <c r="H33" s="6"/>
      <c r="I33" t="s">
        <v>2</v>
      </c>
      <c r="J33" t="s">
        <v>5</v>
      </c>
      <c r="K33" s="6"/>
      <c r="L33" s="112" t="s">
        <v>51</v>
      </c>
      <c r="M33" s="188" t="s">
        <v>29</v>
      </c>
      <c r="N33" s="188" t="s">
        <v>30</v>
      </c>
      <c r="O33" s="188" t="s">
        <v>60</v>
      </c>
      <c r="P33" s="188" t="s">
        <v>52</v>
      </c>
      <c r="Q33" s="150" t="s">
        <v>96</v>
      </c>
      <c r="R33" s="153" t="s">
        <v>115</v>
      </c>
      <c r="S33" s="68" t="s">
        <v>12</v>
      </c>
      <c r="T33" s="69" t="s">
        <v>53</v>
      </c>
      <c r="U33" s="154" t="s">
        <v>116</v>
      </c>
      <c r="V33" s="157" t="s">
        <v>54</v>
      </c>
      <c r="X33" s="6"/>
      <c r="Y33" s="91"/>
      <c r="Z33" s="6"/>
      <c r="AA33" s="92"/>
      <c r="AB33" s="92"/>
    </row>
    <row r="34" spans="2:45">
      <c r="B34" s="6"/>
      <c r="C34" s="6"/>
      <c r="D34" s="6"/>
      <c r="E34" s="86"/>
      <c r="F34" s="156" t="s">
        <v>117</v>
      </c>
      <c r="G34" s="55"/>
      <c r="H34" s="6"/>
      <c r="I34">
        <v>1</v>
      </c>
      <c r="J34">
        <v>1</v>
      </c>
      <c r="K34" s="6"/>
      <c r="L34" s="229">
        <f>F$17*T6</f>
        <v>0</v>
      </c>
      <c r="M34" s="107"/>
      <c r="N34" s="229">
        <f>Inputs!C$14/12*T6+Inputs!C$16*L34</f>
        <v>0</v>
      </c>
      <c r="O34" s="229">
        <f>Inputs!C$10*L34</f>
        <v>0</v>
      </c>
      <c r="P34" s="229">
        <f>(Inputs!C$8+Inputs!C$11)*L34</f>
        <v>0</v>
      </c>
      <c r="Q34" s="107"/>
      <c r="R34" s="229">
        <f>Q$1*(L34-M34-N34-O34-P34-F$13)</f>
        <v>-55.896236463037766</v>
      </c>
      <c r="S34" s="229">
        <f>Q34+R34</f>
        <v>-55.896236463037766</v>
      </c>
      <c r="T34" s="229">
        <f>B$3*V6</f>
        <v>0</v>
      </c>
      <c r="U34" s="229">
        <f>V6*Inputs!C$17</f>
        <v>0</v>
      </c>
      <c r="V34" s="229">
        <f>L34+S34-M34-N34-O34-P34-T34-U34-F13</f>
        <v>-12555.896236463037</v>
      </c>
      <c r="X34" s="6"/>
      <c r="Y34" s="91"/>
      <c r="Z34" s="6"/>
      <c r="AA34" s="92"/>
      <c r="AB34" s="92"/>
    </row>
    <row r="35" spans="2:45">
      <c r="B35" s="6"/>
      <c r="C35" s="6"/>
      <c r="D35" s="6"/>
      <c r="E35" s="86"/>
      <c r="F35" s="156" t="s">
        <v>118</v>
      </c>
      <c r="G35" s="192"/>
      <c r="H35" s="231">
        <f>SUMPRODUCT(R6:R28,V34:V56)/SUMPRODUCT(Q6:Q28,L34:L56)</f>
        <v>5.0000000000000433E-2</v>
      </c>
      <c r="I35">
        <v>1</v>
      </c>
      <c r="J35">
        <v>2</v>
      </c>
      <c r="K35" s="6"/>
      <c r="L35" s="229">
        <f t="shared" ref="L35:L45" si="33">F$17*T7</f>
        <v>0</v>
      </c>
      <c r="M35" s="87"/>
      <c r="N35" s="229">
        <f>Inputs!C$14/12*T7+Inputs!C$16*L35</f>
        <v>0</v>
      </c>
      <c r="O35" s="229">
        <f>Inputs!C$10*L35</f>
        <v>0</v>
      </c>
      <c r="P35" s="229">
        <f>(Inputs!C$8+Inputs!C$11)*L35</f>
        <v>0</v>
      </c>
      <c r="Q35" s="107"/>
      <c r="R35" s="229">
        <f>Q$1*(L35-M35-N35-O35-P35)</f>
        <v>0</v>
      </c>
      <c r="S35" s="229">
        <f t="shared" ref="S35:S56" si="34">Q35+R35</f>
        <v>0</v>
      </c>
      <c r="T35" s="229">
        <f t="shared" ref="T35:T56" si="35">B$3*V7</f>
        <v>0</v>
      </c>
      <c r="U35" s="229">
        <f>V7*Inputs!C$17</f>
        <v>0</v>
      </c>
      <c r="V35" s="229">
        <f>L35+S35-M35-N35-O35-P35-T35-U35</f>
        <v>0</v>
      </c>
      <c r="W35" s="6"/>
      <c r="X35" s="6"/>
      <c r="Y35" s="91"/>
      <c r="Z35" s="6"/>
      <c r="AA35" s="92"/>
      <c r="AB35" s="92"/>
    </row>
    <row r="36" spans="2:45">
      <c r="B36" s="6"/>
      <c r="C36" s="6"/>
      <c r="D36" s="6"/>
      <c r="E36" s="55"/>
      <c r="F36" s="156" t="s">
        <v>119</v>
      </c>
      <c r="G36" s="159"/>
      <c r="H36" s="230">
        <f>IRR(V34:V56)</f>
        <v>3.4774418889185199E-2</v>
      </c>
      <c r="I36">
        <v>1</v>
      </c>
      <c r="J36">
        <v>3</v>
      </c>
      <c r="K36" s="6"/>
      <c r="L36" s="229">
        <f t="shared" si="33"/>
        <v>0</v>
      </c>
      <c r="M36" s="87"/>
      <c r="N36" s="229">
        <f>Inputs!C$14/12*T8+Inputs!C$16*L36</f>
        <v>0</v>
      </c>
      <c r="O36" s="229">
        <f>Inputs!C$10*L36</f>
        <v>0</v>
      </c>
      <c r="P36" s="229">
        <f>(Inputs!C$8+Inputs!C$11)*L36</f>
        <v>0</v>
      </c>
      <c r="Q36" s="107"/>
      <c r="R36" s="229">
        <f t="shared" ref="R36:R56" si="36">Q$1*(L36-M36-N36-O36-P36)</f>
        <v>0</v>
      </c>
      <c r="S36" s="229">
        <f t="shared" si="34"/>
        <v>0</v>
      </c>
      <c r="T36" s="229">
        <f t="shared" si="35"/>
        <v>0</v>
      </c>
      <c r="U36" s="229">
        <f>V8*Inputs!C$17</f>
        <v>0</v>
      </c>
      <c r="V36" s="229">
        <f t="shared" ref="V36:V56" si="37">L36+S36-M36-N36-O36-P36-T36-U36</f>
        <v>0</v>
      </c>
      <c r="W36" s="64"/>
      <c r="X36" s="6"/>
      <c r="Y36" s="91"/>
      <c r="Z36" s="6"/>
      <c r="AA36" s="92"/>
      <c r="AB36" s="92"/>
    </row>
    <row r="37" spans="2:45">
      <c r="B37" s="6"/>
      <c r="C37" s="6"/>
      <c r="D37" s="6"/>
      <c r="E37" s="55"/>
      <c r="F37" s="156" t="s">
        <v>121</v>
      </c>
      <c r="G37" s="55"/>
      <c r="H37" s="228">
        <f>SUMPRODUCT(R6:R17,T34:T45)/SUMPRODUCT(Q6:Q17,L34:L45)</f>
        <v>0.54770058171280633</v>
      </c>
      <c r="I37">
        <v>1</v>
      </c>
      <c r="J37">
        <v>4</v>
      </c>
      <c r="K37" s="6"/>
      <c r="L37" s="229">
        <f t="shared" si="33"/>
        <v>0</v>
      </c>
      <c r="M37" s="87"/>
      <c r="N37" s="229">
        <f>Inputs!C$14/12*T9+Inputs!C$16*L37</f>
        <v>0</v>
      </c>
      <c r="O37" s="229">
        <f>Inputs!C$10*L37</f>
        <v>0</v>
      </c>
      <c r="P37" s="229">
        <f>(Inputs!C$8+Inputs!C$11)*L37</f>
        <v>0</v>
      </c>
      <c r="Q37" s="107"/>
      <c r="R37" s="229">
        <f t="shared" si="36"/>
        <v>0</v>
      </c>
      <c r="S37" s="229">
        <f t="shared" si="34"/>
        <v>0</v>
      </c>
      <c r="T37" s="229">
        <f t="shared" si="35"/>
        <v>0</v>
      </c>
      <c r="U37" s="229">
        <f>V9*Inputs!C$17</f>
        <v>0</v>
      </c>
      <c r="V37" s="229">
        <f t="shared" si="37"/>
        <v>0</v>
      </c>
      <c r="W37" s="158"/>
      <c r="X37" s="6"/>
      <c r="Y37" s="91"/>
      <c r="Z37" s="6"/>
      <c r="AA37" s="92"/>
      <c r="AB37" s="92"/>
    </row>
    <row r="38" spans="2:45">
      <c r="B38" s="6"/>
      <c r="C38" s="6"/>
      <c r="D38" s="6"/>
      <c r="E38" s="86"/>
      <c r="F38" s="83"/>
      <c r="G38" s="55"/>
      <c r="H38" s="6"/>
      <c r="I38">
        <v>1</v>
      </c>
      <c r="J38">
        <v>5</v>
      </c>
      <c r="K38" s="6"/>
      <c r="L38" s="229">
        <f t="shared" si="33"/>
        <v>0</v>
      </c>
      <c r="M38" s="87"/>
      <c r="N38" s="229">
        <f>Inputs!C$14/12*T10+Inputs!C$16*L38</f>
        <v>0</v>
      </c>
      <c r="O38" s="229">
        <f>Inputs!C$10*L38</f>
        <v>0</v>
      </c>
      <c r="P38" s="229">
        <f>(Inputs!C$8+Inputs!C$11)*L38</f>
        <v>0</v>
      </c>
      <c r="Q38" s="107"/>
      <c r="R38" s="229">
        <f t="shared" si="36"/>
        <v>0</v>
      </c>
      <c r="S38" s="229">
        <f t="shared" si="34"/>
        <v>0</v>
      </c>
      <c r="T38" s="229">
        <f t="shared" si="35"/>
        <v>0</v>
      </c>
      <c r="U38" s="229">
        <f>V10*Inputs!C$17</f>
        <v>0</v>
      </c>
      <c r="V38" s="229">
        <f t="shared" si="37"/>
        <v>0</v>
      </c>
      <c r="W38" s="91"/>
      <c r="X38" s="6"/>
      <c r="Y38" s="91"/>
      <c r="Z38" s="6"/>
      <c r="AA38" s="92"/>
      <c r="AB38" s="92"/>
    </row>
    <row r="39" spans="2:45">
      <c r="B39" s="6"/>
      <c r="C39" s="6"/>
      <c r="D39" s="6"/>
      <c r="E39" s="86"/>
      <c r="F39" s="83"/>
      <c r="G39" s="55"/>
      <c r="H39" s="6"/>
      <c r="I39">
        <v>1</v>
      </c>
      <c r="J39">
        <v>6</v>
      </c>
      <c r="K39" s="6"/>
      <c r="L39" s="229">
        <f t="shared" si="33"/>
        <v>0</v>
      </c>
      <c r="M39" s="87"/>
      <c r="N39" s="229">
        <f>Inputs!C$14/12*T11+Inputs!C$16*L39</f>
        <v>0</v>
      </c>
      <c r="O39" s="229">
        <f>Inputs!C$10*L39</f>
        <v>0</v>
      </c>
      <c r="P39" s="229">
        <f>(Inputs!C$8+Inputs!C$11)*L39</f>
        <v>0</v>
      </c>
      <c r="Q39" s="107"/>
      <c r="R39" s="229">
        <f t="shared" si="36"/>
        <v>0</v>
      </c>
      <c r="S39" s="229">
        <f t="shared" si="34"/>
        <v>0</v>
      </c>
      <c r="T39" s="229">
        <f t="shared" si="35"/>
        <v>0</v>
      </c>
      <c r="U39" s="229">
        <f>V11*Inputs!C$17</f>
        <v>0</v>
      </c>
      <c r="V39" s="229">
        <f t="shared" si="37"/>
        <v>0</v>
      </c>
      <c r="W39" s="91"/>
      <c r="X39" s="6"/>
      <c r="Y39" s="91"/>
      <c r="Z39" s="6"/>
      <c r="AA39" s="92"/>
      <c r="AB39" s="92"/>
    </row>
    <row r="40" spans="2:45">
      <c r="B40" s="6"/>
      <c r="C40" s="6"/>
      <c r="D40" s="6"/>
      <c r="E40" s="6"/>
      <c r="F40" s="83"/>
      <c r="G40" s="55"/>
      <c r="H40" s="6"/>
      <c r="I40">
        <v>1</v>
      </c>
      <c r="J40">
        <v>7</v>
      </c>
      <c r="K40" s="6"/>
      <c r="L40" s="229">
        <f t="shared" si="33"/>
        <v>8934.9095147134158</v>
      </c>
      <c r="M40" s="87"/>
      <c r="N40" s="229">
        <f>Inputs!C$14/12*T12+Inputs!C$16*L40</f>
        <v>714.79276117707332</v>
      </c>
      <c r="O40" s="229">
        <f>Inputs!C$10*L40</f>
        <v>223.37273786783541</v>
      </c>
      <c r="P40" s="229">
        <f>(Inputs!C$8+Inputs!C$11)*L40</f>
        <v>1518.9346175012809</v>
      </c>
      <c r="Q40" s="107"/>
      <c r="R40" s="229">
        <f t="shared" si="36"/>
        <v>28.966813270595491</v>
      </c>
      <c r="S40" s="229">
        <f t="shared" si="34"/>
        <v>28.966813270595491</v>
      </c>
      <c r="T40" s="229">
        <f t="shared" si="35"/>
        <v>4915.5380911442007</v>
      </c>
      <c r="U40" s="229">
        <f>V12*Inputs!C$17</f>
        <v>8.1925634852403348</v>
      </c>
      <c r="V40" s="229">
        <f t="shared" si="37"/>
        <v>1583.045556808381</v>
      </c>
      <c r="W40" s="91"/>
      <c r="X40" s="6"/>
      <c r="Y40" s="91"/>
      <c r="Z40" s="6"/>
      <c r="AA40" s="92"/>
      <c r="AB40" s="92"/>
    </row>
    <row r="41" spans="2:45">
      <c r="B41" s="6"/>
      <c r="C41" s="6"/>
      <c r="D41" s="6"/>
      <c r="E41" s="6"/>
      <c r="F41" s="156" t="s">
        <v>126</v>
      </c>
      <c r="G41" s="55">
        <f>SUMPRODUCT(R6:R28,V34:V56)</f>
        <v>4945.1451277253709</v>
      </c>
      <c r="H41" s="95"/>
      <c r="I41">
        <v>1</v>
      </c>
      <c r="J41">
        <v>8</v>
      </c>
      <c r="K41" s="6"/>
      <c r="L41" s="229">
        <f t="shared" si="33"/>
        <v>8870.0489325623566</v>
      </c>
      <c r="M41" s="87"/>
      <c r="N41" s="229">
        <f>Inputs!C$14/12*T13+Inputs!C$16*L41</f>
        <v>709.60391460498852</v>
      </c>
      <c r="O41" s="229">
        <f>Inputs!C$10*L41</f>
        <v>221.75122331405893</v>
      </c>
      <c r="P41" s="229">
        <f>(Inputs!C$8+Inputs!C$11)*L41</f>
        <v>1507.9083185356008</v>
      </c>
      <c r="Q41" s="107"/>
      <c r="R41" s="229">
        <f t="shared" si="36"/>
        <v>28.756536449246831</v>
      </c>
      <c r="S41" s="229">
        <f t="shared" si="34"/>
        <v>28.756536449246831</v>
      </c>
      <c r="T41" s="229">
        <f t="shared" si="35"/>
        <v>4879.855059138974</v>
      </c>
      <c r="U41" s="229">
        <f>V13*Inputs!C$17</f>
        <v>8.1330917652316224</v>
      </c>
      <c r="V41" s="229">
        <f t="shared" si="37"/>
        <v>1571.5538616527506</v>
      </c>
      <c r="W41" s="91"/>
      <c r="X41" s="6"/>
      <c r="Y41" s="91"/>
      <c r="Z41" s="6"/>
      <c r="AA41" s="92"/>
      <c r="AB41" s="92"/>
      <c r="AC41" s="87"/>
      <c r="AD41" s="87"/>
      <c r="AE41" s="87"/>
      <c r="AF41" s="87"/>
      <c r="AG41" s="87"/>
      <c r="AH41" s="87"/>
      <c r="AI41" s="87"/>
      <c r="AJ41" s="87"/>
      <c r="AK41" s="87"/>
      <c r="AL41" s="93"/>
      <c r="AM41" s="94"/>
      <c r="AN41" s="94"/>
      <c r="AO41" s="6"/>
      <c r="AP41" s="6"/>
      <c r="AQ41" s="6"/>
      <c r="AR41" s="6"/>
      <c r="AS41" s="6"/>
    </row>
    <row r="42" spans="2:45">
      <c r="B42" s="6"/>
      <c r="C42" s="6"/>
      <c r="D42" s="6"/>
      <c r="E42" s="6"/>
      <c r="F42" s="83"/>
      <c r="G42" s="55"/>
      <c r="H42" s="6"/>
      <c r="I42">
        <v>1</v>
      </c>
      <c r="J42">
        <v>9</v>
      </c>
      <c r="K42" s="6"/>
      <c r="L42" s="229">
        <f t="shared" si="33"/>
        <v>8805.6591884326608</v>
      </c>
      <c r="M42" s="87"/>
      <c r="N42" s="229">
        <f>Inputs!C$14/12*T14+Inputs!C$16*L42</f>
        <v>704.45273507461286</v>
      </c>
      <c r="O42" s="229">
        <f>Inputs!C$10*L42</f>
        <v>220.14147971081653</v>
      </c>
      <c r="P42" s="229">
        <f>(Inputs!C$8+Inputs!C$11)*L42</f>
        <v>1496.9620620335525</v>
      </c>
      <c r="Q42" s="107"/>
      <c r="R42" s="229">
        <f t="shared" si="36"/>
        <v>28.547786076154086</v>
      </c>
      <c r="S42" s="229">
        <f t="shared" si="34"/>
        <v>28.547786076154086</v>
      </c>
      <c r="T42" s="229">
        <f t="shared" si="35"/>
        <v>4844.4310585458688</v>
      </c>
      <c r="U42" s="229">
        <f>V14*Inputs!C$17</f>
        <v>8.074051764243114</v>
      </c>
      <c r="V42" s="229">
        <f t="shared" si="37"/>
        <v>1560.1455873797215</v>
      </c>
      <c r="W42" s="91"/>
      <c r="X42" s="6"/>
      <c r="Y42" s="91"/>
      <c r="Z42" s="6"/>
      <c r="AA42" s="92"/>
      <c r="AB42" s="92"/>
      <c r="AC42" s="87"/>
      <c r="AD42" s="87"/>
      <c r="AE42" s="87"/>
      <c r="AF42" s="87"/>
      <c r="AG42" s="87"/>
      <c r="AH42" s="87"/>
      <c r="AI42" s="87"/>
      <c r="AJ42" s="87"/>
      <c r="AK42" s="87"/>
      <c r="AL42" s="93"/>
      <c r="AM42" s="94"/>
      <c r="AN42" s="94"/>
      <c r="AO42" s="6"/>
      <c r="AP42" s="6"/>
      <c r="AQ42" s="6"/>
      <c r="AR42" s="6"/>
      <c r="AS42" s="6"/>
    </row>
    <row r="43" spans="2:45">
      <c r="B43" s="6"/>
      <c r="C43" s="6"/>
      <c r="D43" s="6"/>
      <c r="E43" s="6"/>
      <c r="F43" s="83"/>
      <c r="G43" s="6"/>
      <c r="H43" s="6"/>
      <c r="I43">
        <v>1</v>
      </c>
      <c r="J43">
        <v>10</v>
      </c>
      <c r="K43" s="6"/>
      <c r="L43" s="229">
        <f t="shared" si="33"/>
        <v>8741.7368644018425</v>
      </c>
      <c r="M43" s="87"/>
      <c r="N43" s="229">
        <f>Inputs!C$14/12*T15+Inputs!C$16*L43</f>
        <v>699.33894915214739</v>
      </c>
      <c r="O43" s="229">
        <f>Inputs!C$10*L43</f>
        <v>218.54342161004607</v>
      </c>
      <c r="P43" s="229">
        <f>(Inputs!C$8+Inputs!C$11)*L43</f>
        <v>1486.0952669483133</v>
      </c>
      <c r="Q43" s="107"/>
      <c r="R43" s="229">
        <f t="shared" si="36"/>
        <v>28.340551070475062</v>
      </c>
      <c r="S43" s="229">
        <f t="shared" si="34"/>
        <v>28.340551070475062</v>
      </c>
      <c r="T43" s="229">
        <f t="shared" si="35"/>
        <v>4809.264208995738</v>
      </c>
      <c r="U43" s="229">
        <f>V15*Inputs!C$17</f>
        <v>8.01544034832623</v>
      </c>
      <c r="V43" s="229">
        <f t="shared" si="37"/>
        <v>1548.8201284177462</v>
      </c>
      <c r="W43" s="91"/>
      <c r="X43" s="6"/>
      <c r="Y43" s="91"/>
      <c r="Z43" s="6"/>
      <c r="AA43" s="92"/>
      <c r="AB43" s="92"/>
      <c r="AC43" s="87"/>
      <c r="AD43" s="87"/>
      <c r="AE43" s="87"/>
      <c r="AF43" s="87"/>
      <c r="AG43" s="87"/>
      <c r="AH43" s="87"/>
      <c r="AI43" s="87"/>
      <c r="AJ43" s="87"/>
      <c r="AK43" s="87"/>
      <c r="AL43" s="93"/>
      <c r="AM43" s="94"/>
      <c r="AN43" s="94"/>
      <c r="AO43" s="6"/>
      <c r="AP43" s="6"/>
      <c r="AQ43" s="6"/>
      <c r="AR43" s="6"/>
      <c r="AS43" s="6"/>
    </row>
    <row r="44" spans="2:45">
      <c r="B44" s="6"/>
      <c r="C44" s="6"/>
      <c r="D44" s="6"/>
      <c r="E44" s="6"/>
      <c r="F44" s="83"/>
      <c r="G44" s="55"/>
      <c r="H44" s="6"/>
      <c r="I44">
        <v>1</v>
      </c>
      <c r="J44">
        <v>11</v>
      </c>
      <c r="K44" s="6"/>
      <c r="L44" s="229">
        <f t="shared" si="33"/>
        <v>8707.7074276821913</v>
      </c>
      <c r="M44" s="87"/>
      <c r="N44" s="229">
        <f>Inputs!C$14/12*T16+Inputs!C$16*L44</f>
        <v>696.61659421457534</v>
      </c>
      <c r="O44" s="229">
        <f>Inputs!C$10*L44</f>
        <v>217.69268569205479</v>
      </c>
      <c r="P44" s="229">
        <f>(Inputs!C$8+Inputs!C$11)*L44</f>
        <v>1480.3102627059727</v>
      </c>
      <c r="Q44" s="107"/>
      <c r="R44" s="229">
        <f t="shared" si="36"/>
        <v>28.230228258863097</v>
      </c>
      <c r="S44" s="229">
        <f t="shared" si="34"/>
        <v>28.230228258863097</v>
      </c>
      <c r="T44" s="229">
        <f t="shared" si="35"/>
        <v>4790.5429234426883</v>
      </c>
      <c r="U44" s="229">
        <f>V16*Inputs!C$17</f>
        <v>7.984238205737813</v>
      </c>
      <c r="V44" s="229">
        <f t="shared" si="37"/>
        <v>1542.7909516800255</v>
      </c>
      <c r="W44" s="91"/>
      <c r="X44" s="6"/>
      <c r="Y44" s="91"/>
      <c r="Z44" s="6"/>
      <c r="AA44" s="92"/>
      <c r="AB44" s="92"/>
      <c r="AC44" s="87"/>
      <c r="AD44" s="87"/>
      <c r="AE44" s="87"/>
      <c r="AF44" s="87"/>
      <c r="AG44" s="87"/>
      <c r="AH44" s="87"/>
      <c r="AI44" s="87"/>
      <c r="AJ44" s="87"/>
      <c r="AK44" s="87"/>
      <c r="AL44" s="93"/>
      <c r="AM44" s="94"/>
      <c r="AN44" s="94"/>
      <c r="AO44" s="6"/>
      <c r="AP44" s="6"/>
      <c r="AQ44" s="6"/>
      <c r="AR44" s="6"/>
      <c r="AS44" s="6"/>
    </row>
    <row r="45" spans="2:45">
      <c r="B45" s="6"/>
      <c r="C45" s="6"/>
      <c r="D45" s="6"/>
      <c r="E45" s="6"/>
      <c r="F45" s="83"/>
      <c r="G45" s="55"/>
      <c r="H45" s="6"/>
      <c r="I45" s="5">
        <f>IF(K45=1,I44+1,I44)</f>
        <v>1</v>
      </c>
      <c r="J45" s="5">
        <v>12</v>
      </c>
      <c r="K45" s="6"/>
      <c r="L45" s="229">
        <f t="shared" si="33"/>
        <v>8673.8104592101463</v>
      </c>
      <c r="M45" s="87"/>
      <c r="N45" s="229">
        <f>Inputs!C$14/12*T17+Inputs!C$16*L45</f>
        <v>693.90483673681172</v>
      </c>
      <c r="O45" s="229">
        <f>Inputs!C$10*L45</f>
        <v>216.84526148025367</v>
      </c>
      <c r="P45" s="229">
        <f>(Inputs!C$8+Inputs!C$11)*L45</f>
        <v>1474.547778065725</v>
      </c>
      <c r="Q45" s="107"/>
      <c r="R45" s="229">
        <f t="shared" si="36"/>
        <v>28.12033490688767</v>
      </c>
      <c r="S45" s="229">
        <f t="shared" si="34"/>
        <v>28.12033490688767</v>
      </c>
      <c r="T45" s="229">
        <f t="shared" si="35"/>
        <v>4771.8945152607957</v>
      </c>
      <c r="U45" s="229">
        <f>V17*Inputs!C$17</f>
        <v>7.9531575254346594</v>
      </c>
      <c r="V45" s="229">
        <f t="shared" si="37"/>
        <v>1536.7852450480136</v>
      </c>
      <c r="W45" s="91"/>
      <c r="X45" s="6"/>
      <c r="Y45" s="91"/>
      <c r="Z45" s="6"/>
      <c r="AA45" s="92"/>
      <c r="AB45" s="92"/>
      <c r="AC45" s="87"/>
      <c r="AD45" s="87"/>
      <c r="AE45" s="87"/>
      <c r="AF45" s="87"/>
      <c r="AG45" s="87"/>
      <c r="AH45" s="87"/>
      <c r="AI45" s="87"/>
      <c r="AJ45" s="87"/>
      <c r="AK45" s="87"/>
      <c r="AL45" s="93"/>
      <c r="AM45" s="94"/>
      <c r="AN45" s="94"/>
      <c r="AO45" s="6"/>
      <c r="AP45" s="6"/>
      <c r="AQ45" s="6"/>
      <c r="AR45" s="6"/>
      <c r="AS45" s="6"/>
    </row>
    <row r="46" spans="2:45">
      <c r="B46" s="6"/>
      <c r="C46" s="6"/>
      <c r="D46" s="6"/>
      <c r="E46" s="6"/>
      <c r="J46">
        <v>13</v>
      </c>
      <c r="L46" s="229">
        <f t="shared" ref="L46:L56" si="38">F$17*T18</f>
        <v>8640.0454433193227</v>
      </c>
      <c r="N46" s="229">
        <f>Inputs!C$14/12*T18+Inputs!C$16*L46</f>
        <v>691.20363546554586</v>
      </c>
      <c r="O46" s="229">
        <f>Inputs!C$10*L46</f>
        <v>216.00113608298307</v>
      </c>
      <c r="P46" s="229">
        <f>(Inputs!C$8+Inputs!C$11)*L46</f>
        <v>1468.807725364285</v>
      </c>
      <c r="R46" s="229">
        <f t="shared" si="36"/>
        <v>28.010869342767791</v>
      </c>
      <c r="S46" s="229">
        <f t="shared" si="34"/>
        <v>28.010869342767791</v>
      </c>
      <c r="T46" s="229">
        <f t="shared" si="35"/>
        <v>4753.3187007563374</v>
      </c>
      <c r="U46" s="229">
        <f>V18*Inputs!C$17</f>
        <v>7.9221978345938959</v>
      </c>
      <c r="V46" s="229">
        <f t="shared" si="37"/>
        <v>1530.802917158346</v>
      </c>
      <c r="W46" s="91"/>
      <c r="X46" s="6"/>
      <c r="Y46" s="91"/>
      <c r="Z46" s="6"/>
      <c r="AA46" s="92"/>
      <c r="AB46" s="92"/>
      <c r="AC46" s="87"/>
      <c r="AD46" s="87"/>
      <c r="AE46" s="87"/>
      <c r="AF46" s="87"/>
      <c r="AG46" s="87"/>
      <c r="AH46" s="87"/>
      <c r="AI46" s="87"/>
      <c r="AJ46" s="87"/>
      <c r="AK46" s="87"/>
      <c r="AL46" s="93"/>
      <c r="AM46" s="94"/>
      <c r="AN46" s="94"/>
      <c r="AO46" s="6"/>
      <c r="AP46" s="6"/>
      <c r="AQ46" s="6"/>
      <c r="AR46" s="6"/>
      <c r="AS46" s="6"/>
    </row>
    <row r="47" spans="2:45">
      <c r="B47" s="6"/>
      <c r="C47" s="6"/>
      <c r="D47" s="6"/>
      <c r="E47" s="6"/>
      <c r="J47" s="5">
        <v>14</v>
      </c>
      <c r="L47" s="229">
        <f t="shared" si="38"/>
        <v>8606.4118663506961</v>
      </c>
      <c r="N47" s="229">
        <f>Inputs!C$14/12*T19+Inputs!C$16*L47</f>
        <v>688.51294930805568</v>
      </c>
      <c r="O47" s="229">
        <f>Inputs!C$10*L47</f>
        <v>215.16029665876741</v>
      </c>
      <c r="P47" s="229">
        <f>(Inputs!C$8+Inputs!C$11)*L47</f>
        <v>1463.0900172796185</v>
      </c>
      <c r="R47" s="229">
        <f t="shared" si="36"/>
        <v>27.901829901230297</v>
      </c>
      <c r="S47" s="229">
        <f t="shared" si="34"/>
        <v>27.901829901230297</v>
      </c>
      <c r="T47" s="229">
        <f t="shared" si="35"/>
        <v>4734.8151973399381</v>
      </c>
      <c r="U47" s="229">
        <f>V19*Inputs!C$17</f>
        <v>7.8913586622332303</v>
      </c>
      <c r="V47" s="229">
        <f t="shared" si="37"/>
        <v>1524.8438770033133</v>
      </c>
      <c r="W47" s="91"/>
      <c r="X47" s="6"/>
      <c r="Y47" s="91"/>
      <c r="Z47" s="6"/>
      <c r="AA47" s="92"/>
      <c r="AB47" s="92"/>
      <c r="AC47" s="87"/>
      <c r="AD47" s="87"/>
      <c r="AE47" s="87"/>
      <c r="AF47" s="87"/>
      <c r="AG47" s="87"/>
      <c r="AH47" s="87"/>
      <c r="AI47" s="87"/>
      <c r="AJ47" s="87"/>
      <c r="AK47" s="87"/>
      <c r="AL47" s="93"/>
      <c r="AM47" s="94"/>
      <c r="AN47" s="94"/>
      <c r="AO47" s="6"/>
      <c r="AP47" s="6"/>
      <c r="AQ47" s="6"/>
      <c r="AR47" s="6"/>
      <c r="AS47" s="6"/>
    </row>
    <row r="48" spans="2:45">
      <c r="B48" s="6"/>
      <c r="C48" s="6"/>
      <c r="D48" s="6"/>
      <c r="E48" s="6"/>
      <c r="J48">
        <v>15</v>
      </c>
      <c r="L48" s="229">
        <f t="shared" si="38"/>
        <v>8572.9092166447936</v>
      </c>
      <c r="N48" s="229">
        <f>Inputs!C$14/12*T20+Inputs!C$16*L48</f>
        <v>685.83273733158353</v>
      </c>
      <c r="O48" s="229">
        <f>Inputs!C$10*L48</f>
        <v>214.32273041611984</v>
      </c>
      <c r="P48" s="229">
        <f>(Inputs!C$8+Inputs!C$11)*L48</f>
        <v>1457.3945668296151</v>
      </c>
      <c r="R48" s="229">
        <f t="shared" si="36"/>
        <v>27.793214923484527</v>
      </c>
      <c r="S48" s="229">
        <f t="shared" si="34"/>
        <v>27.793214923484527</v>
      </c>
      <c r="T48" s="229">
        <f t="shared" si="35"/>
        <v>4716.3837235222754</v>
      </c>
      <c r="U48" s="229">
        <f>V20*Inputs!C$17</f>
        <v>7.8606395392037927</v>
      </c>
      <c r="V48" s="229">
        <f t="shared" si="37"/>
        <v>1518.9080339294803</v>
      </c>
      <c r="W48" s="6"/>
      <c r="X48" s="6"/>
      <c r="Y48" s="91"/>
      <c r="Z48" s="6"/>
      <c r="AA48" s="92"/>
      <c r="AB48" s="92"/>
      <c r="AC48" s="87"/>
      <c r="AD48" s="87"/>
      <c r="AE48" s="87"/>
      <c r="AF48" s="87"/>
      <c r="AG48" s="87"/>
      <c r="AH48" s="87"/>
      <c r="AI48" s="87"/>
      <c r="AJ48" s="87"/>
      <c r="AK48" s="87"/>
      <c r="AL48" s="93"/>
      <c r="AM48" s="94"/>
      <c r="AN48" s="94"/>
      <c r="AO48" s="6"/>
      <c r="AP48" s="6"/>
      <c r="AQ48" s="6"/>
      <c r="AR48" s="6"/>
      <c r="AS48" s="6"/>
    </row>
    <row r="49" spans="2:45">
      <c r="B49" s="6"/>
      <c r="C49" s="6"/>
      <c r="D49" s="6"/>
      <c r="E49" s="6"/>
      <c r="J49" s="5">
        <v>16</v>
      </c>
      <c r="L49" s="229">
        <f t="shared" si="38"/>
        <v>8539.5369845339064</v>
      </c>
      <c r="N49" s="229">
        <f>Inputs!C$14/12*T21+Inputs!C$16*L49</f>
        <v>683.16295876271249</v>
      </c>
      <c r="O49" s="229">
        <f>Inputs!C$10*L49</f>
        <v>213.48842461334766</v>
      </c>
      <c r="P49" s="229">
        <f>(Inputs!C$8+Inputs!C$11)*L49</f>
        <v>1451.7212873707642</v>
      </c>
      <c r="R49" s="229">
        <f t="shared" si="36"/>
        <v>27.685022757197096</v>
      </c>
      <c r="S49" s="229">
        <f t="shared" si="34"/>
        <v>27.685022757197096</v>
      </c>
      <c r="T49" s="229">
        <f t="shared" si="35"/>
        <v>4698.0239989097945</v>
      </c>
      <c r="U49" s="229">
        <f>V21*Inputs!C$17</f>
        <v>7.8300399981829916</v>
      </c>
      <c r="V49" s="229">
        <f t="shared" si="37"/>
        <v>1512.9952976363027</v>
      </c>
      <c r="W49" s="6"/>
      <c r="X49" s="6"/>
      <c r="Y49" s="91"/>
      <c r="Z49" s="6"/>
      <c r="AA49" s="92"/>
      <c r="AB49" s="92"/>
      <c r="AC49" s="87"/>
      <c r="AD49" s="87"/>
      <c r="AE49" s="87"/>
      <c r="AF49" s="87"/>
      <c r="AG49" s="87"/>
      <c r="AH49" s="87"/>
      <c r="AI49" s="87"/>
      <c r="AJ49" s="87"/>
      <c r="AK49" s="87"/>
      <c r="AL49" s="93"/>
      <c r="AM49" s="94"/>
      <c r="AN49" s="94"/>
      <c r="AO49" s="6"/>
      <c r="AP49" s="6"/>
      <c r="AQ49" s="6"/>
      <c r="AR49" s="6"/>
      <c r="AS49" s="6"/>
    </row>
    <row r="50" spans="2:45">
      <c r="B50" s="6"/>
      <c r="C50" s="6"/>
      <c r="D50" s="6"/>
      <c r="E50" s="6"/>
      <c r="F50" s="83"/>
      <c r="G50" s="55"/>
      <c r="H50" s="6"/>
      <c r="I50" s="6"/>
      <c r="J50">
        <v>17</v>
      </c>
      <c r="K50" s="6"/>
      <c r="L50" s="229">
        <f t="shared" si="38"/>
        <v>8506.294662334336</v>
      </c>
      <c r="M50" s="87"/>
      <c r="N50" s="229">
        <f>Inputs!C$14/12*T22+Inputs!C$16*L50</f>
        <v>680.50357298674692</v>
      </c>
      <c r="O50" s="229">
        <f>Inputs!C$10*L50</f>
        <v>212.6573665583584</v>
      </c>
      <c r="P50" s="229">
        <f>(Inputs!C$8+Inputs!C$11)*L50</f>
        <v>1446.0700925968372</v>
      </c>
      <c r="Q50" s="87"/>
      <c r="R50" s="229">
        <f t="shared" si="36"/>
        <v>27.577251756466726</v>
      </c>
      <c r="S50" s="229">
        <f t="shared" si="34"/>
        <v>27.577251756466726</v>
      </c>
      <c r="T50" s="229">
        <f t="shared" si="35"/>
        <v>4679.735744200445</v>
      </c>
      <c r="U50" s="229">
        <f>V22*Inputs!C$17</f>
        <v>7.7995595736674082</v>
      </c>
      <c r="V50" s="229">
        <f t="shared" si="37"/>
        <v>1507.1055781747482</v>
      </c>
      <c r="W50" s="6"/>
      <c r="X50" s="6"/>
      <c r="Y50" s="91"/>
      <c r="Z50" s="6"/>
      <c r="AA50" s="92"/>
      <c r="AB50" s="92"/>
      <c r="AC50" s="87"/>
      <c r="AD50" s="87"/>
      <c r="AE50" s="87"/>
      <c r="AF50" s="87"/>
      <c r="AG50" s="87"/>
      <c r="AH50" s="87"/>
      <c r="AI50" s="87"/>
      <c r="AJ50" s="87"/>
      <c r="AK50" s="87"/>
      <c r="AL50" s="93"/>
      <c r="AM50" s="94"/>
      <c r="AN50" s="94"/>
      <c r="AO50" s="6"/>
      <c r="AP50" s="6"/>
      <c r="AQ50" s="6"/>
      <c r="AR50" s="6"/>
      <c r="AS50" s="6"/>
    </row>
    <row r="51" spans="2:45">
      <c r="B51" s="6"/>
      <c r="C51" s="6"/>
      <c r="D51" s="6"/>
      <c r="E51" s="6"/>
      <c r="F51" s="84"/>
      <c r="G51" s="55"/>
      <c r="H51" s="6"/>
      <c r="I51" s="6"/>
      <c r="J51" s="5">
        <v>18</v>
      </c>
      <c r="K51" s="6"/>
      <c r="L51" s="229">
        <f t="shared" si="38"/>
        <v>8473.1817443386735</v>
      </c>
      <c r="M51" s="83"/>
      <c r="N51" s="229">
        <f>Inputs!C$14/12*T23+Inputs!C$16*L51</f>
        <v>677.85453954709385</v>
      </c>
      <c r="O51" s="229">
        <f>Inputs!C$10*L51</f>
        <v>211.82954360846685</v>
      </c>
      <c r="P51" s="229">
        <f>(Inputs!C$8+Inputs!C$11)*L51</f>
        <v>1440.4408965375746</v>
      </c>
      <c r="Q51" s="89"/>
      <c r="R51" s="229">
        <f t="shared" si="36"/>
        <v>27.469900281799259</v>
      </c>
      <c r="S51" s="229">
        <f t="shared" si="34"/>
        <v>27.469900281799259</v>
      </c>
      <c r="T51" s="229">
        <f t="shared" si="35"/>
        <v>4661.5186811794283</v>
      </c>
      <c r="U51" s="229">
        <f>V23*Inputs!C$17</f>
        <v>7.7691978019657135</v>
      </c>
      <c r="V51" s="229">
        <f t="shared" si="37"/>
        <v>1501.2387859459441</v>
      </c>
      <c r="W51" s="6"/>
      <c r="X51" s="6"/>
      <c r="Y51" s="91"/>
      <c r="Z51" s="6"/>
      <c r="AA51" s="92"/>
      <c r="AB51" s="92"/>
      <c r="AC51" s="87"/>
      <c r="AD51" s="87"/>
      <c r="AE51" s="87"/>
      <c r="AF51" s="87"/>
      <c r="AG51" s="87"/>
      <c r="AH51" s="87"/>
      <c r="AI51" s="87"/>
      <c r="AJ51" s="87"/>
      <c r="AK51" s="87"/>
      <c r="AL51" s="93"/>
      <c r="AM51" s="94"/>
      <c r="AN51" s="94"/>
      <c r="AO51" s="6"/>
      <c r="AP51" s="6"/>
      <c r="AQ51" s="6"/>
      <c r="AR51" s="6"/>
      <c r="AS51" s="6"/>
    </row>
    <row r="52" spans="2:45">
      <c r="B52" s="6"/>
      <c r="C52" s="6"/>
      <c r="D52" s="6"/>
      <c r="E52" s="6"/>
      <c r="F52" s="6"/>
      <c r="G52" s="55"/>
      <c r="H52" s="6"/>
      <c r="I52" s="6"/>
      <c r="J52">
        <v>19</v>
      </c>
      <c r="K52" s="6"/>
      <c r="L52" s="229">
        <f t="shared" si="38"/>
        <v>0</v>
      </c>
      <c r="M52" s="83"/>
      <c r="N52" s="229">
        <f>Inputs!C$14/12*T24+Inputs!C$16*L52</f>
        <v>0</v>
      </c>
      <c r="O52" s="229">
        <f>Inputs!C$10*L52</f>
        <v>0</v>
      </c>
      <c r="P52" s="229">
        <f>(Inputs!C$8+Inputs!C$11)*L52</f>
        <v>0</v>
      </c>
      <c r="Q52" s="89"/>
      <c r="R52" s="229">
        <f t="shared" si="36"/>
        <v>0</v>
      </c>
      <c r="S52" s="229">
        <f t="shared" si="34"/>
        <v>0</v>
      </c>
      <c r="T52" s="229">
        <f t="shared" si="35"/>
        <v>0</v>
      </c>
      <c r="U52" s="229">
        <f>V24*Inputs!C$17</f>
        <v>0</v>
      </c>
      <c r="V52" s="229">
        <f t="shared" si="37"/>
        <v>0</v>
      </c>
    </row>
    <row r="53" spans="2:45">
      <c r="B53" s="6"/>
      <c r="C53" s="6"/>
      <c r="D53" s="6"/>
      <c r="E53" s="6"/>
      <c r="F53" s="83"/>
      <c r="G53" s="55"/>
      <c r="H53" s="95"/>
      <c r="I53" s="6"/>
      <c r="J53" s="5">
        <v>20</v>
      </c>
      <c r="K53" s="6"/>
      <c r="L53" s="229">
        <f t="shared" si="38"/>
        <v>0</v>
      </c>
      <c r="M53" s="83"/>
      <c r="N53" s="229">
        <f>Inputs!C$14/12*T25+Inputs!C$16*L53</f>
        <v>0</v>
      </c>
      <c r="O53" s="229">
        <f>Inputs!C$10*L53</f>
        <v>0</v>
      </c>
      <c r="P53" s="229">
        <f>(Inputs!C$8+Inputs!C$11)*L53</f>
        <v>0</v>
      </c>
      <c r="Q53" s="89"/>
      <c r="R53" s="229">
        <f t="shared" si="36"/>
        <v>0</v>
      </c>
      <c r="S53" s="229">
        <f t="shared" si="34"/>
        <v>0</v>
      </c>
      <c r="T53" s="229">
        <f t="shared" si="35"/>
        <v>0</v>
      </c>
      <c r="U53" s="229">
        <f>V25*Inputs!C$17</f>
        <v>0</v>
      </c>
      <c r="V53" s="229">
        <f t="shared" si="37"/>
        <v>0</v>
      </c>
    </row>
    <row r="54" spans="2:45">
      <c r="B54" s="6"/>
      <c r="C54" s="6"/>
      <c r="D54" s="6"/>
      <c r="E54" s="6"/>
      <c r="F54" s="83"/>
      <c r="G54" s="55"/>
      <c r="H54" s="6"/>
      <c r="I54" s="6"/>
      <c r="J54">
        <v>21</v>
      </c>
      <c r="K54" s="6"/>
      <c r="L54" s="229">
        <f t="shared" si="38"/>
        <v>0</v>
      </c>
      <c r="M54" s="83"/>
      <c r="N54" s="229">
        <f>Inputs!C$14/12*T26+Inputs!C$16*L54</f>
        <v>0</v>
      </c>
      <c r="O54" s="229">
        <f>Inputs!C$10*L54</f>
        <v>0</v>
      </c>
      <c r="P54" s="229">
        <f>(Inputs!C$8+Inputs!C$11)*L54</f>
        <v>0</v>
      </c>
      <c r="Q54" s="89"/>
      <c r="R54" s="229">
        <f t="shared" si="36"/>
        <v>0</v>
      </c>
      <c r="S54" s="229">
        <f t="shared" si="34"/>
        <v>0</v>
      </c>
      <c r="T54" s="229">
        <f t="shared" si="35"/>
        <v>0</v>
      </c>
      <c r="U54" s="229">
        <f>V26*Inputs!C$17</f>
        <v>0</v>
      </c>
      <c r="V54" s="229">
        <f t="shared" si="37"/>
        <v>0</v>
      </c>
    </row>
    <row r="55" spans="2:45">
      <c r="B55" s="6"/>
      <c r="C55" s="6"/>
      <c r="D55" s="6"/>
      <c r="E55" s="6"/>
      <c r="F55" s="83"/>
      <c r="G55" s="6"/>
      <c r="H55" s="6"/>
      <c r="I55" s="6"/>
      <c r="J55" s="5">
        <v>22</v>
      </c>
      <c r="K55" s="6"/>
      <c r="L55" s="229">
        <f t="shared" si="38"/>
        <v>0</v>
      </c>
      <c r="M55" s="83"/>
      <c r="N55" s="229">
        <f>Inputs!C$14/12*T27+Inputs!C$16*L55</f>
        <v>0</v>
      </c>
      <c r="O55" s="229">
        <f>Inputs!C$10*L55</f>
        <v>0</v>
      </c>
      <c r="P55" s="229">
        <f>(Inputs!C$8+Inputs!C$11)*L55</f>
        <v>0</v>
      </c>
      <c r="Q55" s="89"/>
      <c r="R55" s="229">
        <f t="shared" si="36"/>
        <v>0</v>
      </c>
      <c r="S55" s="229">
        <f t="shared" si="34"/>
        <v>0</v>
      </c>
      <c r="T55" s="229">
        <f t="shared" si="35"/>
        <v>0</v>
      </c>
      <c r="U55" s="229">
        <f>V27*Inputs!C$17</f>
        <v>0</v>
      </c>
      <c r="V55" s="229">
        <f t="shared" si="37"/>
        <v>0</v>
      </c>
    </row>
    <row r="56" spans="2:45">
      <c r="B56" s="6"/>
      <c r="C56" s="6"/>
      <c r="D56" s="6"/>
      <c r="E56" s="6"/>
      <c r="F56" s="83"/>
      <c r="G56" s="55"/>
      <c r="H56" s="6"/>
      <c r="I56" s="6"/>
      <c r="J56">
        <v>23</v>
      </c>
      <c r="K56" s="6"/>
      <c r="L56" s="229">
        <f t="shared" si="38"/>
        <v>0</v>
      </c>
      <c r="M56" s="83"/>
      <c r="N56" s="229">
        <f>Inputs!C$14/12*T28+Inputs!C$16*L56</f>
        <v>0</v>
      </c>
      <c r="O56" s="229">
        <f>Inputs!C$10*L56</f>
        <v>0</v>
      </c>
      <c r="P56" s="229">
        <f>(Inputs!C$8+Inputs!C$11)*L56</f>
        <v>0</v>
      </c>
      <c r="Q56" s="89"/>
      <c r="R56" s="229">
        <f t="shared" si="36"/>
        <v>0</v>
      </c>
      <c r="S56" s="229">
        <f t="shared" si="34"/>
        <v>0</v>
      </c>
      <c r="T56" s="229">
        <f t="shared" si="35"/>
        <v>0</v>
      </c>
      <c r="U56" s="229">
        <f>V28*Inputs!C$17</f>
        <v>0</v>
      </c>
      <c r="V56" s="229">
        <f t="shared" si="37"/>
        <v>0</v>
      </c>
    </row>
    <row r="57" spans="2:45">
      <c r="B57" s="6"/>
      <c r="C57" s="6"/>
      <c r="D57" s="6"/>
      <c r="E57" s="6"/>
      <c r="F57" s="83"/>
      <c r="G57" s="55"/>
      <c r="H57" s="6"/>
      <c r="I57" s="6"/>
      <c r="J57" s="6"/>
      <c r="K57" s="6"/>
      <c r="L57" s="144"/>
      <c r="M57" s="83"/>
      <c r="N57" s="107"/>
      <c r="O57" s="107"/>
      <c r="P57" s="107"/>
      <c r="Q57" s="89"/>
      <c r="R57" s="107"/>
      <c r="S57" s="108"/>
      <c r="T57" s="129"/>
      <c r="U57" s="155"/>
      <c r="V57" s="109"/>
    </row>
    <row r="58" spans="2:45">
      <c r="B58" s="6"/>
      <c r="C58" s="6"/>
      <c r="D58" s="6"/>
      <c r="E58" s="6"/>
      <c r="F58" s="83"/>
      <c r="G58" s="55"/>
      <c r="H58" s="6"/>
      <c r="I58" s="6"/>
      <c r="J58" s="6"/>
      <c r="K58" s="6"/>
      <c r="L58" s="88"/>
      <c r="M58" s="83"/>
      <c r="N58" s="89"/>
      <c r="O58" s="89"/>
      <c r="P58" s="89"/>
      <c r="Q58" s="89"/>
      <c r="R58" s="89"/>
      <c r="S58" s="6"/>
      <c r="T58" s="90"/>
      <c r="U58" s="84"/>
      <c r="V58" s="6"/>
    </row>
  </sheetData>
  <mergeCells count="10">
    <mergeCell ref="W4:Y4"/>
    <mergeCell ref="Z4:AA4"/>
    <mergeCell ref="AE1:AN1"/>
    <mergeCell ref="O2:P2"/>
    <mergeCell ref="Q2:R2"/>
    <mergeCell ref="AJ2:AL2"/>
    <mergeCell ref="O3:P3"/>
    <mergeCell ref="Q3:R3"/>
    <mergeCell ref="AC3:AD3"/>
    <mergeCell ref="AF3:AG3"/>
  </mergeCells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68"/>
  <sheetViews>
    <sheetView tabSelected="1" workbookViewId="0">
      <selection activeCell="V6" sqref="V6"/>
    </sheetView>
  </sheetViews>
  <sheetFormatPr defaultColWidth="11.5546875" defaultRowHeight="13.2"/>
  <cols>
    <col min="29" max="29" width="12.33203125" customWidth="1"/>
  </cols>
  <sheetData>
    <row r="1" spans="1:42">
      <c r="A1" s="7" t="s">
        <v>7</v>
      </c>
      <c r="B1" s="1">
        <f>Inputs!B1</f>
        <v>45</v>
      </c>
      <c r="E1" s="27"/>
      <c r="F1" s="27"/>
      <c r="G1" s="28"/>
      <c r="P1" s="7" t="s">
        <v>99</v>
      </c>
      <c r="Q1">
        <f>(1+Inputs!B4)^(1/12)-1</f>
        <v>4.471698917043021E-3</v>
      </c>
      <c r="AA1" s="59"/>
      <c r="AB1" s="189"/>
      <c r="AC1" s="59"/>
      <c r="AD1" s="60"/>
      <c r="AE1" s="191"/>
      <c r="AF1" s="190"/>
      <c r="AG1" s="190"/>
      <c r="AH1" s="190"/>
      <c r="AI1" s="190"/>
      <c r="AJ1" s="190"/>
      <c r="AK1" s="190"/>
      <c r="AL1" s="189"/>
      <c r="AM1" s="59"/>
      <c r="AN1" s="61"/>
    </row>
    <row r="2" spans="1:42">
      <c r="A2" s="33" t="s">
        <v>67</v>
      </c>
      <c r="B2" s="131" t="str">
        <f>Inputs!B2</f>
        <v>M</v>
      </c>
      <c r="C2" s="33"/>
      <c r="D2" s="33"/>
      <c r="E2" s="33"/>
      <c r="F2" s="33"/>
      <c r="G2" s="33"/>
      <c r="O2" s="236"/>
      <c r="P2" s="237"/>
      <c r="Q2" s="236" t="s">
        <v>26</v>
      </c>
      <c r="R2" s="238"/>
      <c r="W2" s="6"/>
      <c r="X2" s="6"/>
      <c r="Y2" s="174"/>
      <c r="Z2" s="6"/>
      <c r="AA2" s="173"/>
      <c r="AB2" s="193"/>
      <c r="AC2" s="194"/>
      <c r="AD2" s="194"/>
      <c r="AE2" s="194"/>
      <c r="AF2" s="194"/>
      <c r="AG2" s="194"/>
      <c r="AH2" s="194"/>
      <c r="AI2" s="193"/>
      <c r="AJ2" s="193"/>
      <c r="AK2" s="194"/>
      <c r="AL2" s="194"/>
      <c r="AM2" s="194"/>
      <c r="AN2" s="194"/>
      <c r="AO2" s="195"/>
      <c r="AP2" s="195"/>
    </row>
    <row r="3" spans="1:42" ht="15.6">
      <c r="A3" s="7" t="s">
        <v>109</v>
      </c>
      <c r="B3" s="132">
        <f>Inputs!B5</f>
        <v>30000</v>
      </c>
      <c r="C3" s="7"/>
      <c r="D3" s="33"/>
      <c r="E3" s="33"/>
      <c r="F3" s="33" t="s">
        <v>62</v>
      </c>
      <c r="G3" s="33"/>
      <c r="J3" s="1"/>
      <c r="L3" s="75" t="s">
        <v>31</v>
      </c>
      <c r="M3" s="30" t="s">
        <v>31</v>
      </c>
      <c r="N3" s="77" t="s">
        <v>69</v>
      </c>
      <c r="O3" s="244" t="s">
        <v>27</v>
      </c>
      <c r="P3" s="243"/>
      <c r="Q3" s="244" t="s">
        <v>28</v>
      </c>
      <c r="R3" s="243"/>
      <c r="W3" s="6"/>
      <c r="X3" s="6"/>
      <c r="Y3" s="174"/>
      <c r="Z3" s="6"/>
      <c r="AA3" s="112"/>
      <c r="AC3" s="196" t="s">
        <v>45</v>
      </c>
      <c r="AE3" s="5"/>
      <c r="AF3" s="152" t="s">
        <v>96</v>
      </c>
      <c r="AG3" s="83"/>
      <c r="AH3" s="148" t="s">
        <v>96</v>
      </c>
      <c r="AI3" s="148" t="s">
        <v>96</v>
      </c>
      <c r="AJ3" s="148" t="s">
        <v>96</v>
      </c>
      <c r="AK3" s="148" t="s">
        <v>114</v>
      </c>
      <c r="AL3" s="89"/>
      <c r="AM3" s="6"/>
      <c r="AN3" s="147"/>
      <c r="AO3" s="84"/>
      <c r="AP3" s="6"/>
    </row>
    <row r="4" spans="1:42">
      <c r="A4" s="7" t="s">
        <v>105</v>
      </c>
      <c r="B4" s="140">
        <v>500</v>
      </c>
      <c r="C4" s="54"/>
      <c r="D4" s="55"/>
      <c r="E4" s="55"/>
      <c r="F4" s="55"/>
      <c r="G4" s="55"/>
      <c r="H4" s="5"/>
      <c r="J4" s="1"/>
      <c r="L4" s="76" t="s">
        <v>68</v>
      </c>
      <c r="M4" s="30" t="s">
        <v>15</v>
      </c>
      <c r="N4" s="77" t="s">
        <v>17</v>
      </c>
      <c r="O4" s="31"/>
      <c r="P4" s="31"/>
      <c r="Q4" s="31"/>
      <c r="R4" s="31"/>
      <c r="T4" s="27" t="s">
        <v>101</v>
      </c>
      <c r="U4" s="12"/>
      <c r="V4" t="s">
        <v>100</v>
      </c>
      <c r="W4" s="250" t="s">
        <v>102</v>
      </c>
      <c r="X4" s="251"/>
      <c r="Y4" s="247"/>
      <c r="Z4" s="248" t="s">
        <v>103</v>
      </c>
      <c r="AA4" s="249"/>
      <c r="AC4" s="83"/>
      <c r="AD4" s="55"/>
      <c r="AE4" s="5"/>
      <c r="AF4" s="64" t="s">
        <v>4</v>
      </c>
      <c r="AG4" s="186" t="s">
        <v>3</v>
      </c>
      <c r="AH4" s="172"/>
      <c r="AI4" s="62" t="s">
        <v>4</v>
      </c>
      <c r="AJ4" s="187" t="s">
        <v>48</v>
      </c>
      <c r="AK4" s="149" t="s">
        <v>47</v>
      </c>
      <c r="AL4" s="151" t="s">
        <v>11</v>
      </c>
      <c r="AM4" s="67"/>
      <c r="AN4" s="78" t="s">
        <v>70</v>
      </c>
      <c r="AO4" s="154" t="s">
        <v>53</v>
      </c>
      <c r="AP4" s="63" t="s">
        <v>50</v>
      </c>
    </row>
    <row r="5" spans="1:42">
      <c r="A5" s="4" t="s">
        <v>36</v>
      </c>
      <c r="B5" s="34" t="s">
        <v>37</v>
      </c>
      <c r="C5" s="7"/>
      <c r="D5" s="7"/>
      <c r="E5" s="7"/>
      <c r="F5" s="162">
        <f>B4*SUMPRODUCT(O6:O65,Q6:Q65)</f>
        <v>23100.598206842362</v>
      </c>
      <c r="G5" s="7" t="s">
        <v>35</v>
      </c>
      <c r="H5" s="205"/>
      <c r="I5" t="s">
        <v>2</v>
      </c>
      <c r="J5" t="s">
        <v>5</v>
      </c>
      <c r="L5" s="76" t="s">
        <v>19</v>
      </c>
      <c r="M5" s="77" t="s">
        <v>19</v>
      </c>
      <c r="N5" s="77" t="s">
        <v>19</v>
      </c>
      <c r="O5" s="176" t="s">
        <v>96</v>
      </c>
      <c r="P5" s="176" t="s">
        <v>97</v>
      </c>
      <c r="Q5" s="176" t="s">
        <v>96</v>
      </c>
      <c r="R5" s="176" t="s">
        <v>97</v>
      </c>
      <c r="S5" s="176" t="s">
        <v>98</v>
      </c>
      <c r="T5" s="116" t="s">
        <v>96</v>
      </c>
      <c r="U5" s="117" t="s">
        <v>97</v>
      </c>
      <c r="V5" t="s">
        <v>53</v>
      </c>
      <c r="W5" s="177" t="s">
        <v>107</v>
      </c>
      <c r="X5" s="178" t="s">
        <v>108</v>
      </c>
      <c r="Y5" s="179" t="s">
        <v>106</v>
      </c>
      <c r="Z5" s="69" t="s">
        <v>70</v>
      </c>
      <c r="AA5" s="13" t="s">
        <v>104</v>
      </c>
      <c r="AC5" s="83"/>
      <c r="AD5" s="55"/>
      <c r="AF5" s="112" t="s">
        <v>51</v>
      </c>
      <c r="AG5" s="188" t="s">
        <v>29</v>
      </c>
      <c r="AH5" s="188" t="s">
        <v>30</v>
      </c>
      <c r="AI5" s="188" t="s">
        <v>60</v>
      </c>
      <c r="AJ5" s="188" t="s">
        <v>52</v>
      </c>
      <c r="AK5" s="150" t="s">
        <v>96</v>
      </c>
      <c r="AL5" s="153" t="s">
        <v>115</v>
      </c>
      <c r="AM5" s="68" t="s">
        <v>12</v>
      </c>
      <c r="AN5" s="69" t="s">
        <v>53</v>
      </c>
      <c r="AO5" s="154" t="s">
        <v>116</v>
      </c>
      <c r="AP5" s="157" t="s">
        <v>54</v>
      </c>
    </row>
    <row r="6" spans="1:42">
      <c r="A6" s="35" t="s">
        <v>38</v>
      </c>
      <c r="B6" s="36" t="s">
        <v>39</v>
      </c>
      <c r="C6" s="7"/>
      <c r="D6" s="7"/>
      <c r="E6" s="35" t="s">
        <v>38</v>
      </c>
      <c r="F6" s="164">
        <f>SUMPRODUCT(R6:R65,Z6:Z65)</f>
        <v>277847.2425211037</v>
      </c>
      <c r="G6" s="7"/>
      <c r="H6" s="5"/>
      <c r="I6">
        <v>1</v>
      </c>
      <c r="J6">
        <v>1</v>
      </c>
      <c r="L6" s="123">
        <f>1-(1-VLOOKUP(Inputs!B$1+I6-1,Inputs!$F$5:$H$105,IF(B$2="M",2,3),0))^(1/12)</f>
        <v>3.2770253940961336E-4</v>
      </c>
      <c r="M6" s="124">
        <f>1-(1-VLOOKUP(I6,Inputs!$C$22:$D$32,2,FALSE))^(VLOOKUP(J6,Inputs!$A$22:$B$33,2,1))</f>
        <v>6.7987910816060815E-3</v>
      </c>
      <c r="N6" s="125">
        <f>1-(1-VLOOKUP(Inputs!B$1+I6-1,Inputs!$J$5:$L$105,IF(B$2="M",2,3),0))^(1/12)</f>
        <v>1.3593491795749202E-4</v>
      </c>
      <c r="O6" s="126">
        <v>1</v>
      </c>
      <c r="P6" s="125">
        <f>1*(1-L6)*(1-M6)*(1-N6)</f>
        <v>0.99274076787859444</v>
      </c>
      <c r="Q6" s="125">
        <v>1</v>
      </c>
      <c r="R6" s="125">
        <f>Q6/(1+Q$1)</f>
        <v>0.99554820815572587</v>
      </c>
      <c r="S6" s="8">
        <f>B4</f>
        <v>500</v>
      </c>
      <c r="T6" s="141">
        <f>B4</f>
        <v>500</v>
      </c>
      <c r="U6" s="104">
        <f>P6*S$6</f>
        <v>496.3703839392972</v>
      </c>
      <c r="V6" s="104">
        <f>L6*T6</f>
        <v>0.16385126970480668</v>
      </c>
      <c r="W6" s="6"/>
      <c r="X6" s="181"/>
      <c r="Y6" s="91">
        <f>Inputs!C$17*V6</f>
        <v>8.1925634852403348</v>
      </c>
      <c r="Z6" s="232">
        <f>B$3*V6</f>
        <v>4915.5380911442007</v>
      </c>
      <c r="AA6" s="197"/>
      <c r="AC6" s="156" t="s">
        <v>122</v>
      </c>
      <c r="AD6" s="55"/>
      <c r="AF6" s="127">
        <f>F17*B4</f>
        <v>9325.0854742095526</v>
      </c>
      <c r="AG6" s="107"/>
      <c r="AH6" s="107">
        <f>Inputs!C$14/12*T6+Inputs!C$16*AF6</f>
        <v>746.00683793676421</v>
      </c>
      <c r="AI6" s="107">
        <f>Inputs!C$10*AF6</f>
        <v>233.12713685523883</v>
      </c>
      <c r="AJ6" s="107">
        <f>(Inputs!C$8+Inputs!C$11)*AF6</f>
        <v>1585.2645306156242</v>
      </c>
      <c r="AK6" s="107"/>
      <c r="AL6" s="107">
        <f>Q$1*(AF6-AG22-AH22-AI22-AJ22-F$13)</f>
        <v>-24.823991458047285</v>
      </c>
      <c r="AM6" s="128">
        <f>AK6+AL6</f>
        <v>-24.823991458047285</v>
      </c>
      <c r="AN6" s="129">
        <f>B$3*V6</f>
        <v>4915.5380911442007</v>
      </c>
      <c r="AO6" s="198">
        <f>V6*Inputs!C$17</f>
        <v>8.1925634852403348</v>
      </c>
      <c r="AP6" s="129">
        <f>AF6+AM6-AG6-AH6-AI6-AJ6-AN6-AO6-F13</f>
        <v>-10687.867677285563</v>
      </c>
    </row>
    <row r="7" spans="1:42">
      <c r="B7" t="s">
        <v>59</v>
      </c>
      <c r="F7" s="165">
        <v>0</v>
      </c>
      <c r="H7" s="5"/>
      <c r="I7">
        <v>1</v>
      </c>
      <c r="J7">
        <v>2</v>
      </c>
      <c r="L7" s="123">
        <f>1-(1-VLOOKUP(Inputs!B$1+I7-1,Inputs!$F$5:$H$105,IF(B$2="M",2,3),0))^(1/12)</f>
        <v>3.2770253940961336E-4</v>
      </c>
      <c r="M7" s="124">
        <f>1-(1-VLOOKUP(I7,Inputs!$C$22:$D$32,2,FALSE))^(VLOOKUP(J7,Inputs!$A$22:$B$33,2,1))</f>
        <v>6.7987910816060815E-3</v>
      </c>
      <c r="N7" s="125">
        <f>1-(1-VLOOKUP(Inputs!B$1+I7-1,Inputs!$J$5:$L$105,IF(B$2="M",2,3),0))^(1/12)</f>
        <v>1.3593491795749202E-4</v>
      </c>
      <c r="O7" s="106">
        <f>P6</f>
        <v>0.99274076787859444</v>
      </c>
      <c r="P7" s="125">
        <f>P6*(1-L7)*(1-M7)*(1-N7)</f>
        <v>0.98553423220818137</v>
      </c>
      <c r="Q7" s="199">
        <f>R6</f>
        <v>0.99554820815572587</v>
      </c>
      <c r="R7" s="125">
        <f t="shared" ref="R7:R65" si="0">Q7/(1+Q$1)</f>
        <v>0.99111623476207655</v>
      </c>
      <c r="S7" s="8"/>
      <c r="T7" s="200">
        <f>U6</f>
        <v>496.3703839392972</v>
      </c>
      <c r="U7" s="104">
        <f t="shared" ref="U7:U65" si="1">P7*S$6</f>
        <v>492.76711610409069</v>
      </c>
      <c r="V7" s="104">
        <f t="shared" ref="V7:V65" si="2">L7*T7</f>
        <v>0.16266183530463246</v>
      </c>
      <c r="W7" s="6"/>
      <c r="X7" s="184"/>
      <c r="Y7" s="91">
        <f>Inputs!C$17*V7</f>
        <v>8.1330917652316224</v>
      </c>
      <c r="Z7" s="232">
        <f t="shared" ref="Z7:Z65" si="3">B$3*V7</f>
        <v>4879.855059138974</v>
      </c>
      <c r="AA7" s="201"/>
      <c r="AC7" s="156" t="s">
        <v>118</v>
      </c>
      <c r="AD7" s="84">
        <f>SUMPRODUCT(R6:R65,AP6:AP65)/SUMPRODUCT(Q6:Q65,AF6:AF65)</f>
        <v>5.0333502221687934E-2</v>
      </c>
      <c r="AF7" s="144">
        <f>F$17*T7</f>
        <v>9257.3925142003191</v>
      </c>
      <c r="AG7" s="87"/>
      <c r="AH7" s="107">
        <f>Inputs!C$14/12*T7+Inputs!C$16*AF7</f>
        <v>740.59140113602552</v>
      </c>
      <c r="AI7" s="107">
        <f>Inputs!C$10*AF7</f>
        <v>231.43481285500798</v>
      </c>
      <c r="AJ7" s="107">
        <f>(Inputs!C$8+Inputs!C$11)*AF7</f>
        <v>1573.7567274140542</v>
      </c>
      <c r="AK7" s="107"/>
      <c r="AL7" s="107">
        <f>Q$1*(AF7-AG23-AH23-AI23-AJ23)</f>
        <v>30.820321686205386</v>
      </c>
      <c r="AM7" s="128">
        <f t="shared" ref="AM7:AM65" si="4">AK7+AL7</f>
        <v>30.820321686205386</v>
      </c>
      <c r="AN7" s="129">
        <f t="shared" ref="AN7:AN65" si="5">B$3*V7</f>
        <v>4879.855059138974</v>
      </c>
      <c r="AO7" s="198">
        <f>V7*Inputs!C$17</f>
        <v>8.1330917652316224</v>
      </c>
      <c r="AP7" s="129">
        <f>AF7+AM7-AG7-AH7-AI7-AJ7-AN7-AO7</f>
        <v>1854.4417435772307</v>
      </c>
    </row>
    <row r="8" spans="1:42">
      <c r="A8" s="35" t="s">
        <v>40</v>
      </c>
      <c r="B8" s="7" t="s">
        <v>56</v>
      </c>
      <c r="C8" s="7"/>
      <c r="D8" s="7"/>
      <c r="E8" s="35" t="s">
        <v>40</v>
      </c>
      <c r="F8" s="165">
        <f>F5*(Inputs!C16+Inputs!C10)</f>
        <v>2425.5628117184483</v>
      </c>
      <c r="G8" s="7" t="s">
        <v>35</v>
      </c>
      <c r="I8">
        <v>1</v>
      </c>
      <c r="J8">
        <v>3</v>
      </c>
      <c r="L8" s="123">
        <f>1-(1-VLOOKUP(Inputs!B$1+I8-1,Inputs!$F$5:$H$105,IF(B$2="M",2,3),0))^(1/12)</f>
        <v>3.2770253940961336E-4</v>
      </c>
      <c r="M8" s="124">
        <f>1-(1-VLOOKUP(I8,Inputs!$C$22:$D$32,2,FALSE))^(VLOOKUP(J8,Inputs!$A$22:$B$33,2,1))</f>
        <v>6.7987910816060815E-3</v>
      </c>
      <c r="N8" s="125">
        <f>1-(1-VLOOKUP(Inputs!B$1+I8-1,Inputs!$J$5:$L$105,IF(B$2="M",2,3),0))^(1/12)</f>
        <v>1.3593491795749202E-4</v>
      </c>
      <c r="O8" s="106">
        <f t="shared" ref="O8:O65" si="6">P7</f>
        <v>0.98553423220818137</v>
      </c>
      <c r="P8" s="125">
        <f t="shared" ref="P8:P65" si="7">P7*(1-L8)*(1-M8)*(1-N8)</f>
        <v>0.97838001045299106</v>
      </c>
      <c r="Q8" s="199">
        <f t="shared" ref="Q8:Q65" si="8">R7</f>
        <v>0.99111623476207655</v>
      </c>
      <c r="R8" s="125">
        <f t="shared" si="0"/>
        <v>0.98670399159143507</v>
      </c>
      <c r="S8" s="8"/>
      <c r="T8" s="200">
        <f t="shared" ref="T8:T65" si="9">U7</f>
        <v>492.76711610409069</v>
      </c>
      <c r="U8" s="104">
        <f t="shared" si="1"/>
        <v>489.19000522649554</v>
      </c>
      <c r="V8" s="104">
        <f t="shared" si="2"/>
        <v>0.1614810352848623</v>
      </c>
      <c r="W8" s="6"/>
      <c r="X8" s="184"/>
      <c r="Y8" s="91">
        <f>Inputs!C$17*V8</f>
        <v>8.074051764243114</v>
      </c>
      <c r="Z8" s="232">
        <f t="shared" si="3"/>
        <v>4844.4310585458688</v>
      </c>
      <c r="AA8" s="201"/>
      <c r="AC8" s="156" t="s">
        <v>119</v>
      </c>
      <c r="AD8" s="227">
        <f>IRR(AP6:AP65)</f>
        <v>0.1554689048625697</v>
      </c>
      <c r="AF8" s="144">
        <f t="shared" ref="AF8:AF65" si="10">F$17*T8</f>
        <v>9190.1909531007768</v>
      </c>
      <c r="AG8" s="87"/>
      <c r="AH8" s="107">
        <f>Inputs!C$14/12*T8+Inputs!C$16*AF8</f>
        <v>735.2152762480622</v>
      </c>
      <c r="AI8" s="107">
        <f>Inputs!C$10*AF8</f>
        <v>229.75477382751944</v>
      </c>
      <c r="AJ8" s="107">
        <f>(Inputs!C$8+Inputs!C$11)*AF8</f>
        <v>1562.3324620271321</v>
      </c>
      <c r="AK8" s="107"/>
      <c r="AL8" s="107">
        <f t="shared" ref="AL8:AL65" si="11">Q$1*(AF8-AG24-AH24-AI24-AJ24)</f>
        <v>30.570353109819433</v>
      </c>
      <c r="AM8" s="128">
        <f t="shared" si="4"/>
        <v>30.570353109819433</v>
      </c>
      <c r="AN8" s="129">
        <f t="shared" si="5"/>
        <v>4844.4310585458688</v>
      </c>
      <c r="AO8" s="198">
        <f>V8*Inputs!C$17</f>
        <v>8.074051764243114</v>
      </c>
      <c r="AP8" s="129">
        <f t="shared" ref="AP8:AP65" si="12">AF8+AM8-AG8-AH8-AI8-AJ8-AN8-AO8</f>
        <v>1840.9536837977705</v>
      </c>
    </row>
    <row r="9" spans="1:42">
      <c r="A9" s="35" t="s">
        <v>40</v>
      </c>
      <c r="B9" s="7" t="s">
        <v>57</v>
      </c>
      <c r="C9" s="7"/>
      <c r="D9" s="7"/>
      <c r="E9" s="35" t="s">
        <v>40</v>
      </c>
      <c r="F9" s="165">
        <f>B4*SUMPRODUCT(O6:O17,Q6:Q17)*Inputs!C8+B4*SUMPRODUCT(O18:O65,Q18:Q65)*Inputs!C9</f>
        <v>2310.0598206842374</v>
      </c>
      <c r="G9" s="7" t="s">
        <v>35</v>
      </c>
      <c r="I9">
        <v>1</v>
      </c>
      <c r="J9">
        <v>4</v>
      </c>
      <c r="L9" s="123">
        <f>1-(1-VLOOKUP(Inputs!B$1+I9-1,Inputs!$F$5:$H$105,IF(B$2="M",2,3),0))^(1/12)</f>
        <v>3.2770253940961336E-4</v>
      </c>
      <c r="M9" s="124">
        <f>1-(1-VLOOKUP(I9,Inputs!$C$22:$D$32,2,FALSE))^(VLOOKUP(J9,Inputs!$A$22:$B$33,2,1))</f>
        <v>3.4307521988581335E-3</v>
      </c>
      <c r="N9" s="125">
        <f>1-(1-VLOOKUP(Inputs!B$1+I9-1,Inputs!$J$5:$L$105,IF(B$2="M",2,3),0))^(1/12)</f>
        <v>1.3593491795749202E-4</v>
      </c>
      <c r="O9" s="106">
        <f t="shared" si="6"/>
        <v>0.97838001045299106</v>
      </c>
      <c r="P9" s="125">
        <f t="shared" si="7"/>
        <v>0.9745714171299571</v>
      </c>
      <c r="Q9" s="199">
        <f t="shared" si="8"/>
        <v>0.98670399159143507</v>
      </c>
      <c r="R9" s="125">
        <f t="shared" si="0"/>
        <v>0.98231139080895569</v>
      </c>
      <c r="S9" s="8"/>
      <c r="T9" s="200">
        <f t="shared" si="9"/>
        <v>489.19000522649554</v>
      </c>
      <c r="U9" s="104">
        <f t="shared" si="1"/>
        <v>487.28570856497856</v>
      </c>
      <c r="V9" s="104">
        <f t="shared" si="2"/>
        <v>0.16030880696652461</v>
      </c>
      <c r="W9" s="6"/>
      <c r="X9" s="184"/>
      <c r="Y9" s="91">
        <f>Inputs!C$17*V9</f>
        <v>8.01544034832623</v>
      </c>
      <c r="Z9" s="232">
        <f t="shared" si="3"/>
        <v>4809.264208995738</v>
      </c>
      <c r="AA9" s="201"/>
      <c r="AB9" s="83"/>
      <c r="AC9" s="156" t="s">
        <v>121</v>
      </c>
      <c r="AD9" s="6">
        <f>SUMPRODUCT(R6:R65,AN6:AN65)/SUMPRODUCT(Q6:Q65,AF6:AF65)</f>
        <v>0.64491139066190795</v>
      </c>
      <c r="AF9" s="144">
        <f t="shared" si="10"/>
        <v>9123.4772237321777</v>
      </c>
      <c r="AG9" s="87"/>
      <c r="AH9" s="107">
        <f>Inputs!C$14/12*T9+Inputs!C$16*AF9</f>
        <v>729.87817789857422</v>
      </c>
      <c r="AI9" s="107">
        <f>Inputs!C$10*AF9</f>
        <v>228.08693059330446</v>
      </c>
      <c r="AJ9" s="107">
        <f>(Inputs!C$8+Inputs!C$11)*AF9</f>
        <v>1550.9911280344704</v>
      </c>
      <c r="AK9" s="107"/>
      <c r="AL9" s="107">
        <f t="shared" si="11"/>
        <v>30.322324483951199</v>
      </c>
      <c r="AM9" s="128">
        <f t="shared" si="4"/>
        <v>30.322324483951199</v>
      </c>
      <c r="AN9" s="129">
        <f t="shared" si="5"/>
        <v>4809.264208995738</v>
      </c>
      <c r="AO9" s="198">
        <f>V9*Inputs!C$17</f>
        <v>8.01544034832623</v>
      </c>
      <c r="AP9" s="129">
        <f t="shared" si="12"/>
        <v>1827.5636623457162</v>
      </c>
    </row>
    <row r="10" spans="1:42">
      <c r="A10" s="35" t="s">
        <v>40</v>
      </c>
      <c r="B10" s="7" t="s">
        <v>58</v>
      </c>
      <c r="C10" s="7"/>
      <c r="D10" s="7"/>
      <c r="E10" s="35" t="s">
        <v>40</v>
      </c>
      <c r="F10" s="165">
        <f>F5*Inputs!C11</f>
        <v>1617.0418744789654</v>
      </c>
      <c r="G10" s="7" t="s">
        <v>35</v>
      </c>
      <c r="I10">
        <v>1</v>
      </c>
      <c r="J10">
        <v>5</v>
      </c>
      <c r="L10" s="123">
        <f>1-(1-VLOOKUP(Inputs!B$1+I10-1,Inputs!$F$5:$H$105,IF(B$2="M",2,3),0))^(1/12)</f>
        <v>3.2770253940961336E-4</v>
      </c>
      <c r="M10" s="124">
        <f>1-(1-VLOOKUP(I10,Inputs!$C$22:$D$32,2,FALSE))^(VLOOKUP(J10,Inputs!$A$22:$B$33,2,1))</f>
        <v>3.4307521988581335E-3</v>
      </c>
      <c r="N10" s="125">
        <f>1-(1-VLOOKUP(Inputs!B$1+I10-1,Inputs!$J$5:$L$105,IF(B$2="M",2,3),0))^(1/12)</f>
        <v>1.3593491795749202E-4</v>
      </c>
      <c r="O10" s="106">
        <f t="shared" si="6"/>
        <v>0.9745714171299571</v>
      </c>
      <c r="P10" s="125">
        <f t="shared" si="7"/>
        <v>0.97077764972624414</v>
      </c>
      <c r="Q10" s="199">
        <f t="shared" si="8"/>
        <v>0.98231139080895569</v>
      </c>
      <c r="R10" s="125">
        <f t="shared" si="0"/>
        <v>0.97793834497081489</v>
      </c>
      <c r="S10" s="8"/>
      <c r="T10" s="200">
        <f t="shared" si="9"/>
        <v>487.28570856497856</v>
      </c>
      <c r="U10" s="104">
        <f t="shared" si="1"/>
        <v>485.38882486312207</v>
      </c>
      <c r="V10" s="104">
        <f t="shared" si="2"/>
        <v>0.15968476411475627</v>
      </c>
      <c r="W10" s="6"/>
      <c r="X10" s="184"/>
      <c r="Y10" s="91">
        <f>Inputs!C$17*V10</f>
        <v>7.984238205737813</v>
      </c>
      <c r="Z10" s="232">
        <f t="shared" si="3"/>
        <v>4790.5429234426883</v>
      </c>
      <c r="AA10" s="201"/>
      <c r="AB10" s="83"/>
      <c r="AC10" s="55"/>
      <c r="AD10" s="6"/>
      <c r="AF10" s="144">
        <f t="shared" si="10"/>
        <v>9087.9617654583817</v>
      </c>
      <c r="AG10" s="87"/>
      <c r="AH10" s="107">
        <f>Inputs!C$14/12*T10+Inputs!C$16*AF10</f>
        <v>727.0369412366706</v>
      </c>
      <c r="AI10" s="107">
        <f>Inputs!C$10*AF10</f>
        <v>227.19904413645955</v>
      </c>
      <c r="AJ10" s="107">
        <f>(Inputs!C$8+Inputs!C$11)*AF10</f>
        <v>1544.9535001279251</v>
      </c>
      <c r="AK10" s="107"/>
      <c r="AL10" s="107">
        <f t="shared" si="11"/>
        <v>30.213564800973487</v>
      </c>
      <c r="AM10" s="128">
        <f t="shared" si="4"/>
        <v>30.213564800973487</v>
      </c>
      <c r="AN10" s="129">
        <f t="shared" si="5"/>
        <v>4790.5429234426883</v>
      </c>
      <c r="AO10" s="198">
        <f>V10*Inputs!C$17</f>
        <v>7.984238205737813</v>
      </c>
      <c r="AP10" s="129">
        <f t="shared" si="12"/>
        <v>1820.4586831098732</v>
      </c>
    </row>
    <row r="11" spans="1:42">
      <c r="A11" s="35" t="s">
        <v>40</v>
      </c>
      <c r="B11" s="7" t="s">
        <v>41</v>
      </c>
      <c r="C11" s="7"/>
      <c r="D11" s="7"/>
      <c r="E11" s="35" t="s">
        <v>40</v>
      </c>
      <c r="F11" s="165">
        <f>F5*Inputs!C18</f>
        <v>1155.0299103421182</v>
      </c>
      <c r="G11" s="7" t="s">
        <v>35</v>
      </c>
      <c r="I11">
        <v>1</v>
      </c>
      <c r="J11">
        <v>6</v>
      </c>
      <c r="L11" s="123">
        <f>1-(1-VLOOKUP(Inputs!B$1+I11-1,Inputs!$F$5:$H$105,IF(B$2="M",2,3),0))^(1/12)</f>
        <v>3.2770253940961336E-4</v>
      </c>
      <c r="M11" s="124">
        <f>1-(1-VLOOKUP(I11,Inputs!$C$22:$D$32,2,FALSE))^(VLOOKUP(J11,Inputs!$A$22:$B$33,2,1))</f>
        <v>3.4307521988581335E-3</v>
      </c>
      <c r="N11" s="125">
        <f>1-(1-VLOOKUP(Inputs!B$1+I11-1,Inputs!$J$5:$L$105,IF(B$2="M",2,3),0))^(1/12)</f>
        <v>1.3593491795749202E-4</v>
      </c>
      <c r="O11" s="106">
        <f t="shared" si="6"/>
        <v>0.97077764972624414</v>
      </c>
      <c r="P11" s="125">
        <f t="shared" si="7"/>
        <v>0.96699865052818601</v>
      </c>
      <c r="Q11" s="199">
        <f t="shared" si="8"/>
        <v>0.97793834497081489</v>
      </c>
      <c r="R11" s="125">
        <f t="shared" si="0"/>
        <v>0.97358476702247088</v>
      </c>
      <c r="S11" s="8"/>
      <c r="T11" s="200">
        <f t="shared" si="9"/>
        <v>485.38882486312207</v>
      </c>
      <c r="U11" s="104">
        <f t="shared" si="1"/>
        <v>483.49932526409299</v>
      </c>
      <c r="V11" s="104">
        <f t="shared" si="2"/>
        <v>0.15906315050869319</v>
      </c>
      <c r="W11" s="6"/>
      <c r="X11" s="184"/>
      <c r="Y11" s="91">
        <f>Inputs!C$17*V11</f>
        <v>7.9531575254346594</v>
      </c>
      <c r="Z11" s="232">
        <f t="shared" si="3"/>
        <v>4771.8945152607957</v>
      </c>
      <c r="AA11" s="201"/>
      <c r="AB11" s="84"/>
      <c r="AC11" s="156" t="s">
        <v>126</v>
      </c>
      <c r="AD11" s="6">
        <f>SUMPRODUCT(R6:R65,AP6:AP65)</f>
        <v>21685.188075794787</v>
      </c>
      <c r="AF11" s="144">
        <f t="shared" si="10"/>
        <v>9052.5845601494893</v>
      </c>
      <c r="AG11" s="87"/>
      <c r="AH11" s="107">
        <f>Inputs!C$14/12*T11+Inputs!C$16*AF11</f>
        <v>724.20676481195915</v>
      </c>
      <c r="AI11" s="107">
        <f>Inputs!C$10*AF11</f>
        <v>226.31461400373723</v>
      </c>
      <c r="AJ11" s="107">
        <f>(Inputs!C$8+Inputs!C$11)*AF11</f>
        <v>1538.9393752254132</v>
      </c>
      <c r="AK11" s="107"/>
      <c r="AL11" s="107">
        <f t="shared" si="11"/>
        <v>30.105184159864972</v>
      </c>
      <c r="AM11" s="128">
        <f t="shared" si="4"/>
        <v>30.105184159864972</v>
      </c>
      <c r="AN11" s="129">
        <f t="shared" si="5"/>
        <v>4771.8945152607957</v>
      </c>
      <c r="AO11" s="198">
        <f>V11*Inputs!C$17</f>
        <v>7.9531575254346594</v>
      </c>
      <c r="AP11" s="129">
        <f t="shared" si="12"/>
        <v>1813.3813174820157</v>
      </c>
    </row>
    <row r="12" spans="1:42">
      <c r="A12" s="35" t="s">
        <v>40</v>
      </c>
      <c r="B12" s="7" t="s">
        <v>111</v>
      </c>
      <c r="E12" s="35" t="s">
        <v>40</v>
      </c>
      <c r="F12" s="166">
        <f>SUMPRODUCT(R6:R65,Y6:Y65)</f>
        <v>463.07873753517288</v>
      </c>
      <c r="I12">
        <v>1</v>
      </c>
      <c r="J12">
        <v>7</v>
      </c>
      <c r="L12" s="123">
        <f>1-(1-VLOOKUP(Inputs!B$1+I12-1,Inputs!$F$5:$H$105,IF(B$2="M",2,3),0))^(1/12)</f>
        <v>3.2770253940961336E-4</v>
      </c>
      <c r="M12" s="124">
        <f>1-(1-VLOOKUP(I12,Inputs!$C$22:$D$32,2,FALSE))^(VLOOKUP(J12,Inputs!$A$22:$B$33,2,1))</f>
        <v>3.4307521988581335E-3</v>
      </c>
      <c r="N12" s="125">
        <f>1-(1-VLOOKUP(Inputs!B$1+I12-1,Inputs!$J$5:$L$105,IF(B$2="M",2,3),0))^(1/12)</f>
        <v>1.3593491795749202E-4</v>
      </c>
      <c r="O12" s="106">
        <f t="shared" si="6"/>
        <v>0.96699865052818601</v>
      </c>
      <c r="P12" s="125">
        <f t="shared" si="7"/>
        <v>0.96323436204678148</v>
      </c>
      <c r="Q12" s="199">
        <f t="shared" si="8"/>
        <v>0.97358476702247088</v>
      </c>
      <c r="R12" s="125">
        <f t="shared" si="0"/>
        <v>0.96925057029693074</v>
      </c>
      <c r="S12" s="8"/>
      <c r="T12" s="200">
        <f t="shared" si="9"/>
        <v>483.49932526409299</v>
      </c>
      <c r="U12" s="104">
        <f t="shared" si="1"/>
        <v>481.61718102339074</v>
      </c>
      <c r="V12" s="104">
        <f t="shared" si="2"/>
        <v>0.15844395669187791</v>
      </c>
      <c r="W12" s="6"/>
      <c r="X12" s="184"/>
      <c r="Y12" s="91">
        <f>Inputs!C$17*V12</f>
        <v>7.9221978345938959</v>
      </c>
      <c r="Z12" s="232">
        <f t="shared" si="3"/>
        <v>4753.3187007563374</v>
      </c>
      <c r="AA12" s="201"/>
      <c r="AB12" s="6"/>
      <c r="AC12" s="55"/>
      <c r="AD12" s="6"/>
      <c r="AF12" s="144">
        <f t="shared" si="10"/>
        <v>9017.3450696206273</v>
      </c>
      <c r="AG12" s="87"/>
      <c r="AH12" s="107">
        <f>Inputs!C$14/12*T12+Inputs!C$16*AF12</f>
        <v>721.38760556965019</v>
      </c>
      <c r="AI12" s="107">
        <f>Inputs!C$10*AF12</f>
        <v>225.43362674051571</v>
      </c>
      <c r="AJ12" s="107">
        <f>(Inputs!C$8+Inputs!C$11)*AF12</f>
        <v>1532.9486618355068</v>
      </c>
      <c r="AK12" s="107"/>
      <c r="AL12" s="107">
        <f t="shared" si="11"/>
        <v>29.997181296950838</v>
      </c>
      <c r="AM12" s="128">
        <f t="shared" si="4"/>
        <v>29.997181296950838</v>
      </c>
      <c r="AN12" s="129">
        <f t="shared" si="5"/>
        <v>4753.3187007563374</v>
      </c>
      <c r="AO12" s="198">
        <f>V12*Inputs!C$17</f>
        <v>7.9221978345938959</v>
      </c>
      <c r="AP12" s="129">
        <f t="shared" si="12"/>
        <v>1806.331458180973</v>
      </c>
    </row>
    <row r="13" spans="1:42">
      <c r="A13" s="36" t="s">
        <v>112</v>
      </c>
      <c r="F13" s="167">
        <f>B4*25</f>
        <v>12500</v>
      </c>
      <c r="I13">
        <v>1</v>
      </c>
      <c r="J13">
        <v>8</v>
      </c>
      <c r="L13" s="123">
        <f>1-(1-VLOOKUP(Inputs!B$1+I13-1,Inputs!$F$5:$H$105,IF(B$2="M",2,3),0))^(1/12)</f>
        <v>3.2770253940961336E-4</v>
      </c>
      <c r="M13" s="124">
        <f>1-(1-VLOOKUP(I13,Inputs!$C$22:$D$32,2,FALSE))^(VLOOKUP(J13,Inputs!$A$22:$B$33,2,1))</f>
        <v>3.4307521988581335E-3</v>
      </c>
      <c r="N13" s="125">
        <f>1-(1-VLOOKUP(Inputs!B$1+I13-1,Inputs!$J$5:$L$105,IF(B$2="M",2,3),0))^(1/12)</f>
        <v>1.3593491795749202E-4</v>
      </c>
      <c r="O13" s="106">
        <f t="shared" si="6"/>
        <v>0.96323436204678148</v>
      </c>
      <c r="P13" s="125">
        <f t="shared" si="7"/>
        <v>0.95948472701682042</v>
      </c>
      <c r="Q13" s="199">
        <f t="shared" si="8"/>
        <v>0.96925057029693074</v>
      </c>
      <c r="R13" s="125">
        <f t="shared" si="0"/>
        <v>0.96493566851302481</v>
      </c>
      <c r="S13" s="8"/>
      <c r="T13" s="200">
        <f t="shared" si="9"/>
        <v>481.61718102339074</v>
      </c>
      <c r="U13" s="104">
        <f t="shared" si="1"/>
        <v>479.74236350841022</v>
      </c>
      <c r="V13" s="104">
        <f t="shared" si="2"/>
        <v>0.15782717324466461</v>
      </c>
      <c r="W13" s="6"/>
      <c r="X13" s="184"/>
      <c r="Y13" s="91">
        <f>Inputs!C$17*V13</f>
        <v>7.8913586622332303</v>
      </c>
      <c r="Z13" s="232">
        <f t="shared" si="3"/>
        <v>4734.8151973399381</v>
      </c>
      <c r="AA13" s="201"/>
      <c r="AB13" s="83"/>
      <c r="AC13" s="55"/>
      <c r="AD13" s="95"/>
      <c r="AF13" s="144">
        <f t="shared" si="10"/>
        <v>8982.2427577819471</v>
      </c>
      <c r="AG13" s="87"/>
      <c r="AH13" s="107">
        <f>Inputs!C$14/12*T13+Inputs!C$16*AF13</f>
        <v>718.57942062255574</v>
      </c>
      <c r="AI13" s="107">
        <f>Inputs!C$10*AF13</f>
        <v>224.55606894454868</v>
      </c>
      <c r="AJ13" s="107">
        <f>(Inputs!C$8+Inputs!C$11)*AF13</f>
        <v>1526.981268822931</v>
      </c>
      <c r="AK13" s="107"/>
      <c r="AL13" s="107">
        <f t="shared" si="11"/>
        <v>29.889554952463165</v>
      </c>
      <c r="AM13" s="128">
        <f t="shared" si="4"/>
        <v>29.889554952463165</v>
      </c>
      <c r="AN13" s="129">
        <f t="shared" si="5"/>
        <v>4734.8151973399381</v>
      </c>
      <c r="AO13" s="198">
        <f>V13*Inputs!C$17</f>
        <v>7.8913586622332303</v>
      </c>
      <c r="AP13" s="129">
        <f t="shared" si="12"/>
        <v>1799.3089983422021</v>
      </c>
    </row>
    <row r="14" spans="1:42">
      <c r="A14" s="36" t="s">
        <v>42</v>
      </c>
      <c r="B14" s="7"/>
      <c r="C14" s="7"/>
      <c r="D14" s="7"/>
      <c r="E14" s="7"/>
      <c r="F14" s="168"/>
      <c r="G14" s="7"/>
      <c r="H14" s="5"/>
      <c r="I14">
        <v>1</v>
      </c>
      <c r="J14">
        <v>9</v>
      </c>
      <c r="L14" s="123">
        <f>1-(1-VLOOKUP(Inputs!B$1+I14-1,Inputs!$F$5:$H$105,IF(B$2="M",2,3),0))^(1/12)</f>
        <v>3.2770253940961336E-4</v>
      </c>
      <c r="M14" s="124">
        <f>1-(1-VLOOKUP(I14,Inputs!$C$22:$D$32,2,FALSE))^(VLOOKUP(J14,Inputs!$A$22:$B$33,2,1))</f>
        <v>3.4307521988581335E-3</v>
      </c>
      <c r="N14" s="125">
        <f>1-(1-VLOOKUP(Inputs!B$1+I14-1,Inputs!$J$5:$L$105,IF(B$2="M",2,3),0))^(1/12)</f>
        <v>1.3593491795749202E-4</v>
      </c>
      <c r="O14" s="106">
        <f t="shared" si="6"/>
        <v>0.95948472701682042</v>
      </c>
      <c r="P14" s="125">
        <f t="shared" si="7"/>
        <v>0.9557496883960116</v>
      </c>
      <c r="Q14" s="199">
        <f t="shared" si="8"/>
        <v>0.96493566851302481</v>
      </c>
      <c r="R14" s="125">
        <f t="shared" si="0"/>
        <v>0.96063997577368943</v>
      </c>
      <c r="S14" s="8"/>
      <c r="T14" s="200">
        <f t="shared" si="9"/>
        <v>479.74236350841022</v>
      </c>
      <c r="U14" s="104">
        <f t="shared" si="1"/>
        <v>477.8748441980058</v>
      </c>
      <c r="V14" s="104">
        <f t="shared" si="2"/>
        <v>0.15721279078407585</v>
      </c>
      <c r="W14" s="6"/>
      <c r="X14" s="184"/>
      <c r="Y14" s="91">
        <f>Inputs!C$17*V14</f>
        <v>7.8606395392037927</v>
      </c>
      <c r="Z14" s="232">
        <f t="shared" si="3"/>
        <v>4716.3837235222754</v>
      </c>
      <c r="AA14" s="201"/>
      <c r="AB14" s="83"/>
      <c r="AC14" s="55"/>
      <c r="AD14" s="6"/>
      <c r="AF14" s="144">
        <f t="shared" si="10"/>
        <v>8947.2770906304704</v>
      </c>
      <c r="AG14" s="87"/>
      <c r="AH14" s="107">
        <f>Inputs!C$14/12*T14+Inputs!C$16*AF14</f>
        <v>715.78216725043762</v>
      </c>
      <c r="AI14" s="107">
        <f>Inputs!C$10*AF14</f>
        <v>223.68192726576177</v>
      </c>
      <c r="AJ14" s="107">
        <f>(Inputs!C$8+Inputs!C$11)*AF14</f>
        <v>1521.03710540718</v>
      </c>
      <c r="AK14" s="107"/>
      <c r="AL14" s="107">
        <f t="shared" si="11"/>
        <v>29.782303870530569</v>
      </c>
      <c r="AM14" s="128">
        <f t="shared" si="4"/>
        <v>29.782303870530569</v>
      </c>
      <c r="AN14" s="129">
        <f t="shared" si="5"/>
        <v>4716.3837235222754</v>
      </c>
      <c r="AO14" s="198">
        <f>V14*Inputs!C$17</f>
        <v>7.8606395392037927</v>
      </c>
      <c r="AP14" s="129">
        <f t="shared" si="12"/>
        <v>1792.3138315161411</v>
      </c>
    </row>
    <row r="15" spans="1:42">
      <c r="A15" s="202"/>
      <c r="B15" s="7"/>
      <c r="C15" s="7"/>
      <c r="D15" s="7"/>
      <c r="E15" s="7"/>
      <c r="F15" s="163">
        <f>F6+F7+F12+F13</f>
        <v>290810.32125863887</v>
      </c>
      <c r="G15" s="7"/>
      <c r="H15" s="5"/>
      <c r="I15">
        <v>1</v>
      </c>
      <c r="J15">
        <v>10</v>
      </c>
      <c r="L15" s="123">
        <f>1-(1-VLOOKUP(Inputs!B$1+I15-1,Inputs!$F$5:$H$105,IF(B$2="M",2,3),0))^(1/12)</f>
        <v>3.2770253940961336E-4</v>
      </c>
      <c r="M15" s="124">
        <f>1-(1-VLOOKUP(I15,Inputs!$C$22:$D$32,2,FALSE))^(VLOOKUP(J15,Inputs!$A$22:$B$33,2,1))</f>
        <v>3.4307521988581335E-3</v>
      </c>
      <c r="N15" s="125">
        <f>1-(1-VLOOKUP(Inputs!B$1+I15-1,Inputs!$J$5:$L$105,IF(B$2="M",2,3),0))^(1/12)</f>
        <v>1.3593491795749202E-4</v>
      </c>
      <c r="O15" s="106">
        <f t="shared" si="6"/>
        <v>0.9557496883960116</v>
      </c>
      <c r="P15" s="125">
        <f t="shared" si="7"/>
        <v>0.95202918936411551</v>
      </c>
      <c r="Q15" s="199">
        <f t="shared" si="8"/>
        <v>0.96063997577368943</v>
      </c>
      <c r="R15" s="125">
        <f t="shared" si="0"/>
        <v>0.95636340656425645</v>
      </c>
      <c r="S15" s="8"/>
      <c r="T15" s="200">
        <f t="shared" si="9"/>
        <v>477.8748441980058</v>
      </c>
      <c r="U15" s="104">
        <f t="shared" si="1"/>
        <v>476.01459468205775</v>
      </c>
      <c r="V15" s="104">
        <f t="shared" si="2"/>
        <v>0.15660079996365983</v>
      </c>
      <c r="W15" s="6"/>
      <c r="X15" s="184"/>
      <c r="Y15" s="91">
        <f>Inputs!C$17*V15</f>
        <v>7.8300399981829916</v>
      </c>
      <c r="Z15" s="232">
        <f t="shared" si="3"/>
        <v>4698.0239989097945</v>
      </c>
      <c r="AA15" s="201"/>
      <c r="AB15" s="83"/>
      <c r="AC15" s="6"/>
      <c r="AD15" s="6"/>
      <c r="AF15" s="144">
        <f t="shared" si="10"/>
        <v>8912.4475362419544</v>
      </c>
      <c r="AG15" s="87"/>
      <c r="AH15" s="107">
        <f>Inputs!C$14/12*T15+Inputs!C$16*AF15</f>
        <v>712.99580289935636</v>
      </c>
      <c r="AI15" s="107">
        <f>Inputs!C$10*AF15</f>
        <v>222.81118840604887</v>
      </c>
      <c r="AJ15" s="107">
        <f>(Inputs!C$8+Inputs!C$11)*AF15</f>
        <v>1515.1160811611323</v>
      </c>
      <c r="AK15" s="107"/>
      <c r="AL15" s="107">
        <f t="shared" si="11"/>
        <v>29.675962168783304</v>
      </c>
      <c r="AM15" s="128">
        <f t="shared" si="4"/>
        <v>29.675962168783304</v>
      </c>
      <c r="AN15" s="129">
        <f t="shared" si="5"/>
        <v>4698.0239989097945</v>
      </c>
      <c r="AO15" s="198">
        <f>V15*Inputs!C$17</f>
        <v>7.8300399981829916</v>
      </c>
      <c r="AP15" s="129">
        <f t="shared" si="12"/>
        <v>1785.3463870362218</v>
      </c>
    </row>
    <row r="16" spans="1:42">
      <c r="B16" s="7"/>
      <c r="C16" s="7"/>
      <c r="D16" s="7"/>
      <c r="E16" s="35" t="s">
        <v>25</v>
      </c>
      <c r="F16" s="169">
        <f>F5-F8-F9-F10-F11</f>
        <v>15592.903789618593</v>
      </c>
      <c r="G16" s="7" t="s">
        <v>43</v>
      </c>
      <c r="H16" s="5"/>
      <c r="I16">
        <v>1</v>
      </c>
      <c r="J16">
        <v>11</v>
      </c>
      <c r="L16" s="123">
        <f>1-(1-VLOOKUP(Inputs!B$1+I16-1,Inputs!$F$5:$H$105,IF(B$2="M",2,3),0))^(1/12)</f>
        <v>3.2770253940961336E-4</v>
      </c>
      <c r="M16" s="124">
        <f>1-(1-VLOOKUP(I16,Inputs!$C$22:$D$32,2,FALSE))^(VLOOKUP(J16,Inputs!$A$22:$B$33,2,1))</f>
        <v>3.4307521988581335E-3</v>
      </c>
      <c r="N16" s="125">
        <f>1-(1-VLOOKUP(Inputs!B$1+I16-1,Inputs!$J$5:$L$105,IF(B$2="M",2,3),0))^(1/12)</f>
        <v>1.3593491795749202E-4</v>
      </c>
      <c r="O16" s="106">
        <f t="shared" si="6"/>
        <v>0.95202918936411551</v>
      </c>
      <c r="P16" s="125">
        <f t="shared" si="7"/>
        <v>0.94832317332208005</v>
      </c>
      <c r="Q16" s="199">
        <f t="shared" si="8"/>
        <v>0.95636340656425645</v>
      </c>
      <c r="R16" s="125">
        <f t="shared" si="0"/>
        <v>0.95210587575075156</v>
      </c>
      <c r="S16" s="8"/>
      <c r="T16" s="200">
        <f t="shared" si="9"/>
        <v>476.01459468205775</v>
      </c>
      <c r="U16" s="104">
        <f t="shared" si="1"/>
        <v>474.16158666104002</v>
      </c>
      <c r="V16" s="104">
        <f t="shared" si="2"/>
        <v>0.15599119147334817</v>
      </c>
      <c r="W16" s="6"/>
      <c r="X16" s="184"/>
      <c r="Y16" s="91">
        <f>Inputs!C$17*V16</f>
        <v>7.7995595736674082</v>
      </c>
      <c r="Z16" s="232">
        <f t="shared" si="3"/>
        <v>4679.735744200445</v>
      </c>
      <c r="AA16" s="201"/>
      <c r="AB16" s="83"/>
      <c r="AC16" s="55"/>
      <c r="AD16" s="6"/>
      <c r="AF16" s="144">
        <f t="shared" si="10"/>
        <v>8877.7535647628101</v>
      </c>
      <c r="AG16" s="87"/>
      <c r="AH16" s="107">
        <f>Inputs!C$14/12*T16+Inputs!C$16*AF16</f>
        <v>710.22028518102479</v>
      </c>
      <c r="AI16" s="107">
        <f>Inputs!C$10*AF16</f>
        <v>221.94383911907028</v>
      </c>
      <c r="AJ16" s="107">
        <f>(Inputs!C$8+Inputs!C$11)*AF16</f>
        <v>1509.2181060096777</v>
      </c>
      <c r="AK16" s="107"/>
      <c r="AL16" s="107">
        <f t="shared" si="11"/>
        <v>29.569988085005328</v>
      </c>
      <c r="AM16" s="128">
        <f t="shared" si="4"/>
        <v>29.569988085005328</v>
      </c>
      <c r="AN16" s="129">
        <f t="shared" si="5"/>
        <v>4679.735744200445</v>
      </c>
      <c r="AO16" s="198">
        <f>V16*Inputs!C$17</f>
        <v>7.7995595736674082</v>
      </c>
      <c r="AP16" s="129">
        <f t="shared" si="12"/>
        <v>1778.4060187639307</v>
      </c>
    </row>
    <row r="17" spans="1:43">
      <c r="A17" s="37"/>
      <c r="B17" s="38"/>
      <c r="C17" s="38"/>
      <c r="D17" s="38"/>
      <c r="E17" s="35" t="s">
        <v>25</v>
      </c>
      <c r="F17" s="84">
        <f>F15/F16</f>
        <v>18.650170948419106</v>
      </c>
      <c r="G17" s="160" t="s">
        <v>31</v>
      </c>
      <c r="H17" s="95"/>
      <c r="I17" s="13">
        <f>IF(K17=1,I16+1,I16)</f>
        <v>1</v>
      </c>
      <c r="J17" s="13">
        <v>12</v>
      </c>
      <c r="L17" s="123">
        <f>1-(1-VLOOKUP(Inputs!B$1+I17-1,Inputs!$F$5:$H$105,IF(B$2="M",2,3),0))^(1/12)</f>
        <v>3.2770253940961336E-4</v>
      </c>
      <c r="M17" s="124">
        <f>1-(1-VLOOKUP(I17,Inputs!$C$22:$D$32,2,FALSE))^(VLOOKUP(J17,Inputs!$A$22:$B$33,2,1))</f>
        <v>3.4307521988581335E-3</v>
      </c>
      <c r="N17" s="125">
        <f>1-(1-VLOOKUP(Inputs!B$1+I17-1,Inputs!$J$5:$L$105,IF(B$2="M",2,3),0))^(1/12)</f>
        <v>1.3593491795749202E-4</v>
      </c>
      <c r="O17" s="106">
        <f t="shared" si="6"/>
        <v>0.94832317332208005</v>
      </c>
      <c r="P17" s="125">
        <f t="shared" si="7"/>
        <v>0.94463158389117929</v>
      </c>
      <c r="Q17" s="199">
        <f t="shared" si="8"/>
        <v>0.95210587575075156</v>
      </c>
      <c r="R17" s="125">
        <f t="shared" si="0"/>
        <v>0.94786729857819896</v>
      </c>
      <c r="S17" s="8"/>
      <c r="T17" s="200">
        <f t="shared" si="9"/>
        <v>474.16158666104002</v>
      </c>
      <c r="U17" s="104">
        <f t="shared" si="1"/>
        <v>472.31579194558964</v>
      </c>
      <c r="V17" s="104">
        <f t="shared" si="2"/>
        <v>0.15538395603931426</v>
      </c>
      <c r="W17" s="6"/>
      <c r="X17" s="184"/>
      <c r="Y17" s="91">
        <f>Inputs!C$17*V17</f>
        <v>7.7691978019657135</v>
      </c>
      <c r="Z17" s="232">
        <f t="shared" si="3"/>
        <v>4661.5186811794283</v>
      </c>
      <c r="AA17" s="201"/>
      <c r="AB17" s="83"/>
      <c r="AC17" s="55"/>
      <c r="AD17" s="6"/>
      <c r="AE17" s="5"/>
      <c r="AF17" s="144">
        <f t="shared" si="10"/>
        <v>8843.1946484020373</v>
      </c>
      <c r="AG17" s="87"/>
      <c r="AH17" s="107">
        <f>Inputs!C$14/12*T17+Inputs!C$16*AF17</f>
        <v>707.45557187216298</v>
      </c>
      <c r="AI17" s="107">
        <f>Inputs!C$10*AF17</f>
        <v>221.07986621005094</v>
      </c>
      <c r="AJ17" s="107">
        <f>(Inputs!C$8+Inputs!C$11)*AF17</f>
        <v>1503.3430902283465</v>
      </c>
      <c r="AK17" s="107"/>
      <c r="AL17" s="107">
        <f t="shared" si="11"/>
        <v>29.464380412029104</v>
      </c>
      <c r="AM17" s="128">
        <f t="shared" si="4"/>
        <v>29.464380412029104</v>
      </c>
      <c r="AN17" s="129">
        <f t="shared" si="5"/>
        <v>4661.5186811794283</v>
      </c>
      <c r="AO17" s="198">
        <f>V17*Inputs!C$17</f>
        <v>7.7691978019657135</v>
      </c>
      <c r="AP17" s="129">
        <f t="shared" si="12"/>
        <v>1771.492621522113</v>
      </c>
    </row>
    <row r="18" spans="1:43">
      <c r="A18" s="203"/>
      <c r="B18" s="204"/>
      <c r="C18" s="7"/>
      <c r="D18" s="7"/>
      <c r="E18" s="86"/>
      <c r="F18" s="83">
        <f>F17*12</f>
        <v>223.80205138102929</v>
      </c>
      <c r="G18" s="161" t="s">
        <v>124</v>
      </c>
      <c r="H18" s="5"/>
      <c r="I18">
        <f>I6+1</f>
        <v>2</v>
      </c>
      <c r="J18">
        <v>1</v>
      </c>
      <c r="L18" s="123">
        <f>1-(1-VLOOKUP(Inputs!B$1+I18-1,Inputs!$F$5:$H$105,IF(B$2="M",2,3),0))^(1/12)</f>
        <v>3.6775629979546309E-4</v>
      </c>
      <c r="M18" s="124">
        <f>1-(1-VLOOKUP(I18,Inputs!$C$22:$D$41,2,FALSE))^(1/12)</f>
        <v>4.2653187775606449E-3</v>
      </c>
      <c r="N18" s="125">
        <f>1-(1-VLOOKUP(Inputs!B$1+I18-1,Inputs!$J$5:$L$105,IF(B$2="M",2,3),0))^(1/12)</f>
        <v>1.4761979486466181E-4</v>
      </c>
      <c r="O18" s="106">
        <f t="shared" si="6"/>
        <v>0.94463158389117929</v>
      </c>
      <c r="P18" s="125">
        <f t="shared" si="7"/>
        <v>0.94011771611554307</v>
      </c>
      <c r="Q18" s="199">
        <f t="shared" si="8"/>
        <v>0.94786729857819896</v>
      </c>
      <c r="R18" s="125">
        <f t="shared" si="0"/>
        <v>0.94364759066893444</v>
      </c>
      <c r="S18" s="8"/>
      <c r="T18" s="200">
        <f t="shared" si="9"/>
        <v>472.31579194558964</v>
      </c>
      <c r="U18" s="104">
        <f t="shared" si="1"/>
        <v>470.05885805777154</v>
      </c>
      <c r="V18" s="104">
        <f t="shared" si="2"/>
        <v>0.17369710798087384</v>
      </c>
      <c r="W18" s="6"/>
      <c r="X18" s="184"/>
      <c r="Y18" s="91">
        <f>Inputs!C$17*V18</f>
        <v>8.684855399043693</v>
      </c>
      <c r="Z18" s="232">
        <f t="shared" si="3"/>
        <v>5210.9132394262151</v>
      </c>
      <c r="AA18" s="201"/>
      <c r="AB18" s="83"/>
      <c r="AC18" s="55"/>
      <c r="AD18" s="6"/>
      <c r="AE18" s="6"/>
      <c r="AF18" s="144">
        <f t="shared" si="10"/>
        <v>8808.7702614231985</v>
      </c>
      <c r="AG18" s="87"/>
      <c r="AH18" s="107">
        <f>Inputs!C$14/12*T18+Inputs!C$16*AF18</f>
        <v>704.70162091385589</v>
      </c>
      <c r="AI18" s="107">
        <f>Inputs!C$10*AF18</f>
        <v>220.21925653557997</v>
      </c>
      <c r="AJ18" s="107">
        <f>(Inputs!C$9+Inputs!C$11)*AF18</f>
        <v>1497.4909444419438</v>
      </c>
      <c r="AK18" s="107"/>
      <c r="AL18" s="107">
        <f t="shared" si="11"/>
        <v>29.359137946304809</v>
      </c>
      <c r="AM18" s="128">
        <f t="shared" si="4"/>
        <v>29.359137946304809</v>
      </c>
      <c r="AN18" s="129">
        <f t="shared" si="5"/>
        <v>5210.9132394262151</v>
      </c>
      <c r="AO18" s="198">
        <f>V18*Inputs!C$17</f>
        <v>8.684855399043693</v>
      </c>
      <c r="AP18" s="129">
        <f t="shared" si="12"/>
        <v>1196.1194826528656</v>
      </c>
      <c r="AQ18" s="94"/>
    </row>
    <row r="19" spans="1:43">
      <c r="E19" s="6"/>
      <c r="F19" s="83"/>
      <c r="G19" s="6"/>
      <c r="H19" s="5"/>
      <c r="I19">
        <f t="shared" ref="I19:I29" si="13">IF(K20=1,I18+1,I18)</f>
        <v>2</v>
      </c>
      <c r="J19">
        <v>2</v>
      </c>
      <c r="L19" s="123">
        <f>1-(1-VLOOKUP(Inputs!B$1+I19-1,Inputs!$F$5:$H$105,IF(B$2="M",2,3),0))^(1/12)</f>
        <v>3.6775629979546309E-4</v>
      </c>
      <c r="M19" s="124">
        <f>1-(1-VLOOKUP(I19,Inputs!$C$22:$D$41,2,FALSE))^(1/12)</f>
        <v>4.2653187775606449E-3</v>
      </c>
      <c r="N19" s="125">
        <f>1-(1-VLOOKUP(Inputs!B$1+I19-1,Inputs!$J$5:$L$105,IF(B$2="M",2,3),0))^(1/12)</f>
        <v>1.4761979486466181E-4</v>
      </c>
      <c r="O19" s="106">
        <f t="shared" si="6"/>
        <v>0.94011771611554307</v>
      </c>
      <c r="P19" s="125">
        <f t="shared" si="7"/>
        <v>0.93562541759785189</v>
      </c>
      <c r="Q19" s="199">
        <f t="shared" si="8"/>
        <v>0.94364759066893444</v>
      </c>
      <c r="R19" s="125">
        <f t="shared" si="0"/>
        <v>0.93944666802092558</v>
      </c>
      <c r="S19" s="8"/>
      <c r="T19" s="200">
        <f t="shared" si="9"/>
        <v>470.05885805777154</v>
      </c>
      <c r="U19" s="104">
        <f t="shared" si="1"/>
        <v>467.81270879892594</v>
      </c>
      <c r="V19" s="104">
        <f t="shared" si="2"/>
        <v>0.17286710632540686</v>
      </c>
      <c r="W19" s="6"/>
      <c r="X19" s="184"/>
      <c r="Y19" s="91">
        <f>Inputs!C$17*V19</f>
        <v>8.6433553162703429</v>
      </c>
      <c r="Z19" s="232">
        <f t="shared" si="3"/>
        <v>5186.0131897622059</v>
      </c>
      <c r="AA19" s="201"/>
      <c r="AB19" s="83"/>
      <c r="AC19" s="55"/>
      <c r="AD19" s="6"/>
      <c r="AE19" s="6"/>
      <c r="AF19" s="144">
        <f t="shared" si="10"/>
        <v>8766.6780585961114</v>
      </c>
      <c r="AG19" s="87"/>
      <c r="AH19" s="107">
        <f>Inputs!C$14/12*T19+Inputs!C$16*AF19</f>
        <v>701.33424468768897</v>
      </c>
      <c r="AI19" s="107">
        <f>Inputs!C$10*AF19</f>
        <v>219.16695146490281</v>
      </c>
      <c r="AJ19" s="107">
        <f>(Inputs!C$9+Inputs!C$11)*AF19</f>
        <v>1490.335269961339</v>
      </c>
      <c r="AK19" s="107"/>
      <c r="AL19" s="107">
        <f t="shared" si="11"/>
        <v>29.219372090958672</v>
      </c>
      <c r="AM19" s="128">
        <f t="shared" si="4"/>
        <v>29.219372090958672</v>
      </c>
      <c r="AN19" s="129">
        <f t="shared" si="5"/>
        <v>5186.0131897622059</v>
      </c>
      <c r="AO19" s="198">
        <f>V19*Inputs!C$17</f>
        <v>8.6433553162703429</v>
      </c>
      <c r="AP19" s="129">
        <f t="shared" si="12"/>
        <v>1190.404419494663</v>
      </c>
      <c r="AQ19" s="84"/>
    </row>
    <row r="20" spans="1:43">
      <c r="A20" s="35"/>
      <c r="B20" s="7"/>
      <c r="C20" s="7"/>
      <c r="D20" s="7"/>
      <c r="E20" s="86"/>
      <c r="F20" s="83"/>
      <c r="G20" s="55"/>
      <c r="H20" s="5"/>
      <c r="I20">
        <f t="shared" si="13"/>
        <v>2</v>
      </c>
      <c r="J20">
        <v>3</v>
      </c>
      <c r="L20" s="123">
        <f>1-(1-VLOOKUP(Inputs!B$1+I20-1,Inputs!$F$5:$H$105,IF(B$2="M",2,3),0))^(1/12)</f>
        <v>3.6775629979546309E-4</v>
      </c>
      <c r="M20" s="124">
        <f>1-(1-VLOOKUP(I20,Inputs!$C$22:$D$41,2,FALSE))^(1/12)</f>
        <v>4.2653187775606449E-3</v>
      </c>
      <c r="N20" s="125">
        <f>1-(1-VLOOKUP(Inputs!B$1+I20-1,Inputs!$J$5:$L$105,IF(B$2="M",2,3),0))^(1/12)</f>
        <v>1.4761979486466181E-4</v>
      </c>
      <c r="O20" s="106">
        <f t="shared" si="6"/>
        <v>0.93562541759785189</v>
      </c>
      <c r="P20" s="125">
        <f t="shared" si="7"/>
        <v>0.93115458527064521</v>
      </c>
      <c r="Q20" s="199">
        <f t="shared" si="8"/>
        <v>0.93944666802092558</v>
      </c>
      <c r="R20" s="125">
        <f t="shared" si="0"/>
        <v>0.93526444700609956</v>
      </c>
      <c r="S20" s="8"/>
      <c r="T20" s="200">
        <f t="shared" si="9"/>
        <v>467.81270879892594</v>
      </c>
      <c r="U20" s="104">
        <f t="shared" si="1"/>
        <v>465.57729263532258</v>
      </c>
      <c r="V20" s="104">
        <f t="shared" si="2"/>
        <v>0.17204107078518549</v>
      </c>
      <c r="W20" s="6"/>
      <c r="X20" s="184"/>
      <c r="Y20" s="91">
        <f>Inputs!C$17*V20</f>
        <v>8.6020535392592752</v>
      </c>
      <c r="Z20" s="232">
        <f t="shared" si="3"/>
        <v>5161.2321235555646</v>
      </c>
      <c r="AA20" s="201"/>
      <c r="AB20" s="83"/>
      <c r="AC20" s="55"/>
      <c r="AD20" s="6"/>
      <c r="AE20" s="6"/>
      <c r="AF20" s="144">
        <f t="shared" si="10"/>
        <v>8724.7869909429755</v>
      </c>
      <c r="AG20" s="87"/>
      <c r="AH20" s="107">
        <f>Inputs!C$14/12*T20+Inputs!C$16*AF20</f>
        <v>697.98295927543802</v>
      </c>
      <c r="AI20" s="107">
        <f>Inputs!C$10*AF20</f>
        <v>218.11967477357439</v>
      </c>
      <c r="AJ20" s="107">
        <f>(Inputs!C$9+Inputs!C$11)*AF20</f>
        <v>1483.213788460306</v>
      </c>
      <c r="AK20" s="107"/>
      <c r="AL20" s="107">
        <f t="shared" si="11"/>
        <v>29.080271562081375</v>
      </c>
      <c r="AM20" s="128">
        <f t="shared" si="4"/>
        <v>29.080271562081375</v>
      </c>
      <c r="AN20" s="129">
        <f t="shared" si="5"/>
        <v>5161.2321235555646</v>
      </c>
      <c r="AO20" s="198">
        <f>V20*Inputs!C$17</f>
        <v>8.6020535392592752</v>
      </c>
      <c r="AP20" s="129">
        <f t="shared" si="12"/>
        <v>1184.716662900915</v>
      </c>
      <c r="AQ20" s="84"/>
    </row>
    <row r="21" spans="1:43">
      <c r="A21" s="35"/>
      <c r="B21" s="7"/>
      <c r="C21" s="7"/>
      <c r="D21" s="7"/>
      <c r="E21" s="86"/>
      <c r="F21" s="83"/>
      <c r="G21" s="55"/>
      <c r="H21" s="5"/>
      <c r="I21">
        <f t="shared" si="13"/>
        <v>2</v>
      </c>
      <c r="J21">
        <v>4</v>
      </c>
      <c r="L21" s="123">
        <f>1-(1-VLOOKUP(Inputs!B$1+I21-1,Inputs!$F$5:$H$105,IF(B$2="M",2,3),0))^(1/12)</f>
        <v>3.6775629979546309E-4</v>
      </c>
      <c r="M21" s="124">
        <f>1-(1-VLOOKUP(I21,Inputs!$C$22:$D$41,2,FALSE))^(1/12)</f>
        <v>4.2653187775606449E-3</v>
      </c>
      <c r="N21" s="125">
        <f>1-(1-VLOOKUP(Inputs!B$1+I21-1,Inputs!$J$5:$L$105,IF(B$2="M",2,3),0))^(1/12)</f>
        <v>1.4761979486466181E-4</v>
      </c>
      <c r="O21" s="106">
        <f t="shared" si="6"/>
        <v>0.93115458527064521</v>
      </c>
      <c r="P21" s="125">
        <f t="shared" si="7"/>
        <v>0.92670511655896459</v>
      </c>
      <c r="Q21" s="199">
        <f t="shared" si="8"/>
        <v>0.93526444700609956</v>
      </c>
      <c r="R21" s="125">
        <f t="shared" si="0"/>
        <v>0.93110084436867835</v>
      </c>
      <c r="S21" s="8"/>
      <c r="T21" s="200">
        <f t="shared" si="9"/>
        <v>465.57729263532258</v>
      </c>
      <c r="U21" s="104">
        <f t="shared" si="1"/>
        <v>463.35255827948231</v>
      </c>
      <c r="V21" s="104">
        <f t="shared" si="2"/>
        <v>0.17121898240835573</v>
      </c>
      <c r="W21" s="6"/>
      <c r="X21" s="184"/>
      <c r="Y21" s="91">
        <f>Inputs!C$17*V21</f>
        <v>8.5609491204177868</v>
      </c>
      <c r="Z21" s="232">
        <f t="shared" si="3"/>
        <v>5136.5694722506723</v>
      </c>
      <c r="AA21" s="201"/>
      <c r="AB21" s="92"/>
      <c r="AC21" s="87"/>
      <c r="AD21" s="87"/>
      <c r="AE21" s="87"/>
      <c r="AF21" s="144">
        <f t="shared" si="10"/>
        <v>8683.0960973509136</v>
      </c>
      <c r="AG21" s="87"/>
      <c r="AH21" s="107">
        <f>Inputs!C$14/12*T21+Inputs!C$16*AF21</f>
        <v>694.64768778807309</v>
      </c>
      <c r="AI21" s="107">
        <f>Inputs!C$10*AF21</f>
        <v>217.07740243377285</v>
      </c>
      <c r="AJ21" s="107">
        <f>(Inputs!C$9+Inputs!C$11)*AF21</f>
        <v>1476.1263365496554</v>
      </c>
      <c r="AK21" s="107"/>
      <c r="AL21" s="107">
        <f t="shared" si="11"/>
        <v>28.941833192702603</v>
      </c>
      <c r="AM21" s="128">
        <f t="shared" si="4"/>
        <v>28.941833192702603</v>
      </c>
      <c r="AN21" s="129">
        <f t="shared" si="5"/>
        <v>5136.5694722506723</v>
      </c>
      <c r="AO21" s="198">
        <f>V21*Inputs!C$17</f>
        <v>8.5609491204177868</v>
      </c>
      <c r="AP21" s="129">
        <f t="shared" si="12"/>
        <v>1179.0560824010254</v>
      </c>
      <c r="AQ21" s="6"/>
    </row>
    <row r="22" spans="1:43">
      <c r="A22" s="35"/>
      <c r="B22" s="7"/>
      <c r="C22" s="7"/>
      <c r="D22" s="7"/>
      <c r="E22" s="86"/>
      <c r="F22" s="83"/>
      <c r="G22" s="55"/>
      <c r="H22" s="5"/>
      <c r="I22">
        <f t="shared" si="13"/>
        <v>2</v>
      </c>
      <c r="J22">
        <v>5</v>
      </c>
      <c r="L22" s="123">
        <f>1-(1-VLOOKUP(Inputs!B$1+I22-1,Inputs!$F$5:$H$105,IF(B$2="M",2,3),0))^(1/12)</f>
        <v>3.6775629979546309E-4</v>
      </c>
      <c r="M22" s="124">
        <f>1-(1-VLOOKUP(I22,Inputs!$C$22:$D$41,2,FALSE))^(1/12)</f>
        <v>4.2653187775606449E-3</v>
      </c>
      <c r="N22" s="125">
        <f>1-(1-VLOOKUP(Inputs!B$1+I22-1,Inputs!$J$5:$L$105,IF(B$2="M",2,3),0))^(1/12)</f>
        <v>1.4761979486466181E-4</v>
      </c>
      <c r="O22" s="106">
        <f t="shared" si="6"/>
        <v>0.92670511655896459</v>
      </c>
      <c r="P22" s="125">
        <f t="shared" si="7"/>
        <v>0.92227690937800022</v>
      </c>
      <c r="Q22" s="199">
        <f t="shared" si="8"/>
        <v>0.93110084436867835</v>
      </c>
      <c r="R22" s="125">
        <f t="shared" si="0"/>
        <v>0.92695577722352118</v>
      </c>
      <c r="S22" s="8"/>
      <c r="T22" s="200">
        <f t="shared" si="9"/>
        <v>463.35255827948231</v>
      </c>
      <c r="U22" s="104">
        <f t="shared" si="1"/>
        <v>461.13845468900013</v>
      </c>
      <c r="V22" s="104">
        <f t="shared" si="2"/>
        <v>0.17040082233362408</v>
      </c>
      <c r="W22" s="6"/>
      <c r="X22" s="184"/>
      <c r="Y22" s="91">
        <f>Inputs!C$17*V22</f>
        <v>8.5200411166812042</v>
      </c>
      <c r="Z22" s="232">
        <f t="shared" si="3"/>
        <v>5112.0246700087228</v>
      </c>
      <c r="AA22" s="201"/>
      <c r="AB22" s="92"/>
      <c r="AC22" s="87"/>
      <c r="AD22" s="87"/>
      <c r="AE22" s="87"/>
      <c r="AF22" s="144">
        <f t="shared" si="10"/>
        <v>8641.6044212996712</v>
      </c>
      <c r="AG22" s="87"/>
      <c r="AH22" s="107">
        <f>Inputs!C$14/12*T22+Inputs!C$16*AF22</f>
        <v>691.32835370397368</v>
      </c>
      <c r="AI22" s="107">
        <f>Inputs!C$10*AF22</f>
        <v>216.04011053249178</v>
      </c>
      <c r="AJ22" s="107">
        <f>(Inputs!C$9+Inputs!C$11)*AF22</f>
        <v>1469.0727516209442</v>
      </c>
      <c r="AK22" s="107"/>
      <c r="AL22" s="107">
        <f t="shared" si="11"/>
        <v>28.804053830926012</v>
      </c>
      <c r="AM22" s="128">
        <f t="shared" si="4"/>
        <v>28.804053830926012</v>
      </c>
      <c r="AN22" s="129">
        <f t="shared" si="5"/>
        <v>5112.0246700087228</v>
      </c>
      <c r="AO22" s="198">
        <f>V22*Inputs!C$17</f>
        <v>8.5200411166812042</v>
      </c>
      <c r="AP22" s="129">
        <f t="shared" si="12"/>
        <v>1173.4225481477829</v>
      </c>
      <c r="AQ22" s="6"/>
    </row>
    <row r="23" spans="1:43">
      <c r="A23" s="35"/>
      <c r="B23" s="7"/>
      <c r="C23" s="7"/>
      <c r="D23" s="7"/>
      <c r="E23" s="86"/>
      <c r="F23" s="83"/>
      <c r="G23" s="55"/>
      <c r="H23" s="5"/>
      <c r="I23">
        <f t="shared" si="13"/>
        <v>2</v>
      </c>
      <c r="J23">
        <v>6</v>
      </c>
      <c r="L23" s="123">
        <f>1-(1-VLOOKUP(Inputs!B$1+I23-1,Inputs!$F$5:$H$105,IF(B$2="M",2,3),0))^(1/12)</f>
        <v>3.6775629979546309E-4</v>
      </c>
      <c r="M23" s="124">
        <f>1-(1-VLOOKUP(I23,Inputs!$C$22:$D$41,2,FALSE))^(1/12)</f>
        <v>4.2653187775606449E-3</v>
      </c>
      <c r="N23" s="125">
        <f>1-(1-VLOOKUP(Inputs!B$1+I23-1,Inputs!$J$5:$L$105,IF(B$2="M",2,3),0))^(1/12)</f>
        <v>1.4761979486466181E-4</v>
      </c>
      <c r="O23" s="106">
        <f t="shared" si="6"/>
        <v>0.92227690937800022</v>
      </c>
      <c r="P23" s="125">
        <f t="shared" si="7"/>
        <v>0.91786986213074839</v>
      </c>
      <c r="Q23" s="199">
        <f t="shared" si="8"/>
        <v>0.92695577722352118</v>
      </c>
      <c r="R23" s="125">
        <f t="shared" si="0"/>
        <v>0.92282916305447482</v>
      </c>
      <c r="S23" s="8"/>
      <c r="T23" s="200">
        <f t="shared" si="9"/>
        <v>461.13845468900013</v>
      </c>
      <c r="U23" s="104">
        <f t="shared" si="1"/>
        <v>458.9349310653742</v>
      </c>
      <c r="V23" s="104">
        <f t="shared" si="2"/>
        <v>0.1695865717898245</v>
      </c>
      <c r="W23" s="6"/>
      <c r="X23" s="184"/>
      <c r="Y23" s="91">
        <f>Inputs!C$17*V23</f>
        <v>8.4793285894912245</v>
      </c>
      <c r="Z23" s="232">
        <f t="shared" si="3"/>
        <v>5087.5971536947354</v>
      </c>
      <c r="AA23" s="201"/>
      <c r="AB23" s="92"/>
      <c r="AC23" s="87"/>
      <c r="AD23" s="87"/>
      <c r="AE23" s="87"/>
      <c r="AF23" s="144">
        <f t="shared" si="10"/>
        <v>8600.3110108396704</v>
      </c>
      <c r="AG23" s="87"/>
      <c r="AH23" s="107">
        <f>Inputs!C$14/12*T23+Inputs!C$16*AF23</f>
        <v>688.02488086717369</v>
      </c>
      <c r="AI23" s="107">
        <f>Inputs!C$10*AF23</f>
        <v>215.00777527099177</v>
      </c>
      <c r="AJ23" s="107">
        <f>(Inputs!C$9+Inputs!C$11)*AF23</f>
        <v>1462.052871842744</v>
      </c>
      <c r="AK23" s="107"/>
      <c r="AL23" s="107">
        <f t="shared" si="11"/>
        <v>28.666930339857512</v>
      </c>
      <c r="AM23" s="128">
        <f t="shared" si="4"/>
        <v>28.666930339857512</v>
      </c>
      <c r="AN23" s="129">
        <f t="shared" si="5"/>
        <v>5087.5971536947354</v>
      </c>
      <c r="AO23" s="198">
        <f>V23*Inputs!C$17</f>
        <v>8.4793285894912245</v>
      </c>
      <c r="AP23" s="129">
        <f t="shared" si="12"/>
        <v>1167.8159309143912</v>
      </c>
      <c r="AQ23" s="6"/>
    </row>
    <row r="24" spans="1:43">
      <c r="A24" s="36"/>
      <c r="B24" s="7"/>
      <c r="C24" s="7"/>
      <c r="D24" s="7"/>
      <c r="E24" s="55"/>
      <c r="F24" s="83"/>
      <c r="G24" s="55"/>
      <c r="H24" s="5"/>
      <c r="I24">
        <f t="shared" si="13"/>
        <v>2</v>
      </c>
      <c r="J24">
        <v>7</v>
      </c>
      <c r="L24" s="123">
        <f>1-(1-VLOOKUP(Inputs!B$1+I24-1,Inputs!$F$5:$H$105,IF(B$2="M",2,3),0))^(1/12)</f>
        <v>3.6775629979546309E-4</v>
      </c>
      <c r="M24" s="124">
        <f>1-(1-VLOOKUP(I24,Inputs!$C$22:$D$41,2,FALSE))^(1/12)</f>
        <v>4.2653187775606449E-3</v>
      </c>
      <c r="N24" s="125">
        <f>1-(1-VLOOKUP(Inputs!B$1+I24-1,Inputs!$J$5:$L$105,IF(B$2="M",2,3),0))^(1/12)</f>
        <v>1.4761979486466181E-4</v>
      </c>
      <c r="O24" s="106">
        <f t="shared" si="6"/>
        <v>0.91786986213074839</v>
      </c>
      <c r="P24" s="125">
        <f t="shared" si="7"/>
        <v>0.91348387370568118</v>
      </c>
      <c r="Q24" s="199">
        <f t="shared" si="8"/>
        <v>0.92282916305447482</v>
      </c>
      <c r="R24" s="125">
        <f t="shared" si="0"/>
        <v>0.91872091971273062</v>
      </c>
      <c r="S24" s="8"/>
      <c r="T24" s="200">
        <f t="shared" si="9"/>
        <v>458.9349310653742</v>
      </c>
      <c r="U24" s="104">
        <f t="shared" si="1"/>
        <v>456.74193685284058</v>
      </c>
      <c r="V24" s="104">
        <f t="shared" si="2"/>
        <v>0.16877621209548793</v>
      </c>
      <c r="W24" s="6"/>
      <c r="X24" s="184"/>
      <c r="Y24" s="91">
        <f>Inputs!C$17*V24</f>
        <v>8.438810604774396</v>
      </c>
      <c r="Z24" s="232">
        <f t="shared" si="3"/>
        <v>5063.2863628646382</v>
      </c>
      <c r="AA24" s="201"/>
      <c r="AB24" s="92"/>
      <c r="AC24" s="87"/>
      <c r="AD24" s="87"/>
      <c r="AE24" s="87"/>
      <c r="AF24" s="144">
        <f t="shared" si="10"/>
        <v>8559.2149185701674</v>
      </c>
      <c r="AG24" s="87"/>
      <c r="AH24" s="107">
        <f>Inputs!C$14/12*T24+Inputs!C$16*AF24</f>
        <v>684.73719348561337</v>
      </c>
      <c r="AI24" s="107">
        <f>Inputs!C$10*AF24</f>
        <v>213.9803729642542</v>
      </c>
      <c r="AJ24" s="107">
        <f>(Inputs!C$9+Inputs!C$11)*AF24</f>
        <v>1455.0665361569286</v>
      </c>
      <c r="AK24" s="107"/>
      <c r="AL24" s="107">
        <f t="shared" si="11"/>
        <v>28.530459597533852</v>
      </c>
      <c r="AM24" s="128">
        <f t="shared" si="4"/>
        <v>28.530459597533852</v>
      </c>
      <c r="AN24" s="129">
        <f t="shared" si="5"/>
        <v>5063.2863628646382</v>
      </c>
      <c r="AO24" s="198">
        <f>V24*Inputs!C$17</f>
        <v>8.438810604774396</v>
      </c>
      <c r="AP24" s="129">
        <f t="shared" si="12"/>
        <v>1162.2361020914925</v>
      </c>
      <c r="AQ24" s="6"/>
    </row>
    <row r="25" spans="1:43">
      <c r="A25" s="36"/>
      <c r="B25" s="7"/>
      <c r="C25" s="7"/>
      <c r="D25" s="7"/>
      <c r="E25" s="6"/>
      <c r="F25" s="83"/>
      <c r="G25" s="55"/>
      <c r="H25" s="5"/>
      <c r="I25">
        <f t="shared" si="13"/>
        <v>2</v>
      </c>
      <c r="J25">
        <v>8</v>
      </c>
      <c r="L25" s="123">
        <f>1-(1-VLOOKUP(Inputs!B$1+I25-1,Inputs!$F$5:$H$105,IF(B$2="M",2,3),0))^(1/12)</f>
        <v>3.6775629979546309E-4</v>
      </c>
      <c r="M25" s="124">
        <f>1-(1-VLOOKUP(I25,Inputs!$C$22:$D$41,2,FALSE))^(1/12)</f>
        <v>4.2653187775606449E-3</v>
      </c>
      <c r="N25" s="125">
        <f>1-(1-VLOOKUP(Inputs!B$1+I25-1,Inputs!$J$5:$L$105,IF(B$2="M",2,3),0))^(1/12)</f>
        <v>1.4761979486466181E-4</v>
      </c>
      <c r="O25" s="106">
        <f t="shared" si="6"/>
        <v>0.91348387370568118</v>
      </c>
      <c r="P25" s="125">
        <f t="shared" si="7"/>
        <v>0.90911884347442595</v>
      </c>
      <c r="Q25" s="199">
        <f t="shared" si="8"/>
        <v>0.91872091971273062</v>
      </c>
      <c r="R25" s="125">
        <f t="shared" si="0"/>
        <v>0.91463096541518951</v>
      </c>
      <c r="S25" s="8"/>
      <c r="T25" s="200">
        <f t="shared" si="9"/>
        <v>456.74193685284058</v>
      </c>
      <c r="U25" s="104">
        <f t="shared" si="1"/>
        <v>454.55942173721297</v>
      </c>
      <c r="V25" s="104">
        <f t="shared" si="2"/>
        <v>0.16796972465841373</v>
      </c>
      <c r="W25" s="6"/>
      <c r="X25" s="184"/>
      <c r="Y25" s="91">
        <f>Inputs!C$17*V25</f>
        <v>8.3984862329206855</v>
      </c>
      <c r="Z25" s="232">
        <f t="shared" si="3"/>
        <v>5039.0917397524117</v>
      </c>
      <c r="AA25" s="201"/>
      <c r="AB25" s="92"/>
      <c r="AC25" s="87"/>
      <c r="AD25" s="87"/>
      <c r="AE25" s="87"/>
      <c r="AF25" s="144">
        <f t="shared" si="10"/>
        <v>8518.3152016175209</v>
      </c>
      <c r="AG25" s="87"/>
      <c r="AH25" s="107">
        <f>Inputs!C$14/12*T25+Inputs!C$16*AF25</f>
        <v>681.46521612940171</v>
      </c>
      <c r="AI25" s="107">
        <f>Inputs!C$10*AF25</f>
        <v>212.95788004043803</v>
      </c>
      <c r="AJ25" s="107">
        <f>(Inputs!C$9+Inputs!C$11)*AF25</f>
        <v>1448.1135842749786</v>
      </c>
      <c r="AK25" s="107"/>
      <c r="AL25" s="107">
        <f t="shared" si="11"/>
        <v>28.394638496851559</v>
      </c>
      <c r="AM25" s="128">
        <f t="shared" si="4"/>
        <v>28.394638496851559</v>
      </c>
      <c r="AN25" s="129">
        <f t="shared" si="5"/>
        <v>5039.0917397524117</v>
      </c>
      <c r="AO25" s="198">
        <f>V25*Inputs!C$17</f>
        <v>8.3984862329206855</v>
      </c>
      <c r="AP25" s="129">
        <f t="shared" si="12"/>
        <v>1156.6829336842211</v>
      </c>
      <c r="AQ25" s="6"/>
    </row>
    <row r="26" spans="1:43">
      <c r="A26" s="7"/>
      <c r="B26" s="7"/>
      <c r="C26" s="7"/>
      <c r="D26" s="7"/>
      <c r="E26" s="86"/>
      <c r="F26" s="83"/>
      <c r="G26" s="55"/>
      <c r="H26" s="5"/>
      <c r="I26">
        <f t="shared" si="13"/>
        <v>2</v>
      </c>
      <c r="J26">
        <v>9</v>
      </c>
      <c r="L26" s="123">
        <f>1-(1-VLOOKUP(Inputs!B$1+I26-1,Inputs!$F$5:$H$105,IF(B$2="M",2,3),0))^(1/12)</f>
        <v>3.6775629979546309E-4</v>
      </c>
      <c r="M26" s="124">
        <f>1-(1-VLOOKUP(I26,Inputs!$C$22:$D$41,2,FALSE))^(1/12)</f>
        <v>4.2653187775606449E-3</v>
      </c>
      <c r="N26" s="125">
        <f>1-(1-VLOOKUP(Inputs!B$1+I26-1,Inputs!$J$5:$L$105,IF(B$2="M",2,3),0))^(1/12)</f>
        <v>1.4761979486466181E-4</v>
      </c>
      <c r="O26" s="106">
        <f t="shared" si="6"/>
        <v>0.90911884347442595</v>
      </c>
      <c r="P26" s="125">
        <f t="shared" si="7"/>
        <v>0.90477467128945732</v>
      </c>
      <c r="Q26" s="199">
        <f t="shared" si="8"/>
        <v>0.91463096541518951</v>
      </c>
      <c r="R26" s="125">
        <f t="shared" si="0"/>
        <v>0.91055921874283363</v>
      </c>
      <c r="S26" s="8"/>
      <c r="T26" s="200">
        <f t="shared" si="9"/>
        <v>454.55942173721297</v>
      </c>
      <c r="U26" s="104">
        <f t="shared" si="1"/>
        <v>452.38733564472864</v>
      </c>
      <c r="V26" s="104">
        <f t="shared" si="2"/>
        <v>0.16716709097524285</v>
      </c>
      <c r="W26" s="6"/>
      <c r="X26" s="184"/>
      <c r="Y26" s="91">
        <f>Inputs!C$17*V26</f>
        <v>8.3583545487621418</v>
      </c>
      <c r="Z26" s="232">
        <f t="shared" si="3"/>
        <v>5015.0127292572852</v>
      </c>
      <c r="AA26" s="201"/>
      <c r="AB26" s="92"/>
      <c r="AC26" s="87"/>
      <c r="AD26" s="87"/>
      <c r="AE26" s="87"/>
      <c r="AF26" s="144">
        <f t="shared" si="10"/>
        <v>8477.6109216135574</v>
      </c>
      <c r="AG26" s="87"/>
      <c r="AH26" s="107">
        <f>Inputs!C$14/12*T26+Inputs!C$16*AF26</f>
        <v>678.20887372908464</v>
      </c>
      <c r="AI26" s="107">
        <f>Inputs!C$10*AF26</f>
        <v>211.94027304033895</v>
      </c>
      <c r="AJ26" s="107">
        <f>(Inputs!C$9+Inputs!C$11)*AF26</f>
        <v>1441.1938566743049</v>
      </c>
      <c r="AK26" s="107"/>
      <c r="AL26" s="107">
        <f t="shared" si="11"/>
        <v>28.259463945496229</v>
      </c>
      <c r="AM26" s="128">
        <f t="shared" si="4"/>
        <v>28.259463945496229</v>
      </c>
      <c r="AN26" s="129">
        <f t="shared" si="5"/>
        <v>5015.0127292572852</v>
      </c>
      <c r="AO26" s="198">
        <f>V26*Inputs!C$17</f>
        <v>8.3583545487621418</v>
      </c>
      <c r="AP26" s="129">
        <f t="shared" si="12"/>
        <v>1151.1562983092776</v>
      </c>
      <c r="AQ26" s="6"/>
    </row>
    <row r="27" spans="1:43">
      <c r="A27" s="36"/>
      <c r="B27" s="7"/>
      <c r="C27" s="7"/>
      <c r="D27" s="7"/>
      <c r="E27" s="86"/>
      <c r="F27" s="84"/>
      <c r="G27" s="55"/>
      <c r="H27" s="5"/>
      <c r="I27">
        <f t="shared" si="13"/>
        <v>2</v>
      </c>
      <c r="J27">
        <v>10</v>
      </c>
      <c r="L27" s="123">
        <f>1-(1-VLOOKUP(Inputs!B$1+I27-1,Inputs!$F$5:$H$105,IF(B$2="M",2,3),0))^(1/12)</f>
        <v>3.6775629979546309E-4</v>
      </c>
      <c r="M27" s="124">
        <f>1-(1-VLOOKUP(I27,Inputs!$C$22:$D$41,2,FALSE))^(1/12)</f>
        <v>4.2653187775606449E-3</v>
      </c>
      <c r="N27" s="125">
        <f>1-(1-VLOOKUP(Inputs!B$1+I27-1,Inputs!$J$5:$L$105,IF(B$2="M",2,3),0))^(1/12)</f>
        <v>1.4761979486466181E-4</v>
      </c>
      <c r="O27" s="106">
        <f t="shared" si="6"/>
        <v>0.90477467128945732</v>
      </c>
      <c r="P27" s="125">
        <f t="shared" si="7"/>
        <v>0.90045125748179888</v>
      </c>
      <c r="Q27" s="199">
        <f t="shared" si="8"/>
        <v>0.91055921874283363</v>
      </c>
      <c r="R27" s="125">
        <f t="shared" si="0"/>
        <v>0.90650559863910574</v>
      </c>
      <c r="S27" s="8"/>
      <c r="T27" s="200">
        <f t="shared" si="9"/>
        <v>452.38733564472864</v>
      </c>
      <c r="U27" s="104">
        <f t="shared" si="1"/>
        <v>450.22562874089942</v>
      </c>
      <c r="V27" s="104">
        <f t="shared" si="2"/>
        <v>0.16636829263103362</v>
      </c>
      <c r="W27" s="6"/>
      <c r="X27" s="184"/>
      <c r="Y27" s="91">
        <f>Inputs!C$17*V27</f>
        <v>8.3184146315516809</v>
      </c>
      <c r="Z27" s="232">
        <f t="shared" si="3"/>
        <v>4991.0487789310082</v>
      </c>
      <c r="AA27" s="201"/>
      <c r="AB27" s="92"/>
      <c r="AC27" s="87"/>
      <c r="AD27" s="87"/>
      <c r="AE27" s="87"/>
      <c r="AF27" s="144">
        <f t="shared" si="10"/>
        <v>8437.1011446740413</v>
      </c>
      <c r="AG27" s="87"/>
      <c r="AH27" s="107">
        <f>Inputs!C$14/12*T27+Inputs!C$16*AF27</f>
        <v>674.96809157392329</v>
      </c>
      <c r="AI27" s="107">
        <f>Inputs!C$10*AF27</f>
        <v>210.92752861685105</v>
      </c>
      <c r="AJ27" s="107">
        <f>(Inputs!C$9+Inputs!C$11)*AF27</f>
        <v>1434.3071945945871</v>
      </c>
      <c r="AK27" s="107"/>
      <c r="AL27" s="107">
        <f t="shared" si="11"/>
        <v>28.125486164872203</v>
      </c>
      <c r="AM27" s="128">
        <f t="shared" si="4"/>
        <v>28.125486164872203</v>
      </c>
      <c r="AN27" s="129">
        <f t="shared" si="5"/>
        <v>4991.0487789310082</v>
      </c>
      <c r="AO27" s="198">
        <f>V27*Inputs!C$17</f>
        <v>8.3184146315516809</v>
      </c>
      <c r="AP27" s="129">
        <f t="shared" si="12"/>
        <v>1145.656622490992</v>
      </c>
      <c r="AQ27" s="6"/>
    </row>
    <row r="28" spans="1:43">
      <c r="A28" s="37"/>
      <c r="B28" s="38"/>
      <c r="C28" s="38"/>
      <c r="D28" s="38"/>
      <c r="E28" s="6"/>
      <c r="F28" s="6"/>
      <c r="G28" s="55"/>
      <c r="H28" s="5"/>
      <c r="I28">
        <f t="shared" si="13"/>
        <v>2</v>
      </c>
      <c r="J28">
        <v>11</v>
      </c>
      <c r="L28" s="123">
        <f>1-(1-VLOOKUP(Inputs!B$1+I28-1,Inputs!$F$5:$H$105,IF(B$2="M",2,3),0))^(1/12)</f>
        <v>3.6775629979546309E-4</v>
      </c>
      <c r="M28" s="124">
        <f>1-(1-VLOOKUP(I28,Inputs!$C$22:$D$41,2,FALSE))^(1/12)</f>
        <v>4.2653187775606449E-3</v>
      </c>
      <c r="N28" s="125">
        <f>1-(1-VLOOKUP(Inputs!B$1+I28-1,Inputs!$J$5:$L$105,IF(B$2="M",2,3),0))^(1/12)</f>
        <v>1.4761979486466181E-4</v>
      </c>
      <c r="O28" s="106">
        <f t="shared" si="6"/>
        <v>0.90045125748179888</v>
      </c>
      <c r="P28" s="125">
        <f t="shared" si="7"/>
        <v>0.89614850285873682</v>
      </c>
      <c r="Q28" s="199">
        <f t="shared" si="8"/>
        <v>0.90650559863910574</v>
      </c>
      <c r="R28" s="125">
        <f t="shared" si="0"/>
        <v>0.90247002440829538</v>
      </c>
      <c r="S28" s="8"/>
      <c r="T28" s="200">
        <f t="shared" si="9"/>
        <v>450.22562874089942</v>
      </c>
      <c r="U28" s="104">
        <f t="shared" si="1"/>
        <v>448.07425142936842</v>
      </c>
      <c r="V28" s="104">
        <f t="shared" si="2"/>
        <v>0.16557331129883907</v>
      </c>
      <c r="W28" s="6"/>
      <c r="X28" s="184"/>
      <c r="Y28" s="91">
        <f>Inputs!C$17*V28</f>
        <v>8.2786655649419529</v>
      </c>
      <c r="Z28" s="232">
        <f t="shared" si="3"/>
        <v>4967.1993389651716</v>
      </c>
      <c r="AA28" s="201"/>
      <c r="AB28" s="92"/>
      <c r="AC28" s="87"/>
      <c r="AD28" s="87"/>
      <c r="AE28" s="87"/>
      <c r="AF28" s="144">
        <f t="shared" si="10"/>
        <v>8396.7849413772492</v>
      </c>
      <c r="AG28" s="87"/>
      <c r="AH28" s="107">
        <f>Inputs!C$14/12*T28+Inputs!C$16*AF28</f>
        <v>671.74279531017999</v>
      </c>
      <c r="AI28" s="107">
        <f>Inputs!C$10*AF28</f>
        <v>209.91962353443125</v>
      </c>
      <c r="AJ28" s="107">
        <f>(Inputs!C$9+Inputs!C$11)*AF28</f>
        <v>1427.4534400341324</v>
      </c>
      <c r="AK28" s="107"/>
      <c r="AL28" s="107">
        <f t="shared" si="11"/>
        <v>27.992143415564833</v>
      </c>
      <c r="AM28" s="128">
        <f t="shared" si="4"/>
        <v>27.992143415564833</v>
      </c>
      <c r="AN28" s="129">
        <f t="shared" si="5"/>
        <v>4967.1993389651716</v>
      </c>
      <c r="AO28" s="198">
        <f>V28*Inputs!C$17</f>
        <v>8.2786655649419529</v>
      </c>
      <c r="AP28" s="129">
        <f t="shared" si="12"/>
        <v>1140.1832213839557</v>
      </c>
      <c r="AQ28" s="6"/>
    </row>
    <row r="29" spans="1:43">
      <c r="A29" s="7"/>
      <c r="B29" s="55"/>
      <c r="C29" s="54"/>
      <c r="D29" s="55"/>
      <c r="E29" s="55"/>
      <c r="F29" s="83"/>
      <c r="G29" s="55"/>
      <c r="H29" s="205"/>
      <c r="I29" s="13">
        <f t="shared" si="13"/>
        <v>2</v>
      </c>
      <c r="J29" s="13">
        <v>12</v>
      </c>
      <c r="L29" s="123">
        <f>1-(1-VLOOKUP(Inputs!B$1+I29-1,Inputs!$F$5:$H$105,IF(B$2="M",2,3),0))^(1/12)</f>
        <v>3.6775629979546309E-4</v>
      </c>
      <c r="M29" s="124">
        <f>1-(1-VLOOKUP(I29,Inputs!$C$22:$D$41,2,FALSE))^(1/12)</f>
        <v>4.2653187775606449E-3</v>
      </c>
      <c r="N29" s="125">
        <f>1-(1-VLOOKUP(Inputs!B$1+I29-1,Inputs!$J$5:$L$105,IF(B$2="M",2,3),0))^(1/12)</f>
        <v>1.4761979486466181E-4</v>
      </c>
      <c r="O29" s="106">
        <f t="shared" si="6"/>
        <v>0.89614850285873682</v>
      </c>
      <c r="P29" s="125">
        <f t="shared" si="7"/>
        <v>0.89186630870154404</v>
      </c>
      <c r="Q29" s="199">
        <f t="shared" si="8"/>
        <v>0.90247002440829538</v>
      </c>
      <c r="R29" s="125">
        <f t="shared" si="0"/>
        <v>0.89845241571393275</v>
      </c>
      <c r="S29" s="8"/>
      <c r="T29" s="200">
        <f t="shared" si="9"/>
        <v>448.07425142936842</v>
      </c>
      <c r="U29" s="104">
        <f t="shared" si="1"/>
        <v>445.93315435077204</v>
      </c>
      <c r="V29" s="104">
        <f t="shared" si="2"/>
        <v>0.16478212873928652</v>
      </c>
      <c r="W29" s="6"/>
      <c r="X29" s="184"/>
      <c r="Y29" s="91">
        <f>Inputs!C$17*V29</f>
        <v>8.2391064369643257</v>
      </c>
      <c r="Z29" s="232">
        <f t="shared" si="3"/>
        <v>4943.4638621785953</v>
      </c>
      <c r="AA29" s="201"/>
      <c r="AB29" s="92"/>
      <c r="AC29" s="87"/>
      <c r="AD29" s="87"/>
      <c r="AE29" s="87"/>
      <c r="AF29" s="144">
        <f t="shared" si="10"/>
        <v>8356.6613867426458</v>
      </c>
      <c r="AG29" s="87"/>
      <c r="AH29" s="107">
        <f>Inputs!C$14/12*T29+Inputs!C$16*AF29</f>
        <v>668.53291093941164</v>
      </c>
      <c r="AI29" s="107">
        <f>Inputs!C$10*AF29</f>
        <v>208.91653466856616</v>
      </c>
      <c r="AJ29" s="107">
        <f>(Inputs!C$9+Inputs!C$11)*AF29</f>
        <v>1420.6324357462499</v>
      </c>
      <c r="AK29" s="107"/>
      <c r="AL29" s="107">
        <f t="shared" si="11"/>
        <v>27.859432688403711</v>
      </c>
      <c r="AM29" s="128">
        <f t="shared" si="4"/>
        <v>27.859432688403711</v>
      </c>
      <c r="AN29" s="129">
        <f t="shared" si="5"/>
        <v>4943.4638621785953</v>
      </c>
      <c r="AO29" s="198">
        <f>V29*Inputs!C$17</f>
        <v>8.2391064369643257</v>
      </c>
      <c r="AP29" s="129">
        <f t="shared" si="12"/>
        <v>1134.7359694612621</v>
      </c>
      <c r="AQ29" s="6"/>
    </row>
    <row r="30" spans="1:43">
      <c r="A30" s="7"/>
      <c r="B30" s="55"/>
      <c r="C30" s="54"/>
      <c r="D30" s="55"/>
      <c r="E30" s="86"/>
      <c r="F30" s="83"/>
      <c r="G30" s="55"/>
      <c r="H30" s="5"/>
      <c r="I30">
        <f>I18+1</f>
        <v>3</v>
      </c>
      <c r="J30">
        <v>1</v>
      </c>
      <c r="L30" s="123">
        <f>1-(1-VLOOKUP(Inputs!B$1+I30-1,Inputs!$F$5:$H$105,IF(B$2="M",2,3),0))^(1/12)</f>
        <v>4.0865246200572081E-4</v>
      </c>
      <c r="M30" s="124">
        <f>1-(1-VLOOKUP(I30,Inputs!$C$22:$D$41,2,FALSE))^(1/12)</f>
        <v>4.2653187775606449E-3</v>
      </c>
      <c r="N30" s="125">
        <f>1-(1-VLOOKUP(Inputs!B$1+I30-1,Inputs!$J$5:$L$105,IF(B$2="M",2,3),0))^(1/12)</f>
        <v>1.593061740866597E-4</v>
      </c>
      <c r="O30" s="106">
        <f t="shared" si="6"/>
        <v>0.89186630870154404</v>
      </c>
      <c r="P30" s="125">
        <f t="shared" si="7"/>
        <v>0.88755788979741723</v>
      </c>
      <c r="Q30" s="199">
        <f t="shared" si="8"/>
        <v>0.89845241571393275</v>
      </c>
      <c r="R30" s="125">
        <f t="shared" si="0"/>
        <v>0.89445269257718907</v>
      </c>
      <c r="S30" s="8"/>
      <c r="T30" s="200">
        <f t="shared" si="9"/>
        <v>445.93315435077204</v>
      </c>
      <c r="U30" s="104">
        <f t="shared" si="1"/>
        <v>443.77894489870863</v>
      </c>
      <c r="V30" s="104">
        <f t="shared" si="2"/>
        <v>0.18223168141542009</v>
      </c>
      <c r="W30" s="6"/>
      <c r="X30" s="184"/>
      <c r="Y30" s="91">
        <f>Inputs!C$17*V30</f>
        <v>9.1115840707710039</v>
      </c>
      <c r="Z30" s="232">
        <f t="shared" si="3"/>
        <v>5466.950442462603</v>
      </c>
      <c r="AA30" s="201"/>
      <c r="AB30" s="92"/>
      <c r="AC30" s="87"/>
      <c r="AD30" s="87"/>
      <c r="AE30" s="87"/>
      <c r="AF30" s="144">
        <f t="shared" si="10"/>
        <v>8316.7295602096619</v>
      </c>
      <c r="AG30" s="87"/>
      <c r="AH30" s="107">
        <f>Inputs!C$14/12*T30+Inputs!C$16*AF30</f>
        <v>665.33836481677292</v>
      </c>
      <c r="AI30" s="107">
        <f>Inputs!C$10*AF30</f>
        <v>207.91823900524156</v>
      </c>
      <c r="AJ30" s="107">
        <f>(Inputs!C$9+Inputs!C$11)*AF30</f>
        <v>1413.8440252356427</v>
      </c>
      <c r="AK30" s="107"/>
      <c r="AL30" s="107">
        <f t="shared" si="11"/>
        <v>27.727350988473933</v>
      </c>
      <c r="AM30" s="128">
        <f t="shared" si="4"/>
        <v>27.727350988473933</v>
      </c>
      <c r="AN30" s="129">
        <f t="shared" si="5"/>
        <v>5466.950442462603</v>
      </c>
      <c r="AO30" s="198">
        <f>V30*Inputs!C$17</f>
        <v>9.1115840707710039</v>
      </c>
      <c r="AP30" s="129">
        <f t="shared" si="12"/>
        <v>581.29425560710547</v>
      </c>
      <c r="AQ30" s="6"/>
    </row>
    <row r="31" spans="1:43">
      <c r="A31" s="7"/>
      <c r="B31" s="55"/>
      <c r="C31" s="55"/>
      <c r="D31" s="55"/>
      <c r="E31" s="6"/>
      <c r="F31" s="83"/>
      <c r="G31" s="6"/>
      <c r="H31" s="5"/>
      <c r="I31">
        <f t="shared" ref="I31:I41" si="14">IF(K32=1,I30+1,I30)</f>
        <v>3</v>
      </c>
      <c r="J31">
        <v>2</v>
      </c>
      <c r="L31" s="123">
        <f>1-(1-VLOOKUP(Inputs!B$1+I31-1,Inputs!$F$5:$H$105,IF(B$2="M",2,3),0))^(1/12)</f>
        <v>4.0865246200572081E-4</v>
      </c>
      <c r="M31" s="124">
        <f>1-(1-VLOOKUP(I31,Inputs!$C$22:$D$41,2,FALSE))^(1/12)</f>
        <v>4.2653187775606449E-3</v>
      </c>
      <c r="N31" s="125">
        <f>1-(1-VLOOKUP(Inputs!B$1+I31-1,Inputs!$J$5:$L$105,IF(B$2="M",2,3),0))^(1/12)</f>
        <v>1.593061740866597E-4</v>
      </c>
      <c r="O31" s="106">
        <f t="shared" si="6"/>
        <v>0.88755788979741723</v>
      </c>
      <c r="P31" s="125">
        <f t="shared" si="7"/>
        <v>0.88327028396053187</v>
      </c>
      <c r="Q31" s="199">
        <f t="shared" si="8"/>
        <v>0.89445269257718907</v>
      </c>
      <c r="R31" s="125">
        <f t="shared" si="0"/>
        <v>0.89047077537528496</v>
      </c>
      <c r="S31" s="8"/>
      <c r="T31" s="200">
        <f t="shared" si="9"/>
        <v>443.77894489870863</v>
      </c>
      <c r="U31" s="104">
        <f t="shared" si="1"/>
        <v>441.63514198026593</v>
      </c>
      <c r="V31" s="104">
        <f t="shared" si="2"/>
        <v>0.18135135841915839</v>
      </c>
      <c r="W31" s="6"/>
      <c r="X31" s="184"/>
      <c r="Y31" s="91">
        <f>Inputs!C$17*V31</f>
        <v>9.0675679209579201</v>
      </c>
      <c r="Z31" s="232">
        <f t="shared" si="3"/>
        <v>5440.5407525747514</v>
      </c>
      <c r="AA31" s="201"/>
      <c r="AB31" s="92"/>
      <c r="AC31" s="87"/>
      <c r="AD31" s="87"/>
      <c r="AE31" s="87"/>
      <c r="AF31" s="144">
        <f t="shared" si="10"/>
        <v>8276.5531856699781</v>
      </c>
      <c r="AG31" s="87"/>
      <c r="AH31" s="107">
        <f>Inputs!C$14/12*T31+Inputs!C$16*AF31</f>
        <v>662.12425485359825</v>
      </c>
      <c r="AI31" s="107">
        <f>Inputs!C$10*AF31</f>
        <v>206.91382964174946</v>
      </c>
      <c r="AJ31" s="107">
        <f>(Inputs!C$9+Inputs!C$11)*AF31</f>
        <v>1407.0140415638964</v>
      </c>
      <c r="AK31" s="107"/>
      <c r="AL31" s="107">
        <f t="shared" si="11"/>
        <v>27.593948536446909</v>
      </c>
      <c r="AM31" s="128">
        <f t="shared" si="4"/>
        <v>27.593948536446909</v>
      </c>
      <c r="AN31" s="129">
        <f t="shared" si="5"/>
        <v>5440.5407525747514</v>
      </c>
      <c r="AO31" s="198">
        <f>V31*Inputs!C$17</f>
        <v>9.0675679209579201</v>
      </c>
      <c r="AP31" s="129">
        <f t="shared" si="12"/>
        <v>578.4866876514717</v>
      </c>
      <c r="AQ31" s="6"/>
    </row>
    <row r="32" spans="1:43">
      <c r="A32" s="7"/>
      <c r="B32" s="55"/>
      <c r="C32" s="56"/>
      <c r="D32" s="55"/>
      <c r="E32" s="86"/>
      <c r="F32" s="83"/>
      <c r="G32" s="55"/>
      <c r="H32" s="5"/>
      <c r="I32">
        <f t="shared" si="14"/>
        <v>3</v>
      </c>
      <c r="J32">
        <v>3</v>
      </c>
      <c r="L32" s="123">
        <f>1-(1-VLOOKUP(Inputs!B$1+I32-1,Inputs!$F$5:$H$105,IF(B$2="M",2,3),0))^(1/12)</f>
        <v>4.0865246200572081E-4</v>
      </c>
      <c r="M32" s="124">
        <f>1-(1-VLOOKUP(I32,Inputs!$C$22:$D$41,2,FALSE))^(1/12)</f>
        <v>4.2653187775606449E-3</v>
      </c>
      <c r="N32" s="125">
        <f>1-(1-VLOOKUP(Inputs!B$1+I32-1,Inputs!$J$5:$L$105,IF(B$2="M",2,3),0))^(1/12)</f>
        <v>1.593061740866597E-4</v>
      </c>
      <c r="O32" s="106">
        <f t="shared" si="6"/>
        <v>0.88327028396053187</v>
      </c>
      <c r="P32" s="125">
        <f t="shared" si="7"/>
        <v>0.87900339064732957</v>
      </c>
      <c r="Q32" s="199">
        <f t="shared" si="8"/>
        <v>0.89047077537528496</v>
      </c>
      <c r="R32" s="125">
        <f t="shared" si="0"/>
        <v>0.88650658483990485</v>
      </c>
      <c r="S32" s="8"/>
      <c r="T32" s="200">
        <f t="shared" si="9"/>
        <v>441.63514198026593</v>
      </c>
      <c r="U32" s="104">
        <f t="shared" si="1"/>
        <v>439.50169532366476</v>
      </c>
      <c r="V32" s="104">
        <f t="shared" si="2"/>
        <v>0.18047528807848173</v>
      </c>
      <c r="W32" s="6"/>
      <c r="X32" s="184"/>
      <c r="Y32" s="91">
        <f>Inputs!C$17*V32</f>
        <v>9.023764403924087</v>
      </c>
      <c r="Z32" s="232">
        <f t="shared" si="3"/>
        <v>5414.2586423544517</v>
      </c>
      <c r="AA32" s="201"/>
      <c r="AB32" s="92"/>
      <c r="AC32" s="87"/>
      <c r="AD32" s="87"/>
      <c r="AE32" s="87"/>
      <c r="AF32" s="144">
        <f t="shared" si="10"/>
        <v>8236.570894761302</v>
      </c>
      <c r="AG32" s="87"/>
      <c r="AH32" s="107">
        <f>Inputs!C$14/12*T32+Inputs!C$16*AF32</f>
        <v>658.92567158090412</v>
      </c>
      <c r="AI32" s="107">
        <f>Inputs!C$10*AF32</f>
        <v>205.91427236903257</v>
      </c>
      <c r="AJ32" s="107">
        <f>(Inputs!C$9+Inputs!C$11)*AF32</f>
        <v>1400.2170521094215</v>
      </c>
      <c r="AK32" s="107"/>
      <c r="AL32" s="107">
        <f t="shared" si="11"/>
        <v>27.461187871558959</v>
      </c>
      <c r="AM32" s="128">
        <f t="shared" si="4"/>
        <v>27.461187871558959</v>
      </c>
      <c r="AN32" s="129">
        <f t="shared" si="5"/>
        <v>5414.2586423544517</v>
      </c>
      <c r="AO32" s="198">
        <f>V32*Inputs!C$17</f>
        <v>9.023764403924087</v>
      </c>
      <c r="AP32" s="129">
        <f t="shared" si="12"/>
        <v>575.69267981512644</v>
      </c>
      <c r="AQ32" s="6"/>
    </row>
    <row r="33" spans="2:43">
      <c r="B33" s="6"/>
      <c r="C33" s="6"/>
      <c r="D33" s="6"/>
      <c r="E33" s="86"/>
      <c r="F33" s="83"/>
      <c r="G33" s="55"/>
      <c r="H33" s="5"/>
      <c r="I33">
        <f t="shared" si="14"/>
        <v>3</v>
      </c>
      <c r="J33">
        <v>4</v>
      </c>
      <c r="L33" s="123">
        <f>1-(1-VLOOKUP(Inputs!B$1+I33-1,Inputs!$F$5:$H$105,IF(B$2="M",2,3),0))^(1/12)</f>
        <v>4.0865246200572081E-4</v>
      </c>
      <c r="M33" s="124">
        <f>1-(1-VLOOKUP(I33,Inputs!$C$22:$D$41,2,FALSE))^(1/12)</f>
        <v>4.2653187775606449E-3</v>
      </c>
      <c r="N33" s="125">
        <f>1-(1-VLOOKUP(Inputs!B$1+I33-1,Inputs!$J$5:$L$105,IF(B$2="M",2,3),0))^(1/12)</f>
        <v>1.593061740866597E-4</v>
      </c>
      <c r="O33" s="106">
        <f t="shared" si="6"/>
        <v>0.87900339064732957</v>
      </c>
      <c r="P33" s="125">
        <f t="shared" si="7"/>
        <v>0.87475710979995669</v>
      </c>
      <c r="Q33" s="199">
        <f t="shared" si="8"/>
        <v>0.88650658483990485</v>
      </c>
      <c r="R33" s="125">
        <f t="shared" si="0"/>
        <v>0.88256004205561933</v>
      </c>
      <c r="S33" s="8"/>
      <c r="T33" s="200">
        <f t="shared" si="9"/>
        <v>439.50169532366476</v>
      </c>
      <c r="U33" s="104">
        <f t="shared" si="1"/>
        <v>437.37855489997833</v>
      </c>
      <c r="V33" s="104">
        <f t="shared" si="2"/>
        <v>0.17960344984970381</v>
      </c>
      <c r="W33" s="6"/>
      <c r="X33" s="184"/>
      <c r="Y33" s="91">
        <f>Inputs!C$17*V33</f>
        <v>8.98017249248519</v>
      </c>
      <c r="Z33" s="232">
        <f t="shared" si="3"/>
        <v>5388.1034954911138</v>
      </c>
      <c r="AA33" s="201"/>
      <c r="AB33" s="92"/>
      <c r="AC33" s="87"/>
      <c r="AD33" s="87"/>
      <c r="AE33" s="87"/>
      <c r="AF33" s="144">
        <f t="shared" si="10"/>
        <v>8196.7817499063585</v>
      </c>
      <c r="AG33" s="87"/>
      <c r="AH33" s="107">
        <f>Inputs!C$14/12*T33+Inputs!C$16*AF33</f>
        <v>655.74253999250868</v>
      </c>
      <c r="AI33" s="107">
        <f>Inputs!C$10*AF33</f>
        <v>204.91954374765896</v>
      </c>
      <c r="AJ33" s="107">
        <f>(Inputs!C$9+Inputs!C$11)*AF33</f>
        <v>1393.4528974840809</v>
      </c>
      <c r="AK33" s="107"/>
      <c r="AL33" s="107">
        <f t="shared" si="11"/>
        <v>27.329065906434963</v>
      </c>
      <c r="AM33" s="128">
        <f t="shared" si="4"/>
        <v>27.329065906434963</v>
      </c>
      <c r="AN33" s="129">
        <f t="shared" si="5"/>
        <v>5388.1034954911138</v>
      </c>
      <c r="AO33" s="198">
        <f>V33*Inputs!C$17</f>
        <v>8.98017249248519</v>
      </c>
      <c r="AP33" s="129">
        <f t="shared" si="12"/>
        <v>572.91216660494536</v>
      </c>
      <c r="AQ33" s="6"/>
    </row>
    <row r="34" spans="2:43">
      <c r="B34" s="6"/>
      <c r="C34" s="6"/>
      <c r="D34" s="6"/>
      <c r="E34" s="86"/>
      <c r="F34" s="83"/>
      <c r="G34" s="55"/>
      <c r="H34" s="5"/>
      <c r="I34">
        <f t="shared" si="14"/>
        <v>3</v>
      </c>
      <c r="J34">
        <v>5</v>
      </c>
      <c r="L34" s="123">
        <f>1-(1-VLOOKUP(Inputs!B$1+I34-1,Inputs!$F$5:$H$105,IF(B$2="M",2,3),0))^(1/12)</f>
        <v>4.0865246200572081E-4</v>
      </c>
      <c r="M34" s="124">
        <f>1-(1-VLOOKUP(I34,Inputs!$C$22:$D$41,2,FALSE))^(1/12)</f>
        <v>4.2653187775606449E-3</v>
      </c>
      <c r="N34" s="125">
        <f>1-(1-VLOOKUP(Inputs!B$1+I34-1,Inputs!$J$5:$L$105,IF(B$2="M",2,3),0))^(1/12)</f>
        <v>1.593061740866597E-4</v>
      </c>
      <c r="O34" s="106">
        <f t="shared" si="6"/>
        <v>0.87475710979995669</v>
      </c>
      <c r="P34" s="125">
        <f t="shared" si="7"/>
        <v>0.87053134184391801</v>
      </c>
      <c r="Q34" s="199">
        <f t="shared" si="8"/>
        <v>0.88256004205561933</v>
      </c>
      <c r="R34" s="125">
        <f t="shared" si="0"/>
        <v>0.87863106845831396</v>
      </c>
      <c r="S34" s="8"/>
      <c r="T34" s="200">
        <f t="shared" si="9"/>
        <v>437.37855489997833</v>
      </c>
      <c r="U34" s="104">
        <f t="shared" si="1"/>
        <v>435.26567092195899</v>
      </c>
      <c r="V34" s="104">
        <f t="shared" si="2"/>
        <v>0.17873582328838047</v>
      </c>
      <c r="W34" s="6"/>
      <c r="X34" s="184"/>
      <c r="Y34" s="91">
        <f>Inputs!C$17*V34</f>
        <v>8.9367911644190237</v>
      </c>
      <c r="Z34" s="232">
        <f t="shared" si="3"/>
        <v>5362.0746986514141</v>
      </c>
      <c r="AA34" s="201"/>
      <c r="AB34" s="92"/>
      <c r="AC34" s="87"/>
      <c r="AD34" s="87"/>
      <c r="AE34" s="87"/>
      <c r="AF34" s="144">
        <f t="shared" si="10"/>
        <v>8157.1848180571069</v>
      </c>
      <c r="AG34" s="87"/>
      <c r="AH34" s="107">
        <f>Inputs!C$14/12*T34+Inputs!C$16*AF34</f>
        <v>652.57478544456853</v>
      </c>
      <c r="AI34" s="107">
        <f>Inputs!C$10*AF34</f>
        <v>203.9296204514277</v>
      </c>
      <c r="AJ34" s="107">
        <f>(Inputs!C$9+Inputs!C$11)*AF34</f>
        <v>1386.7214190697082</v>
      </c>
      <c r="AK34" s="107"/>
      <c r="AL34" s="107">
        <f t="shared" si="11"/>
        <v>27.197579568550868</v>
      </c>
      <c r="AM34" s="128">
        <f t="shared" si="4"/>
        <v>27.197579568550868</v>
      </c>
      <c r="AN34" s="129">
        <f t="shared" si="5"/>
        <v>5362.0746986514141</v>
      </c>
      <c r="AO34" s="198">
        <f>V34*Inputs!C$17</f>
        <v>8.9367911644190237</v>
      </c>
      <c r="AP34" s="129">
        <f t="shared" si="12"/>
        <v>570.14508284412159</v>
      </c>
      <c r="AQ34" s="6"/>
    </row>
    <row r="35" spans="2:43">
      <c r="B35" s="6"/>
      <c r="C35" s="6"/>
      <c r="D35" s="6"/>
      <c r="E35" s="86"/>
      <c r="F35" s="83"/>
      <c r="G35" s="55"/>
      <c r="H35" s="5"/>
      <c r="I35">
        <f t="shared" si="14"/>
        <v>3</v>
      </c>
      <c r="J35">
        <v>6</v>
      </c>
      <c r="L35" s="123">
        <f>1-(1-VLOOKUP(Inputs!B$1+I35-1,Inputs!$F$5:$H$105,IF(B$2="M",2,3),0))^(1/12)</f>
        <v>4.0865246200572081E-4</v>
      </c>
      <c r="M35" s="124">
        <f>1-(1-VLOOKUP(I35,Inputs!$C$22:$D$41,2,FALSE))^(1/12)</f>
        <v>4.2653187775606449E-3</v>
      </c>
      <c r="N35" s="125">
        <f>1-(1-VLOOKUP(Inputs!B$1+I35-1,Inputs!$J$5:$L$105,IF(B$2="M",2,3),0))^(1/12)</f>
        <v>1.593061740866597E-4</v>
      </c>
      <c r="O35" s="106">
        <f t="shared" si="6"/>
        <v>0.87053134184391801</v>
      </c>
      <c r="P35" s="125">
        <f t="shared" si="7"/>
        <v>0.86632598768574176</v>
      </c>
      <c r="Q35" s="199">
        <f t="shared" si="8"/>
        <v>0.87863106845831396</v>
      </c>
      <c r="R35" s="125">
        <f t="shared" si="0"/>
        <v>0.87471958583362541</v>
      </c>
      <c r="S35" s="8"/>
      <c r="T35" s="200">
        <f t="shared" si="9"/>
        <v>435.26567092195899</v>
      </c>
      <c r="U35" s="104">
        <f t="shared" si="1"/>
        <v>433.16299384287089</v>
      </c>
      <c r="V35" s="104">
        <f t="shared" si="2"/>
        <v>0.17787238804883043</v>
      </c>
      <c r="W35" s="6"/>
      <c r="X35" s="184"/>
      <c r="Y35" s="91">
        <f>Inputs!C$17*V35</f>
        <v>8.8936194024415212</v>
      </c>
      <c r="Z35" s="232">
        <f t="shared" si="3"/>
        <v>5336.1716414649127</v>
      </c>
      <c r="AA35" s="201"/>
      <c r="AB35" s="92"/>
      <c r="AC35" s="87"/>
      <c r="AD35" s="87"/>
      <c r="AE35" s="87"/>
      <c r="AF35" s="144">
        <f t="shared" si="10"/>
        <v>8117.7791706728704</v>
      </c>
      <c r="AG35" s="87"/>
      <c r="AH35" s="107">
        <f>Inputs!C$14/12*T35+Inputs!C$16*AF35</f>
        <v>649.4223336538297</v>
      </c>
      <c r="AI35" s="107">
        <f>Inputs!C$10*AF35</f>
        <v>202.94447926682176</v>
      </c>
      <c r="AJ35" s="107">
        <f>(Inputs!C$9+Inputs!C$11)*AF35</f>
        <v>1380.022459014388</v>
      </c>
      <c r="AK35" s="107"/>
      <c r="AL35" s="107">
        <f t="shared" si="11"/>
        <v>27.066725800162299</v>
      </c>
      <c r="AM35" s="128">
        <f t="shared" si="4"/>
        <v>27.066725800162299</v>
      </c>
      <c r="AN35" s="129">
        <f t="shared" si="5"/>
        <v>5336.1716414649127</v>
      </c>
      <c r="AO35" s="198">
        <f>V35*Inputs!C$17</f>
        <v>8.8936194024415212</v>
      </c>
      <c r="AP35" s="129">
        <f t="shared" si="12"/>
        <v>567.39136367063861</v>
      </c>
      <c r="AQ35" s="6"/>
    </row>
    <row r="36" spans="2:43">
      <c r="B36" s="6"/>
      <c r="C36" s="6"/>
      <c r="D36" s="6"/>
      <c r="E36" s="55"/>
      <c r="F36" s="83"/>
      <c r="G36" s="55"/>
      <c r="H36" s="5"/>
      <c r="I36">
        <f t="shared" si="14"/>
        <v>3</v>
      </c>
      <c r="J36">
        <v>7</v>
      </c>
      <c r="L36" s="123">
        <f>1-(1-VLOOKUP(Inputs!B$1+I36-1,Inputs!$F$5:$H$105,IF(B$2="M",2,3),0))^(1/12)</f>
        <v>4.0865246200572081E-4</v>
      </c>
      <c r="M36" s="124">
        <f>1-(1-VLOOKUP(I36,Inputs!$C$22:$D$41,2,FALSE))^(1/12)</f>
        <v>4.2653187775606449E-3</v>
      </c>
      <c r="N36" s="125">
        <f>1-(1-VLOOKUP(Inputs!B$1+I36-1,Inputs!$J$5:$L$105,IF(B$2="M",2,3),0))^(1/12)</f>
        <v>1.593061740866597E-4</v>
      </c>
      <c r="O36" s="106">
        <f t="shared" si="6"/>
        <v>0.86632598768574176</v>
      </c>
      <c r="P36" s="125">
        <f t="shared" si="7"/>
        <v>0.86214094871065616</v>
      </c>
      <c r="Q36" s="199">
        <f t="shared" si="8"/>
        <v>0.87471958583362541</v>
      </c>
      <c r="R36" s="125">
        <f t="shared" si="0"/>
        <v>0.87082551631538452</v>
      </c>
      <c r="S36" s="8"/>
      <c r="T36" s="200">
        <f t="shared" si="9"/>
        <v>433.16299384287089</v>
      </c>
      <c r="U36" s="104">
        <f t="shared" si="1"/>
        <v>431.07047435532809</v>
      </c>
      <c r="V36" s="104">
        <f t="shared" si="2"/>
        <v>0.17701312388365809</v>
      </c>
      <c r="W36" s="6"/>
      <c r="X36" s="184"/>
      <c r="Y36" s="91">
        <f>Inputs!C$17*V36</f>
        <v>8.8506561941829034</v>
      </c>
      <c r="Z36" s="232">
        <f t="shared" si="3"/>
        <v>5310.3937165097423</v>
      </c>
      <c r="AA36" s="201"/>
      <c r="AB36" s="92"/>
      <c r="AC36" s="87"/>
      <c r="AD36" s="87"/>
      <c r="AE36" s="87"/>
      <c r="AF36" s="144">
        <f t="shared" si="10"/>
        <v>8078.5638836985545</v>
      </c>
      <c r="AG36" s="87"/>
      <c r="AH36" s="107">
        <f>Inputs!C$14/12*T36+Inputs!C$16*AF36</f>
        <v>646.28511069588433</v>
      </c>
      <c r="AI36" s="107">
        <f>Inputs!C$10*AF36</f>
        <v>201.96409709246387</v>
      </c>
      <c r="AJ36" s="107">
        <f>(Inputs!C$9+Inputs!C$11)*AF36</f>
        <v>1373.3558602287544</v>
      </c>
      <c r="AK36" s="107"/>
      <c r="AL36" s="107">
        <f t="shared" si="11"/>
        <v>26.936501558233466</v>
      </c>
      <c r="AM36" s="128">
        <f t="shared" si="4"/>
        <v>26.936501558233466</v>
      </c>
      <c r="AN36" s="129">
        <f t="shared" si="5"/>
        <v>5310.3937165097423</v>
      </c>
      <c r="AO36" s="198">
        <f>V36*Inputs!C$17</f>
        <v>8.8506561941829034</v>
      </c>
      <c r="AP36" s="129">
        <f t="shared" si="12"/>
        <v>564.65094453575989</v>
      </c>
      <c r="AQ36" s="6"/>
    </row>
    <row r="37" spans="2:43">
      <c r="B37" s="6"/>
      <c r="C37" s="6"/>
      <c r="D37" s="6"/>
      <c r="E37" s="6"/>
      <c r="F37" s="83"/>
      <c r="G37" s="55"/>
      <c r="H37" s="5"/>
      <c r="I37">
        <f t="shared" si="14"/>
        <v>3</v>
      </c>
      <c r="J37">
        <v>8</v>
      </c>
      <c r="L37" s="123">
        <f>1-(1-VLOOKUP(Inputs!B$1+I37-1,Inputs!$F$5:$H$105,IF(B$2="M",2,3),0))^(1/12)</f>
        <v>4.0865246200572081E-4</v>
      </c>
      <c r="M37" s="124">
        <f>1-(1-VLOOKUP(I37,Inputs!$C$22:$D$41,2,FALSE))^(1/12)</f>
        <v>4.2653187775606449E-3</v>
      </c>
      <c r="N37" s="125">
        <f>1-(1-VLOOKUP(Inputs!B$1+I37-1,Inputs!$J$5:$L$105,IF(B$2="M",2,3),0))^(1/12)</f>
        <v>1.593061740866597E-4</v>
      </c>
      <c r="O37" s="106">
        <f t="shared" si="6"/>
        <v>0.86214094871065616</v>
      </c>
      <c r="P37" s="125">
        <f t="shared" si="7"/>
        <v>0.85797612678027657</v>
      </c>
      <c r="Q37" s="199">
        <f t="shared" si="8"/>
        <v>0.87082551631538452</v>
      </c>
      <c r="R37" s="125">
        <f t="shared" si="0"/>
        <v>0.86694878238406592</v>
      </c>
      <c r="S37" s="8"/>
      <c r="T37" s="200">
        <f t="shared" si="9"/>
        <v>431.07047435532809</v>
      </c>
      <c r="U37" s="104">
        <f t="shared" si="1"/>
        <v>428.98806339013828</v>
      </c>
      <c r="V37" s="104">
        <f t="shared" si="2"/>
        <v>0.17615801064327877</v>
      </c>
      <c r="W37" s="6"/>
      <c r="X37" s="184"/>
      <c r="Y37" s="91">
        <f>Inputs!C$17*V37</f>
        <v>8.8079005321639379</v>
      </c>
      <c r="Z37" s="232">
        <f t="shared" si="3"/>
        <v>5284.7403192983629</v>
      </c>
      <c r="AA37" s="201"/>
      <c r="AB37" s="92"/>
      <c r="AC37" s="87"/>
      <c r="AD37" s="87"/>
      <c r="AE37" s="87"/>
      <c r="AF37" s="144">
        <f t="shared" si="10"/>
        <v>8039.5380375429831</v>
      </c>
      <c r="AG37" s="87"/>
      <c r="AH37" s="107">
        <f>Inputs!C$14/12*T37+Inputs!C$16*AF37</f>
        <v>643.1630430034387</v>
      </c>
      <c r="AI37" s="107">
        <f>Inputs!C$10*AF37</f>
        <v>200.9884509385746</v>
      </c>
      <c r="AJ37" s="107">
        <f>(Inputs!C$9+Inputs!C$11)*AF37</f>
        <v>1366.7214663823072</v>
      </c>
      <c r="AK37" s="107"/>
      <c r="AL37" s="107">
        <f t="shared" si="11"/>
        <v>26.806903814366372</v>
      </c>
      <c r="AM37" s="128">
        <f t="shared" si="4"/>
        <v>26.806903814366372</v>
      </c>
      <c r="AN37" s="129">
        <f t="shared" si="5"/>
        <v>5284.7403192983629</v>
      </c>
      <c r="AO37" s="198">
        <f>V37*Inputs!C$17</f>
        <v>8.8079005321639379</v>
      </c>
      <c r="AP37" s="129">
        <f t="shared" si="12"/>
        <v>561.92376120250299</v>
      </c>
      <c r="AQ37" s="6"/>
    </row>
    <row r="38" spans="2:43">
      <c r="B38" s="6"/>
      <c r="C38" s="6"/>
      <c r="D38" s="6"/>
      <c r="E38" s="86"/>
      <c r="F38" s="83"/>
      <c r="G38" s="55"/>
      <c r="H38" s="5"/>
      <c r="I38">
        <f t="shared" si="14"/>
        <v>3</v>
      </c>
      <c r="J38">
        <v>9</v>
      </c>
      <c r="L38" s="123">
        <f>1-(1-VLOOKUP(Inputs!B$1+I38-1,Inputs!$F$5:$H$105,IF(B$2="M",2,3),0))^(1/12)</f>
        <v>4.0865246200572081E-4</v>
      </c>
      <c r="M38" s="124">
        <f>1-(1-VLOOKUP(I38,Inputs!$C$22:$D$41,2,FALSE))^(1/12)</f>
        <v>4.2653187775606449E-3</v>
      </c>
      <c r="N38" s="125">
        <f>1-(1-VLOOKUP(Inputs!B$1+I38-1,Inputs!$J$5:$L$105,IF(B$2="M",2,3),0))^(1/12)</f>
        <v>1.593061740866597E-4</v>
      </c>
      <c r="O38" s="106">
        <f t="shared" si="6"/>
        <v>0.85797612678027657</v>
      </c>
      <c r="P38" s="125">
        <f t="shared" si="7"/>
        <v>0.85383142423030423</v>
      </c>
      <c r="Q38" s="199">
        <f t="shared" si="8"/>
        <v>0.86694878238406592</v>
      </c>
      <c r="R38" s="125">
        <f t="shared" si="0"/>
        <v>0.86308930686524521</v>
      </c>
      <c r="S38" s="8"/>
      <c r="T38" s="200">
        <f t="shared" si="9"/>
        <v>428.98806339013828</v>
      </c>
      <c r="U38" s="104">
        <f t="shared" si="1"/>
        <v>426.91571211515213</v>
      </c>
      <c r="V38" s="104">
        <f t="shared" si="2"/>
        <v>0.17530702827544623</v>
      </c>
      <c r="W38" s="6"/>
      <c r="X38" s="184"/>
      <c r="Y38" s="91">
        <f>Inputs!C$17*V38</f>
        <v>8.7653514137723114</v>
      </c>
      <c r="Z38" s="232">
        <f t="shared" si="3"/>
        <v>5259.2108482633867</v>
      </c>
      <c r="AA38" s="201"/>
      <c r="AB38" s="92"/>
      <c r="AC38" s="87"/>
      <c r="AD38" s="87"/>
      <c r="AE38" s="87"/>
      <c r="AF38" s="144">
        <f t="shared" si="10"/>
        <v>8000.7007170573306</v>
      </c>
      <c r="AG38" s="87"/>
      <c r="AH38" s="107">
        <f>Inputs!C$14/12*T38+Inputs!C$16*AF38</f>
        <v>640.05605736458642</v>
      </c>
      <c r="AI38" s="107">
        <f>Inputs!C$10*AF38</f>
        <v>200.01751792643327</v>
      </c>
      <c r="AJ38" s="107">
        <f>(Inputs!C$9+Inputs!C$11)*AF38</f>
        <v>1360.1191218997462</v>
      </c>
      <c r="AK38" s="107"/>
      <c r="AL38" s="107">
        <f t="shared" si="11"/>
        <v>26.677929554730458</v>
      </c>
      <c r="AM38" s="128">
        <f t="shared" si="4"/>
        <v>26.677929554730458</v>
      </c>
      <c r="AN38" s="129">
        <f t="shared" si="5"/>
        <v>5259.2108482633867</v>
      </c>
      <c r="AO38" s="198">
        <f>V38*Inputs!C$17</f>
        <v>8.7653514137723114</v>
      </c>
      <c r="AP38" s="129">
        <f t="shared" si="12"/>
        <v>559.20974974413593</v>
      </c>
      <c r="AQ38" s="6"/>
    </row>
    <row r="39" spans="2:43">
      <c r="B39" s="6"/>
      <c r="C39" s="6"/>
      <c r="D39" s="6"/>
      <c r="E39" s="86"/>
      <c r="F39" s="84"/>
      <c r="G39" s="55"/>
      <c r="H39" s="5"/>
      <c r="I39">
        <f t="shared" si="14"/>
        <v>3</v>
      </c>
      <c r="J39">
        <v>10</v>
      </c>
      <c r="L39" s="123">
        <f>1-(1-VLOOKUP(Inputs!B$1+I39-1,Inputs!$F$5:$H$105,IF(B$2="M",2,3),0))^(1/12)</f>
        <v>4.0865246200572081E-4</v>
      </c>
      <c r="M39" s="124">
        <f>1-(1-VLOOKUP(I39,Inputs!$C$22:$D$41,2,FALSE))^(1/12)</f>
        <v>4.2653187775606449E-3</v>
      </c>
      <c r="N39" s="125">
        <f>1-(1-VLOOKUP(Inputs!B$1+I39-1,Inputs!$J$5:$L$105,IF(B$2="M",2,3),0))^(1/12)</f>
        <v>1.593061740866597E-4</v>
      </c>
      <c r="O39" s="106">
        <f t="shared" si="6"/>
        <v>0.85383142423030423</v>
      </c>
      <c r="P39" s="125">
        <f t="shared" si="7"/>
        <v>0.8497067438682363</v>
      </c>
      <c r="Q39" s="199">
        <f t="shared" si="8"/>
        <v>0.86308930686524521</v>
      </c>
      <c r="R39" s="125">
        <f t="shared" si="0"/>
        <v>0.85924701292806238</v>
      </c>
      <c r="S39" s="8"/>
      <c r="T39" s="200">
        <f t="shared" si="9"/>
        <v>426.91571211515213</v>
      </c>
      <c r="U39" s="104">
        <f t="shared" si="1"/>
        <v>424.85337193411817</v>
      </c>
      <c r="V39" s="104">
        <f t="shared" si="2"/>
        <v>0.17446015682478244</v>
      </c>
      <c r="W39" s="6"/>
      <c r="X39" s="184"/>
      <c r="Y39" s="91">
        <f>Inputs!C$17*V39</f>
        <v>8.7230078412391219</v>
      </c>
      <c r="Z39" s="232">
        <f t="shared" si="3"/>
        <v>5233.8047047434729</v>
      </c>
      <c r="AA39" s="201"/>
      <c r="AB39" s="92"/>
      <c r="AC39" s="87"/>
      <c r="AD39" s="87"/>
      <c r="AE39" s="87"/>
      <c r="AF39" s="144">
        <f t="shared" si="10"/>
        <v>7962.0510115136649</v>
      </c>
      <c r="AG39" s="87"/>
      <c r="AH39" s="107">
        <f>Inputs!C$14/12*T39+Inputs!C$16*AF39</f>
        <v>636.96408092109323</v>
      </c>
      <c r="AI39" s="107">
        <f>Inputs!C$10*AF39</f>
        <v>199.05127528784163</v>
      </c>
      <c r="AJ39" s="107">
        <f>(Inputs!C$9+Inputs!C$11)*AF39</f>
        <v>1353.5486719573232</v>
      </c>
      <c r="AK39" s="107"/>
      <c r="AL39" s="107">
        <f t="shared" si="11"/>
        <v>26.550097562691363</v>
      </c>
      <c r="AM39" s="128">
        <f t="shared" si="4"/>
        <v>26.550097562691363</v>
      </c>
      <c r="AN39" s="129">
        <f t="shared" si="5"/>
        <v>5233.8047047434729</v>
      </c>
      <c r="AO39" s="198">
        <f>V39*Inputs!C$17</f>
        <v>8.7230078412391219</v>
      </c>
      <c r="AP39" s="129">
        <f t="shared" si="12"/>
        <v>556.50936832538662</v>
      </c>
      <c r="AQ39" s="6"/>
    </row>
    <row r="40" spans="2:43">
      <c r="B40" s="6"/>
      <c r="C40" s="6"/>
      <c r="D40" s="6"/>
      <c r="E40" s="6"/>
      <c r="F40" s="6"/>
      <c r="G40" s="55"/>
      <c r="H40" s="5"/>
      <c r="I40">
        <f t="shared" si="14"/>
        <v>3</v>
      </c>
      <c r="J40">
        <v>11</v>
      </c>
      <c r="L40" s="123">
        <f>1-(1-VLOOKUP(Inputs!B$1+I40-1,Inputs!$F$5:$H$105,IF(B$2="M",2,3),0))^(1/12)</f>
        <v>4.0865246200572081E-4</v>
      </c>
      <c r="M40" s="124">
        <f>1-(1-VLOOKUP(I40,Inputs!$C$22:$D$41,2,FALSE))^(1/12)</f>
        <v>4.2653187775606449E-3</v>
      </c>
      <c r="N40" s="125">
        <f>1-(1-VLOOKUP(Inputs!B$1+I40-1,Inputs!$J$5:$L$105,IF(B$2="M",2,3),0))^(1/12)</f>
        <v>1.593061740866597E-4</v>
      </c>
      <c r="O40" s="106">
        <f t="shared" si="6"/>
        <v>0.8497067438682363</v>
      </c>
      <c r="P40" s="125">
        <f t="shared" si="7"/>
        <v>0.84560198897108607</v>
      </c>
      <c r="Q40" s="199">
        <f t="shared" si="8"/>
        <v>0.85924701292806238</v>
      </c>
      <c r="R40" s="125">
        <f t="shared" si="0"/>
        <v>0.85542182408369238</v>
      </c>
      <c r="S40" s="8"/>
      <c r="T40" s="200">
        <f t="shared" si="9"/>
        <v>424.85337193411817</v>
      </c>
      <c r="U40" s="104">
        <f t="shared" si="1"/>
        <v>422.80099448554301</v>
      </c>
      <c r="V40" s="104">
        <f t="shared" si="2"/>
        <v>0.17361737643230959</v>
      </c>
      <c r="W40" s="6"/>
      <c r="X40" s="184"/>
      <c r="Y40" s="91">
        <f>Inputs!C$17*V40</f>
        <v>8.6808688216154799</v>
      </c>
      <c r="Z40" s="232">
        <f t="shared" si="3"/>
        <v>5208.521292969288</v>
      </c>
      <c r="AA40" s="201"/>
      <c r="AB40" s="92"/>
      <c r="AC40" s="87"/>
      <c r="AD40" s="87"/>
      <c r="AE40" s="87"/>
      <c r="AF40" s="144">
        <f t="shared" si="10"/>
        <v>7923.5880145835881</v>
      </c>
      <c r="AG40" s="87"/>
      <c r="AH40" s="107">
        <f>Inputs!C$14/12*T40+Inputs!C$16*AF40</f>
        <v>633.88704116668703</v>
      </c>
      <c r="AI40" s="107">
        <f>Inputs!C$10*AF40</f>
        <v>198.0897003645897</v>
      </c>
      <c r="AJ40" s="107">
        <f>(Inputs!C$9+Inputs!C$11)*AF40</f>
        <v>1347.0099624792101</v>
      </c>
      <c r="AK40" s="107"/>
      <c r="AL40" s="107">
        <f t="shared" si="11"/>
        <v>26.422877939641491</v>
      </c>
      <c r="AM40" s="128">
        <f t="shared" si="4"/>
        <v>26.422877939641491</v>
      </c>
      <c r="AN40" s="129">
        <f t="shared" si="5"/>
        <v>5208.521292969288</v>
      </c>
      <c r="AO40" s="198">
        <f>V40*Inputs!C$17</f>
        <v>8.6808688216154799</v>
      </c>
      <c r="AP40" s="129">
        <f t="shared" si="12"/>
        <v>553.82202672183996</v>
      </c>
      <c r="AQ40" s="6"/>
    </row>
    <row r="41" spans="2:43">
      <c r="B41" s="6"/>
      <c r="C41" s="6"/>
      <c r="D41" s="6"/>
      <c r="E41" s="55"/>
      <c r="F41" s="83"/>
      <c r="G41" s="55"/>
      <c r="H41" s="205"/>
      <c r="I41" s="13">
        <f t="shared" si="14"/>
        <v>3</v>
      </c>
      <c r="J41" s="13">
        <v>12</v>
      </c>
      <c r="L41" s="123">
        <f>1-(1-VLOOKUP(Inputs!B$1+I41-1,Inputs!$F$5:$H$105,IF(B$2="M",2,3),0))^(1/12)</f>
        <v>4.0865246200572081E-4</v>
      </c>
      <c r="M41" s="124">
        <f>1-(1-VLOOKUP(I41,Inputs!$C$22:$D$41,2,FALSE))^(1/12)</f>
        <v>4.2653187775606449E-3</v>
      </c>
      <c r="N41" s="125">
        <f>1-(1-VLOOKUP(Inputs!B$1+I41-1,Inputs!$J$5:$L$105,IF(B$2="M",2,3),0))^(1/12)</f>
        <v>1.593061740866597E-4</v>
      </c>
      <c r="O41" s="106">
        <f t="shared" si="6"/>
        <v>0.84560198897108607</v>
      </c>
      <c r="P41" s="125">
        <f t="shared" si="7"/>
        <v>0.8415170632831156</v>
      </c>
      <c r="Q41" s="199">
        <f t="shared" si="8"/>
        <v>0.85542182408369238</v>
      </c>
      <c r="R41" s="125">
        <f t="shared" si="0"/>
        <v>0.85161366418382256</v>
      </c>
      <c r="S41" s="8"/>
      <c r="T41" s="200">
        <f t="shared" si="9"/>
        <v>422.80099448554301</v>
      </c>
      <c r="U41" s="104">
        <f t="shared" si="1"/>
        <v>420.75853164155779</v>
      </c>
      <c r="V41" s="104">
        <f t="shared" si="2"/>
        <v>0.17277866733498434</v>
      </c>
      <c r="W41" s="6"/>
      <c r="X41" s="184"/>
      <c r="Y41" s="91">
        <f>Inputs!C$17*V41</f>
        <v>8.6389333667492174</v>
      </c>
      <c r="Z41" s="232">
        <f t="shared" si="3"/>
        <v>5183.3600200495302</v>
      </c>
      <c r="AA41" s="201"/>
      <c r="AB41" s="92"/>
      <c r="AC41" s="87"/>
      <c r="AD41" s="87"/>
      <c r="AE41" s="87"/>
      <c r="AF41" s="144">
        <f t="shared" si="10"/>
        <v>7885.3108243169809</v>
      </c>
      <c r="AG41" s="87"/>
      <c r="AH41" s="107">
        <f>Inputs!C$14/12*T41+Inputs!C$16*AF41</f>
        <v>630.82486594535851</v>
      </c>
      <c r="AI41" s="107">
        <f>Inputs!C$10*AF41</f>
        <v>197.13277060792453</v>
      </c>
      <c r="AJ41" s="107">
        <f>(Inputs!C$9+Inputs!C$11)*AF41</f>
        <v>1340.5028401338868</v>
      </c>
      <c r="AK41" s="107"/>
      <c r="AL41" s="107">
        <f t="shared" si="11"/>
        <v>26.296267752876055</v>
      </c>
      <c r="AM41" s="128">
        <f t="shared" si="4"/>
        <v>26.296267752876055</v>
      </c>
      <c r="AN41" s="129">
        <f t="shared" si="5"/>
        <v>5183.3600200495302</v>
      </c>
      <c r="AO41" s="198">
        <f>V41*Inputs!C$17</f>
        <v>8.6389333667492174</v>
      </c>
      <c r="AP41" s="129">
        <f t="shared" si="12"/>
        <v>551.14766196640733</v>
      </c>
      <c r="AQ41" s="6"/>
    </row>
    <row r="42" spans="2:43">
      <c r="B42" s="6"/>
      <c r="C42" s="6"/>
      <c r="D42" s="6"/>
      <c r="E42" s="6"/>
      <c r="F42" s="83"/>
      <c r="G42" s="55"/>
      <c r="H42" s="5"/>
      <c r="I42">
        <f>I30+1</f>
        <v>4</v>
      </c>
      <c r="J42">
        <v>1</v>
      </c>
      <c r="L42" s="123">
        <f>1-(1-VLOOKUP(Inputs!B$1+I42-1,Inputs!$F$5:$H$105,IF(B$2="M",2,3),0))^(1/12)</f>
        <v>4.5456033469493118E-4</v>
      </c>
      <c r="M42" s="124">
        <f>1-(1-VLOOKUP(I42,Inputs!$C$22:$D$41,2,FALSE))^(1/12)</f>
        <v>4.2653187775606449E-3</v>
      </c>
      <c r="N42" s="125">
        <f>1-(1-VLOOKUP(Inputs!B$1+I42-1,Inputs!$J$5:$L$105,IF(B$2="M",2,3),0))^(1/12)</f>
        <v>1.7099405602716278E-4</v>
      </c>
      <c r="O42" s="106">
        <f t="shared" si="6"/>
        <v>0.8415170632831156</v>
      </c>
      <c r="P42" s="125">
        <f t="shared" si="7"/>
        <v>0.83740362051383532</v>
      </c>
      <c r="Q42" s="199">
        <f t="shared" si="8"/>
        <v>0.85161366418382256</v>
      </c>
      <c r="R42" s="125">
        <f t="shared" si="0"/>
        <v>0.84782245741913664</v>
      </c>
      <c r="S42" s="8"/>
      <c r="T42" s="200">
        <f t="shared" si="9"/>
        <v>420.75853164155779</v>
      </c>
      <c r="U42" s="104">
        <f t="shared" si="1"/>
        <v>418.70181025691767</v>
      </c>
      <c r="V42" s="104">
        <f t="shared" si="2"/>
        <v>0.19126013896873431</v>
      </c>
      <c r="W42" s="6"/>
      <c r="X42" s="184"/>
      <c r="Y42" s="91">
        <f>Inputs!C$17*V42</f>
        <v>9.5630069484367155</v>
      </c>
      <c r="Z42" s="232">
        <f t="shared" si="3"/>
        <v>5737.8041690620294</v>
      </c>
      <c r="AA42" s="201"/>
      <c r="AB42" s="92"/>
      <c r="AC42" s="87"/>
      <c r="AD42" s="87"/>
      <c r="AE42" s="87"/>
      <c r="AF42" s="144">
        <f t="shared" si="10"/>
        <v>7847.2185431208627</v>
      </c>
      <c r="AG42" s="87"/>
      <c r="AH42" s="107">
        <f>Inputs!C$14/12*T42+Inputs!C$16*AF42</f>
        <v>627.77748344966903</v>
      </c>
      <c r="AI42" s="107">
        <f>Inputs!C$10*AF42</f>
        <v>196.18046357802157</v>
      </c>
      <c r="AJ42" s="107">
        <f>(Inputs!C$9+Inputs!C$11)*AF42</f>
        <v>1334.0271523305469</v>
      </c>
      <c r="AK42" s="107"/>
      <c r="AL42" s="107">
        <f t="shared" si="11"/>
        <v>26.170264083731361</v>
      </c>
      <c r="AM42" s="128">
        <f t="shared" si="4"/>
        <v>26.170264083731361</v>
      </c>
      <c r="AN42" s="129">
        <f t="shared" si="5"/>
        <v>5737.8041690620294</v>
      </c>
      <c r="AO42" s="198">
        <f>V42*Inputs!C$17</f>
        <v>9.5630069484367155</v>
      </c>
      <c r="AP42" s="129">
        <f t="shared" si="12"/>
        <v>-31.96346816410901</v>
      </c>
      <c r="AQ42" s="6"/>
    </row>
    <row r="43" spans="2:43">
      <c r="B43" s="6"/>
      <c r="C43" s="6"/>
      <c r="D43" s="6"/>
      <c r="E43" s="6"/>
      <c r="F43" s="83"/>
      <c r="G43" s="6"/>
      <c r="H43" s="5"/>
      <c r="I43">
        <f t="shared" ref="I43:I53" si="15">IF(K44=1,I42+1,I42)</f>
        <v>4</v>
      </c>
      <c r="J43">
        <v>2</v>
      </c>
      <c r="L43" s="123">
        <f>1-(1-VLOOKUP(Inputs!B$1+I43-1,Inputs!$F$5:$H$105,IF(B$2="M",2,3),0))^(1/12)</f>
        <v>4.5456033469493118E-4</v>
      </c>
      <c r="M43" s="124">
        <f>1-(1-VLOOKUP(I43,Inputs!$C$22:$D$41,2,FALSE))^(1/12)</f>
        <v>4.2653187775606449E-3</v>
      </c>
      <c r="N43" s="125">
        <f>1-(1-VLOOKUP(Inputs!B$1+I43-1,Inputs!$J$5:$L$105,IF(B$2="M",2,3),0))^(1/12)</f>
        <v>1.7099405602716278E-4</v>
      </c>
      <c r="O43" s="106">
        <f t="shared" si="6"/>
        <v>0.83740362051383532</v>
      </c>
      <c r="P43" s="125">
        <f t="shared" si="7"/>
        <v>0.83331028477761993</v>
      </c>
      <c r="Q43" s="199">
        <f t="shared" si="8"/>
        <v>0.84782245741913664</v>
      </c>
      <c r="R43" s="125">
        <f t="shared" si="0"/>
        <v>0.84404812831780573</v>
      </c>
      <c r="S43" s="8"/>
      <c r="T43" s="200">
        <f t="shared" si="9"/>
        <v>418.70181025691767</v>
      </c>
      <c r="U43" s="104">
        <f t="shared" si="1"/>
        <v>416.65514238880996</v>
      </c>
      <c r="V43" s="104">
        <f t="shared" si="2"/>
        <v>0.19032523500775805</v>
      </c>
      <c r="W43" s="6"/>
      <c r="X43" s="184"/>
      <c r="Y43" s="91">
        <f>Inputs!C$17*V43</f>
        <v>9.516261750387903</v>
      </c>
      <c r="Z43" s="232">
        <f t="shared" si="3"/>
        <v>5709.7570502327417</v>
      </c>
      <c r="AA43" s="201"/>
      <c r="AB43" s="92"/>
      <c r="AC43" s="87"/>
      <c r="AD43" s="87"/>
      <c r="AE43" s="87"/>
      <c r="AF43" s="144">
        <f t="shared" si="10"/>
        <v>7808.8603377040545</v>
      </c>
      <c r="AG43" s="87"/>
      <c r="AH43" s="107">
        <f>Inputs!C$14/12*T43+Inputs!C$16*AF43</f>
        <v>624.70882701632434</v>
      </c>
      <c r="AI43" s="107">
        <f>Inputs!C$10*AF43</f>
        <v>195.22150844260136</v>
      </c>
      <c r="AJ43" s="107">
        <f>(Inputs!C$9+Inputs!C$11)*AF43</f>
        <v>1327.5062574096894</v>
      </c>
      <c r="AK43" s="107"/>
      <c r="AL43" s="107">
        <f t="shared" si="11"/>
        <v>26.042852031153547</v>
      </c>
      <c r="AM43" s="128">
        <f t="shared" si="4"/>
        <v>26.042852031153547</v>
      </c>
      <c r="AN43" s="129">
        <f t="shared" si="5"/>
        <v>5709.7570502327417</v>
      </c>
      <c r="AO43" s="198">
        <f>V43*Inputs!C$17</f>
        <v>9.516261750387903</v>
      </c>
      <c r="AP43" s="129">
        <f t="shared" si="12"/>
        <v>-31.806715116536445</v>
      </c>
      <c r="AQ43" s="6"/>
    </row>
    <row r="44" spans="2:43">
      <c r="B44" s="6"/>
      <c r="C44" s="6"/>
      <c r="D44" s="6"/>
      <c r="E44" s="6"/>
      <c r="F44" s="83"/>
      <c r="G44" s="55"/>
      <c r="H44" s="5"/>
      <c r="I44">
        <f t="shared" si="15"/>
        <v>4</v>
      </c>
      <c r="J44">
        <v>3</v>
      </c>
      <c r="L44" s="123">
        <f>1-(1-VLOOKUP(Inputs!B$1+I44-1,Inputs!$F$5:$H$105,IF(B$2="M",2,3),0))^(1/12)</f>
        <v>4.5456033469493118E-4</v>
      </c>
      <c r="M44" s="124">
        <f>1-(1-VLOOKUP(I44,Inputs!$C$22:$D$41,2,FALSE))^(1/12)</f>
        <v>4.2653187775606449E-3</v>
      </c>
      <c r="N44" s="125">
        <f>1-(1-VLOOKUP(Inputs!B$1+I44-1,Inputs!$J$5:$L$105,IF(B$2="M",2,3),0))^(1/12)</f>
        <v>1.7099405602716278E-4</v>
      </c>
      <c r="O44" s="106">
        <f t="shared" si="6"/>
        <v>0.83331028477761993</v>
      </c>
      <c r="P44" s="125">
        <f t="shared" si="7"/>
        <v>0.82923695778872653</v>
      </c>
      <c r="Q44" s="199">
        <f t="shared" si="8"/>
        <v>0.84404812831780573</v>
      </c>
      <c r="R44" s="125">
        <f t="shared" si="0"/>
        <v>0.84029060174398573</v>
      </c>
      <c r="S44" s="8"/>
      <c r="T44" s="200">
        <f t="shared" si="9"/>
        <v>416.65514238880996</v>
      </c>
      <c r="U44" s="104">
        <f t="shared" si="1"/>
        <v>414.61847889436325</v>
      </c>
      <c r="V44" s="104">
        <f t="shared" si="2"/>
        <v>0.18939490097662168</v>
      </c>
      <c r="W44" s="6"/>
      <c r="X44" s="184"/>
      <c r="Y44" s="91">
        <f>Inputs!C$17*V44</f>
        <v>9.4697450488310846</v>
      </c>
      <c r="Z44" s="232">
        <f t="shared" si="3"/>
        <v>5681.8470292986503</v>
      </c>
      <c r="AA44" s="201"/>
      <c r="AB44" s="92"/>
      <c r="AC44" s="87"/>
      <c r="AD44" s="87"/>
      <c r="AE44" s="87"/>
      <c r="AF44" s="144">
        <f t="shared" si="10"/>
        <v>7770.6896320892092</v>
      </c>
      <c r="AG44" s="87"/>
      <c r="AH44" s="107">
        <f>Inputs!C$14/12*T44+Inputs!C$16*AF44</f>
        <v>621.65517056713679</v>
      </c>
      <c r="AI44" s="107">
        <f>Inputs!C$10*AF44</f>
        <v>194.26724080223025</v>
      </c>
      <c r="AJ44" s="107">
        <f>(Inputs!C$9+Inputs!C$11)*AF44</f>
        <v>1321.0172374551657</v>
      </c>
      <c r="AK44" s="107"/>
      <c r="AL44" s="107">
        <f t="shared" si="11"/>
        <v>25.916060255150729</v>
      </c>
      <c r="AM44" s="128">
        <f t="shared" si="4"/>
        <v>25.916060255150729</v>
      </c>
      <c r="AN44" s="129">
        <f t="shared" si="5"/>
        <v>5681.8470292986503</v>
      </c>
      <c r="AO44" s="198">
        <f>V44*Inputs!C$17</f>
        <v>9.4697450488310846</v>
      </c>
      <c r="AP44" s="129">
        <f t="shared" si="12"/>
        <v>-31.650730827653192</v>
      </c>
      <c r="AQ44" s="6"/>
    </row>
    <row r="45" spans="2:43">
      <c r="B45" s="6"/>
      <c r="C45" s="6"/>
      <c r="D45" s="6"/>
      <c r="E45" s="6"/>
      <c r="F45" s="83"/>
      <c r="G45" s="55"/>
      <c r="H45" s="5"/>
      <c r="I45">
        <f t="shared" si="15"/>
        <v>4</v>
      </c>
      <c r="J45">
        <v>4</v>
      </c>
      <c r="L45" s="123">
        <f>1-(1-VLOOKUP(Inputs!B$1+I45-1,Inputs!$F$5:$H$105,IF(B$2="M",2,3),0))^(1/12)</f>
        <v>4.5456033469493118E-4</v>
      </c>
      <c r="M45" s="124">
        <f>1-(1-VLOOKUP(I45,Inputs!$C$22:$D$41,2,FALSE))^(1/12)</f>
        <v>4.2653187775606449E-3</v>
      </c>
      <c r="N45" s="125">
        <f>1-(1-VLOOKUP(Inputs!B$1+I45-1,Inputs!$J$5:$L$105,IF(B$2="M",2,3),0))^(1/12)</f>
        <v>1.7099405602716278E-4</v>
      </c>
      <c r="O45" s="106">
        <f t="shared" si="6"/>
        <v>0.82923695778872653</v>
      </c>
      <c r="P45" s="125">
        <f t="shared" si="7"/>
        <v>0.82518354174184549</v>
      </c>
      <c r="Q45" s="199">
        <f t="shared" si="8"/>
        <v>0.84029060174398573</v>
      </c>
      <c r="R45" s="125">
        <f t="shared" si="0"/>
        <v>0.83654980289632175</v>
      </c>
      <c r="S45" s="8"/>
      <c r="T45" s="200">
        <f t="shared" si="9"/>
        <v>414.61847889436325</v>
      </c>
      <c r="U45" s="104">
        <f t="shared" si="1"/>
        <v>412.59177087092274</v>
      </c>
      <c r="V45" s="104">
        <f t="shared" si="2"/>
        <v>0.18846911453692503</v>
      </c>
      <c r="W45" s="6"/>
      <c r="X45" s="184"/>
      <c r="Y45" s="91">
        <f>Inputs!C$17*V45</f>
        <v>9.4234557268462513</v>
      </c>
      <c r="Z45" s="232">
        <f t="shared" si="3"/>
        <v>5654.0734361077511</v>
      </c>
      <c r="AA45" s="201"/>
      <c r="AB45" s="92"/>
      <c r="AC45" s="87"/>
      <c r="AD45" s="87"/>
      <c r="AE45" s="87"/>
      <c r="AF45" s="144">
        <f t="shared" si="10"/>
        <v>7732.7055097533739</v>
      </c>
      <c r="AG45" s="87"/>
      <c r="AH45" s="107">
        <f>Inputs!C$14/12*T45+Inputs!C$16*AF45</f>
        <v>618.61644078026995</v>
      </c>
      <c r="AI45" s="107">
        <f>Inputs!C$10*AF45</f>
        <v>193.31763774383435</v>
      </c>
      <c r="AJ45" s="107">
        <f>(Inputs!C$9+Inputs!C$11)*AF45</f>
        <v>1314.5599366580736</v>
      </c>
      <c r="AK45" s="107"/>
      <c r="AL45" s="107">
        <f t="shared" si="11"/>
        <v>25.789885736242905</v>
      </c>
      <c r="AM45" s="128">
        <f t="shared" si="4"/>
        <v>25.789885736242905</v>
      </c>
      <c r="AN45" s="129">
        <f t="shared" si="5"/>
        <v>5654.0734361077511</v>
      </c>
      <c r="AO45" s="198">
        <f>V45*Inputs!C$17</f>
        <v>9.4234557268462513</v>
      </c>
      <c r="AP45" s="129">
        <f t="shared" si="12"/>
        <v>-31.495511527158477</v>
      </c>
      <c r="AQ45" s="6"/>
    </row>
    <row r="46" spans="2:43">
      <c r="B46" s="6"/>
      <c r="C46" s="6"/>
      <c r="D46" s="6"/>
      <c r="E46" s="6"/>
      <c r="F46" s="83"/>
      <c r="G46" s="55"/>
      <c r="H46" s="5"/>
      <c r="I46">
        <f t="shared" si="15"/>
        <v>4</v>
      </c>
      <c r="J46">
        <v>5</v>
      </c>
      <c r="L46" s="123">
        <f>1-(1-VLOOKUP(Inputs!B$1+I46-1,Inputs!$F$5:$H$105,IF(B$2="M",2,3),0))^(1/12)</f>
        <v>4.5456033469493118E-4</v>
      </c>
      <c r="M46" s="124">
        <f>1-(1-VLOOKUP(I46,Inputs!$C$22:$D$41,2,FALSE))^(1/12)</f>
        <v>4.2653187775606449E-3</v>
      </c>
      <c r="N46" s="125">
        <f>1-(1-VLOOKUP(Inputs!B$1+I46-1,Inputs!$J$5:$L$105,IF(B$2="M",2,3),0))^(1/12)</f>
        <v>1.7099405602716278E-4</v>
      </c>
      <c r="O46" s="106">
        <f t="shared" si="6"/>
        <v>0.82518354174184549</v>
      </c>
      <c r="P46" s="125">
        <f t="shared" si="7"/>
        <v>0.82114993930975178</v>
      </c>
      <c r="Q46" s="199">
        <f t="shared" si="8"/>
        <v>0.83654980289632175</v>
      </c>
      <c r="R46" s="125">
        <f t="shared" si="0"/>
        <v>0.83282565730645886</v>
      </c>
      <c r="S46" s="8"/>
      <c r="T46" s="200">
        <f t="shared" si="9"/>
        <v>412.59177087092274</v>
      </c>
      <c r="U46" s="104">
        <f t="shared" si="1"/>
        <v>410.57496965487587</v>
      </c>
      <c r="V46" s="104">
        <f t="shared" si="2"/>
        <v>0.18754785345946101</v>
      </c>
      <c r="W46" s="6"/>
      <c r="X46" s="184"/>
      <c r="Y46" s="91">
        <f>Inputs!C$17*V46</f>
        <v>9.3773926729730501</v>
      </c>
      <c r="Z46" s="232">
        <f t="shared" si="3"/>
        <v>5626.4356037838306</v>
      </c>
      <c r="AA46" s="201"/>
      <c r="AB46" s="92"/>
      <c r="AC46" s="87"/>
      <c r="AD46" s="87"/>
      <c r="AE46" s="87"/>
      <c r="AF46" s="144">
        <f t="shared" si="10"/>
        <v>7694.9070586536754</v>
      </c>
      <c r="AG46" s="87"/>
      <c r="AH46" s="107">
        <f>Inputs!C$14/12*T46+Inputs!C$16*AF46</f>
        <v>615.5925646922941</v>
      </c>
      <c r="AI46" s="107">
        <f>Inputs!C$10*AF46</f>
        <v>192.37267646634189</v>
      </c>
      <c r="AJ46" s="107">
        <f>(Inputs!C$9+Inputs!C$11)*AF46</f>
        <v>1308.1341999711249</v>
      </c>
      <c r="AK46" s="107"/>
      <c r="AL46" s="107">
        <f t="shared" si="11"/>
        <v>25.6643254696478</v>
      </c>
      <c r="AM46" s="128">
        <f t="shared" si="4"/>
        <v>25.6643254696478</v>
      </c>
      <c r="AN46" s="129">
        <f t="shared" si="5"/>
        <v>5626.4356037838306</v>
      </c>
      <c r="AO46" s="198">
        <f>V46*Inputs!C$17</f>
        <v>9.3773926729730501</v>
      </c>
      <c r="AP46" s="129">
        <f t="shared" si="12"/>
        <v>-31.34105346324062</v>
      </c>
      <c r="AQ46" s="6"/>
    </row>
    <row r="47" spans="2:43">
      <c r="B47" s="6"/>
      <c r="C47" s="6"/>
      <c r="D47" s="6"/>
      <c r="E47" s="6"/>
      <c r="F47" s="83"/>
      <c r="G47" s="55"/>
      <c r="H47" s="5"/>
      <c r="I47">
        <f t="shared" si="15"/>
        <v>4</v>
      </c>
      <c r="J47">
        <v>6</v>
      </c>
      <c r="L47" s="123">
        <f>1-(1-VLOOKUP(Inputs!B$1+I47-1,Inputs!$F$5:$H$105,IF(B$2="M",2,3),0))^(1/12)</f>
        <v>4.5456033469493118E-4</v>
      </c>
      <c r="M47" s="124">
        <f>1-(1-VLOOKUP(I47,Inputs!$C$22:$D$41,2,FALSE))^(1/12)</f>
        <v>4.2653187775606449E-3</v>
      </c>
      <c r="N47" s="125">
        <f>1-(1-VLOOKUP(Inputs!B$1+I47-1,Inputs!$J$5:$L$105,IF(B$2="M",2,3),0))^(1/12)</f>
        <v>1.7099405602716278E-4</v>
      </c>
      <c r="O47" s="106">
        <f t="shared" si="6"/>
        <v>0.82114993930975178</v>
      </c>
      <c r="P47" s="125">
        <f t="shared" si="7"/>
        <v>0.81713605364096853</v>
      </c>
      <c r="Q47" s="199">
        <f t="shared" si="8"/>
        <v>0.83282565730645886</v>
      </c>
      <c r="R47" s="125">
        <f t="shared" si="0"/>
        <v>0.82911809083755972</v>
      </c>
      <c r="S47" s="8"/>
      <c r="T47" s="200">
        <f t="shared" si="9"/>
        <v>410.57496965487587</v>
      </c>
      <c r="U47" s="104">
        <f t="shared" si="1"/>
        <v>408.56802682048425</v>
      </c>
      <c r="V47" s="104">
        <f t="shared" si="2"/>
        <v>0.18663109562368158</v>
      </c>
      <c r="W47" s="6"/>
      <c r="X47" s="184"/>
      <c r="Y47" s="91">
        <f>Inputs!C$17*V47</f>
        <v>9.331554781184078</v>
      </c>
      <c r="Z47" s="232">
        <f t="shared" si="3"/>
        <v>5598.9328687104471</v>
      </c>
      <c r="AA47" s="201"/>
      <c r="AB47" s="92"/>
      <c r="AC47" s="87"/>
      <c r="AD47" s="87"/>
      <c r="AE47" s="87"/>
      <c r="AF47" s="144">
        <f t="shared" si="10"/>
        <v>7657.2933712054219</v>
      </c>
      <c r="AG47" s="87"/>
      <c r="AH47" s="107">
        <f>Inputs!C$14/12*T47+Inputs!C$16*AF47</f>
        <v>612.58346969643378</v>
      </c>
      <c r="AI47" s="107">
        <f>Inputs!C$10*AF47</f>
        <v>191.43233428013556</v>
      </c>
      <c r="AJ47" s="107">
        <f>(Inputs!C$9+Inputs!C$11)*AF47</f>
        <v>1301.7398731049218</v>
      </c>
      <c r="AK47" s="107"/>
      <c r="AL47" s="107">
        <f t="shared" si="11"/>
        <v>25.539376465209312</v>
      </c>
      <c r="AM47" s="128">
        <f t="shared" si="4"/>
        <v>25.539376465209312</v>
      </c>
      <c r="AN47" s="129">
        <f t="shared" si="5"/>
        <v>5598.9328687104471</v>
      </c>
      <c r="AO47" s="198">
        <f>V47*Inputs!C$17</f>
        <v>9.331554781184078</v>
      </c>
      <c r="AP47" s="129">
        <f t="shared" si="12"/>
        <v>-31.187352902491167</v>
      </c>
      <c r="AQ47" s="6"/>
    </row>
    <row r="48" spans="2:43">
      <c r="B48" s="6"/>
      <c r="C48" s="6"/>
      <c r="D48" s="6"/>
      <c r="E48" s="6"/>
      <c r="F48" s="83"/>
      <c r="G48" s="55"/>
      <c r="H48" s="5"/>
      <c r="I48">
        <f t="shared" si="15"/>
        <v>4</v>
      </c>
      <c r="J48">
        <v>7</v>
      </c>
      <c r="L48" s="123">
        <f>1-(1-VLOOKUP(Inputs!B$1+I48-1,Inputs!$F$5:$H$105,IF(B$2="M",2,3),0))^(1/12)</f>
        <v>4.5456033469493118E-4</v>
      </c>
      <c r="M48" s="124">
        <f>1-(1-VLOOKUP(I48,Inputs!$C$22:$D$41,2,FALSE))^(1/12)</f>
        <v>4.2653187775606449E-3</v>
      </c>
      <c r="N48" s="125">
        <f>1-(1-VLOOKUP(Inputs!B$1+I48-1,Inputs!$J$5:$L$105,IF(B$2="M",2,3),0))^(1/12)</f>
        <v>1.7099405602716278E-4</v>
      </c>
      <c r="O48" s="106">
        <f t="shared" si="6"/>
        <v>0.81713605364096853</v>
      </c>
      <c r="P48" s="125">
        <f t="shared" si="7"/>
        <v>0.81314178835744111</v>
      </c>
      <c r="Q48" s="199">
        <f t="shared" si="8"/>
        <v>0.82911809083755972</v>
      </c>
      <c r="R48" s="125">
        <f t="shared" si="0"/>
        <v>0.82542702968282899</v>
      </c>
      <c r="S48" s="8"/>
      <c r="T48" s="200">
        <f t="shared" si="9"/>
        <v>408.56802682048425</v>
      </c>
      <c r="U48" s="104">
        <f t="shared" si="1"/>
        <v>406.57089417872055</v>
      </c>
      <c r="V48" s="104">
        <f t="shared" si="2"/>
        <v>0.18571881901716694</v>
      </c>
      <c r="W48" s="6"/>
      <c r="X48" s="184"/>
      <c r="Y48" s="91">
        <f>Inputs!C$17*V48</f>
        <v>9.2859409508583468</v>
      </c>
      <c r="Z48" s="232">
        <f t="shared" si="3"/>
        <v>5571.5645705150082</v>
      </c>
      <c r="AA48" s="201"/>
      <c r="AB48" s="92"/>
      <c r="AC48" s="87"/>
      <c r="AD48" s="87"/>
      <c r="AE48" s="87"/>
      <c r="AF48" s="144">
        <f t="shared" si="10"/>
        <v>7619.8635442603136</v>
      </c>
      <c r="AG48" s="87"/>
      <c r="AH48" s="107">
        <f>Inputs!C$14/12*T48+Inputs!C$16*AF48</f>
        <v>609.58908354082507</v>
      </c>
      <c r="AI48" s="107">
        <f>Inputs!C$10*AF48</f>
        <v>190.49658860650786</v>
      </c>
      <c r="AJ48" s="107">
        <f>(Inputs!C$9+Inputs!C$11)*AF48</f>
        <v>1295.3768025242534</v>
      </c>
      <c r="AK48" s="107"/>
      <c r="AL48" s="107">
        <f t="shared" si="11"/>
        <v>25.415035747326375</v>
      </c>
      <c r="AM48" s="128">
        <f t="shared" si="4"/>
        <v>25.415035747326375</v>
      </c>
      <c r="AN48" s="129">
        <f t="shared" si="5"/>
        <v>5571.5645705150082</v>
      </c>
      <c r="AO48" s="198">
        <f>V48*Inputs!C$17</f>
        <v>9.2859409508583468</v>
      </c>
      <c r="AP48" s="129">
        <f t="shared" si="12"/>
        <v>-31.034406129812922</v>
      </c>
      <c r="AQ48" s="6"/>
    </row>
    <row r="49" spans="2:43">
      <c r="B49" s="6"/>
      <c r="C49" s="6"/>
      <c r="D49" s="6"/>
      <c r="E49" s="6"/>
      <c r="F49" s="83"/>
      <c r="G49" s="55"/>
      <c r="H49" s="5"/>
      <c r="I49">
        <f t="shared" si="15"/>
        <v>4</v>
      </c>
      <c r="J49">
        <v>8</v>
      </c>
      <c r="L49" s="123">
        <f>1-(1-VLOOKUP(Inputs!B$1+I49-1,Inputs!$F$5:$H$105,IF(B$2="M",2,3),0))^(1/12)</f>
        <v>4.5456033469493118E-4</v>
      </c>
      <c r="M49" s="124">
        <f>1-(1-VLOOKUP(I49,Inputs!$C$22:$D$41,2,FALSE))^(1/12)</f>
        <v>4.2653187775606449E-3</v>
      </c>
      <c r="N49" s="125">
        <f>1-(1-VLOOKUP(Inputs!B$1+I49-1,Inputs!$J$5:$L$105,IF(B$2="M",2,3),0))^(1/12)</f>
        <v>1.7099405602716278E-4</v>
      </c>
      <c r="O49" s="106">
        <f t="shared" si="6"/>
        <v>0.81314178835744111</v>
      </c>
      <c r="P49" s="125">
        <f t="shared" si="7"/>
        <v>0.80916704755222313</v>
      </c>
      <c r="Q49" s="199">
        <f t="shared" si="8"/>
        <v>0.82542702968282899</v>
      </c>
      <c r="R49" s="125">
        <f t="shared" si="0"/>
        <v>0.82175240036404362</v>
      </c>
      <c r="S49" s="8"/>
      <c r="T49" s="200">
        <f t="shared" si="9"/>
        <v>406.57089417872055</v>
      </c>
      <c r="U49" s="104">
        <f t="shared" si="1"/>
        <v>404.58352377611158</v>
      </c>
      <c r="V49" s="104">
        <f t="shared" si="2"/>
        <v>0.18481100173509665</v>
      </c>
      <c r="W49" s="6"/>
      <c r="X49" s="184"/>
      <c r="Y49" s="91">
        <f>Inputs!C$17*V49</f>
        <v>9.2405500867548334</v>
      </c>
      <c r="Z49" s="232">
        <f t="shared" si="3"/>
        <v>5544.3300520528992</v>
      </c>
      <c r="AA49" s="201"/>
      <c r="AB49" s="92"/>
      <c r="AC49" s="87"/>
      <c r="AD49" s="87"/>
      <c r="AE49" s="87"/>
      <c r="AF49" s="144">
        <f t="shared" si="10"/>
        <v>7582.6166790847528</v>
      </c>
      <c r="AG49" s="87"/>
      <c r="AH49" s="107">
        <f>Inputs!C$14/12*T49+Inputs!C$16*AF49</f>
        <v>606.60933432678019</v>
      </c>
      <c r="AI49" s="107">
        <f>Inputs!C$10*AF49</f>
        <v>189.56541697711884</v>
      </c>
      <c r="AJ49" s="107">
        <f>(Inputs!C$9+Inputs!C$11)*AF49</f>
        <v>1289.0448354444081</v>
      </c>
      <c r="AK49" s="107"/>
      <c r="AL49" s="107">
        <f t="shared" si="11"/>
        <v>25.291300354882061</v>
      </c>
      <c r="AM49" s="128">
        <f t="shared" si="4"/>
        <v>25.291300354882061</v>
      </c>
      <c r="AN49" s="129">
        <f t="shared" si="5"/>
        <v>5544.3300520528992</v>
      </c>
      <c r="AO49" s="198">
        <f>V49*Inputs!C$17</f>
        <v>9.2405500867548334</v>
      </c>
      <c r="AP49" s="129">
        <f t="shared" si="12"/>
        <v>-30.882209448326162</v>
      </c>
      <c r="AQ49" s="6"/>
    </row>
    <row r="50" spans="2:43">
      <c r="B50" s="6"/>
      <c r="C50" s="6"/>
      <c r="D50" s="6"/>
      <c r="E50" s="6"/>
      <c r="F50" s="83"/>
      <c r="G50" s="55"/>
      <c r="H50" s="5"/>
      <c r="I50">
        <f t="shared" si="15"/>
        <v>4</v>
      </c>
      <c r="J50">
        <v>9</v>
      </c>
      <c r="L50" s="123">
        <f>1-(1-VLOOKUP(Inputs!B$1+I50-1,Inputs!$F$5:$H$105,IF(B$2="M",2,3),0))^(1/12)</f>
        <v>4.5456033469493118E-4</v>
      </c>
      <c r="M50" s="124">
        <f>1-(1-VLOOKUP(I50,Inputs!$C$22:$D$41,2,FALSE))^(1/12)</f>
        <v>4.2653187775606449E-3</v>
      </c>
      <c r="N50" s="125">
        <f>1-(1-VLOOKUP(Inputs!B$1+I50-1,Inputs!$J$5:$L$105,IF(B$2="M",2,3),0))^(1/12)</f>
        <v>1.7099405602716278E-4</v>
      </c>
      <c r="O50" s="106">
        <f t="shared" si="6"/>
        <v>0.80916704755222313</v>
      </c>
      <c r="P50" s="125">
        <f t="shared" si="7"/>
        <v>0.80521173578717364</v>
      </c>
      <c r="Q50" s="199">
        <f t="shared" si="8"/>
        <v>0.82175240036404362</v>
      </c>
      <c r="R50" s="125">
        <f t="shared" si="0"/>
        <v>0.81809412973009032</v>
      </c>
      <c r="S50" s="8"/>
      <c r="T50" s="200">
        <f t="shared" si="9"/>
        <v>404.58352377611158</v>
      </c>
      <c r="U50" s="104">
        <f t="shared" si="1"/>
        <v>402.60586789358683</v>
      </c>
      <c r="V50" s="104">
        <f t="shared" si="2"/>
        <v>0.18390762197972393</v>
      </c>
      <c r="W50" s="6"/>
      <c r="X50" s="184"/>
      <c r="Y50" s="91">
        <f>Inputs!C$17*V50</f>
        <v>9.1953810989861964</v>
      </c>
      <c r="Z50" s="232">
        <f t="shared" si="3"/>
        <v>5517.2286593917179</v>
      </c>
      <c r="AA50" s="201"/>
      <c r="AB50" s="92"/>
      <c r="AC50" s="87"/>
      <c r="AD50" s="87"/>
      <c r="AE50" s="87"/>
      <c r="AF50" s="144">
        <f t="shared" si="10"/>
        <v>7545.5518813382669</v>
      </c>
      <c r="AG50" s="87"/>
      <c r="AH50" s="107">
        <f>Inputs!C$14/12*T50+Inputs!C$16*AF50</f>
        <v>603.64415050706134</v>
      </c>
      <c r="AI50" s="107">
        <f>Inputs!C$10*AF50</f>
        <v>188.63879703345668</v>
      </c>
      <c r="AJ50" s="107">
        <f>(Inputs!C$9+Inputs!C$11)*AF50</f>
        <v>1282.7438198275054</v>
      </c>
      <c r="AK50" s="107"/>
      <c r="AL50" s="107">
        <f t="shared" si="11"/>
        <v>33.741436176272259</v>
      </c>
      <c r="AM50" s="128">
        <f t="shared" si="4"/>
        <v>33.741436176272259</v>
      </c>
      <c r="AN50" s="129">
        <f t="shared" si="5"/>
        <v>5517.2286593917179</v>
      </c>
      <c r="AO50" s="198">
        <f>V50*Inputs!C$17</f>
        <v>9.1953810989861964</v>
      </c>
      <c r="AP50" s="129">
        <f t="shared" si="12"/>
        <v>-22.157490344187842</v>
      </c>
      <c r="AQ50" s="6"/>
    </row>
    <row r="51" spans="2:43">
      <c r="B51" s="6"/>
      <c r="C51" s="6"/>
      <c r="D51" s="6"/>
      <c r="E51" s="6"/>
      <c r="F51" s="84"/>
      <c r="G51" s="55"/>
      <c r="H51" s="5"/>
      <c r="I51">
        <f t="shared" si="15"/>
        <v>4</v>
      </c>
      <c r="J51">
        <v>10</v>
      </c>
      <c r="L51" s="123">
        <f>1-(1-VLOOKUP(Inputs!B$1+I51-1,Inputs!$F$5:$H$105,IF(B$2="M",2,3),0))^(1/12)</f>
        <v>4.5456033469493118E-4</v>
      </c>
      <c r="M51" s="124">
        <f>1-(1-VLOOKUP(I51,Inputs!$C$22:$D$41,2,FALSE))^(1/12)</f>
        <v>4.2653187775606449E-3</v>
      </c>
      <c r="N51" s="125">
        <f>1-(1-VLOOKUP(Inputs!B$1+I51-1,Inputs!$J$5:$L$105,IF(B$2="M",2,3),0))^(1/12)</f>
        <v>1.7099405602716278E-4</v>
      </c>
      <c r="O51" s="106">
        <f t="shared" si="6"/>
        <v>0.80521173578717364</v>
      </c>
      <c r="P51" s="125">
        <f t="shared" si="7"/>
        <v>0.80127575809066542</v>
      </c>
      <c r="Q51" s="199">
        <f t="shared" si="8"/>
        <v>0.81809412973009032</v>
      </c>
      <c r="R51" s="125">
        <f t="shared" si="0"/>
        <v>0.81445214495550944</v>
      </c>
      <c r="S51" s="8"/>
      <c r="T51" s="200">
        <f t="shared" si="9"/>
        <v>402.60586789358683</v>
      </c>
      <c r="U51" s="104">
        <f t="shared" si="1"/>
        <v>400.63787904533274</v>
      </c>
      <c r="V51" s="104">
        <f t="shared" si="2"/>
        <v>0.18300865805985209</v>
      </c>
      <c r="W51" s="6"/>
      <c r="X51" s="184"/>
      <c r="Y51" s="91">
        <f>Inputs!C$17*V51</f>
        <v>9.1504329029926037</v>
      </c>
      <c r="Z51" s="232">
        <f t="shared" si="3"/>
        <v>5490.2597417955621</v>
      </c>
      <c r="AA51" s="201"/>
      <c r="AB51" s="92"/>
      <c r="AC51" s="87"/>
      <c r="AD51" s="87"/>
      <c r="AE51" s="87"/>
      <c r="AF51" s="144">
        <f t="shared" si="10"/>
        <v>7508.6682610520338</v>
      </c>
      <c r="AG51" s="87"/>
      <c r="AH51" s="107">
        <f>Inputs!C$14/12*T51+Inputs!C$16*AF51</f>
        <v>600.69346088416273</v>
      </c>
      <c r="AI51" s="107">
        <f>Inputs!C$10*AF51</f>
        <v>187.71670652630087</v>
      </c>
      <c r="AJ51" s="107">
        <f>(Inputs!C$9+Inputs!C$11)*AF51</f>
        <v>1276.4736043788459</v>
      </c>
      <c r="AK51" s="107"/>
      <c r="AL51" s="107">
        <f t="shared" si="11"/>
        <v>33.576503731381685</v>
      </c>
      <c r="AM51" s="128">
        <f t="shared" si="4"/>
        <v>33.576503731381685</v>
      </c>
      <c r="AN51" s="129">
        <f t="shared" si="5"/>
        <v>5490.2597417955621</v>
      </c>
      <c r="AO51" s="198">
        <f>V51*Inputs!C$17</f>
        <v>9.1504329029926037</v>
      </c>
      <c r="AP51" s="129">
        <f t="shared" si="12"/>
        <v>-22.049181704449865</v>
      </c>
      <c r="AQ51" s="6"/>
    </row>
    <row r="52" spans="2:43">
      <c r="B52" s="6"/>
      <c r="C52" s="6"/>
      <c r="D52" s="6"/>
      <c r="E52" s="6"/>
      <c r="F52" s="6"/>
      <c r="G52" s="55"/>
      <c r="H52" s="5"/>
      <c r="I52">
        <f t="shared" si="15"/>
        <v>4</v>
      </c>
      <c r="J52">
        <v>11</v>
      </c>
      <c r="L52" s="123">
        <f>1-(1-VLOOKUP(Inputs!B$1+I52-1,Inputs!$F$5:$H$105,IF(B$2="M",2,3),0))^(1/12)</f>
        <v>4.5456033469493118E-4</v>
      </c>
      <c r="M52" s="124">
        <f>1-(1-VLOOKUP(I52,Inputs!$C$22:$D$41,2,FALSE))^(1/12)</f>
        <v>4.2653187775606449E-3</v>
      </c>
      <c r="N52" s="125">
        <f>1-(1-VLOOKUP(Inputs!B$1+I52-1,Inputs!$J$5:$L$105,IF(B$2="M",2,3),0))^(1/12)</f>
        <v>1.7099405602716278E-4</v>
      </c>
      <c r="O52" s="106">
        <f t="shared" si="6"/>
        <v>0.80127575809066542</v>
      </c>
      <c r="P52" s="125">
        <f t="shared" si="7"/>
        <v>0.79735901995530478</v>
      </c>
      <c r="Q52" s="199">
        <f t="shared" si="8"/>
        <v>0.81445214495550944</v>
      </c>
      <c r="R52" s="125">
        <f t="shared" si="0"/>
        <v>0.81082637353904496</v>
      </c>
      <c r="S52" s="8"/>
      <c r="T52" s="200">
        <f t="shared" si="9"/>
        <v>400.63787904533274</v>
      </c>
      <c r="U52" s="104">
        <f t="shared" si="1"/>
        <v>398.6795099776524</v>
      </c>
      <c r="V52" s="104">
        <f t="shared" si="2"/>
        <v>0.18211408839031382</v>
      </c>
      <c r="W52" s="6"/>
      <c r="X52" s="184"/>
      <c r="Y52" s="91">
        <f>Inputs!C$17*V52</f>
        <v>9.1057044195156909</v>
      </c>
      <c r="Z52" s="232">
        <f t="shared" si="3"/>
        <v>5463.4226517094148</v>
      </c>
      <c r="AA52" s="201"/>
      <c r="AB52" s="92"/>
      <c r="AC52" s="87"/>
      <c r="AD52" s="87"/>
      <c r="AE52" s="87"/>
      <c r="AF52" s="144">
        <f t="shared" si="10"/>
        <v>7471.9649326075123</v>
      </c>
      <c r="AG52" s="87"/>
      <c r="AH52" s="107">
        <f>Inputs!C$14/12*T52+Inputs!C$16*AF52</f>
        <v>597.75719460860103</v>
      </c>
      <c r="AI52" s="107">
        <f>Inputs!C$10*AF52</f>
        <v>186.79912331518781</v>
      </c>
      <c r="AJ52" s="107">
        <f>(Inputs!C$9+Inputs!C$11)*AF52</f>
        <v>1270.2340385432772</v>
      </c>
      <c r="AK52" s="107"/>
      <c r="AL52" s="107">
        <f t="shared" si="11"/>
        <v>33.412377497324442</v>
      </c>
      <c r="AM52" s="128">
        <f t="shared" si="4"/>
        <v>33.412377497324442</v>
      </c>
      <c r="AN52" s="129">
        <f t="shared" si="5"/>
        <v>5463.4226517094148</v>
      </c>
      <c r="AO52" s="198">
        <f>V52*Inputs!C$17</f>
        <v>9.1057044195156909</v>
      </c>
      <c r="AP52" s="129">
        <f t="shared" si="12"/>
        <v>-21.94140249116009</v>
      </c>
      <c r="AQ52" s="6"/>
    </row>
    <row r="53" spans="2:43">
      <c r="B53" s="6"/>
      <c r="C53" s="6"/>
      <c r="D53" s="6"/>
      <c r="E53" s="6"/>
      <c r="F53" s="83"/>
      <c r="G53" s="55"/>
      <c r="H53" s="205"/>
      <c r="I53" s="13">
        <f t="shared" si="15"/>
        <v>4</v>
      </c>
      <c r="J53" s="13">
        <v>12</v>
      </c>
      <c r="L53" s="123">
        <f>1-(1-VLOOKUP(Inputs!B$1+I53-1,Inputs!$F$5:$H$105,IF(B$2="M",2,3),0))^(1/12)</f>
        <v>4.5456033469493118E-4</v>
      </c>
      <c r="M53" s="124">
        <f>1-(1-VLOOKUP(I53,Inputs!$C$22:$D$41,2,FALSE))^(1/12)</f>
        <v>4.2653187775606449E-3</v>
      </c>
      <c r="N53" s="125">
        <f>1-(1-VLOOKUP(Inputs!B$1+I53-1,Inputs!$J$5:$L$105,IF(B$2="M",2,3),0))^(1/12)</f>
        <v>1.7099405602716278E-4</v>
      </c>
      <c r="O53" s="106">
        <f t="shared" si="6"/>
        <v>0.79735901995530478</v>
      </c>
      <c r="P53" s="125">
        <f t="shared" si="7"/>
        <v>0.79346142733566216</v>
      </c>
      <c r="Q53" s="199">
        <f t="shared" si="8"/>
        <v>0.81082637353904496</v>
      </c>
      <c r="R53" s="125">
        <f t="shared" si="0"/>
        <v>0.8072167433022015</v>
      </c>
      <c r="S53" s="8"/>
      <c r="T53" s="200">
        <f t="shared" si="9"/>
        <v>398.6795099776524</v>
      </c>
      <c r="U53" s="104">
        <f t="shared" si="1"/>
        <v>396.73071366783108</v>
      </c>
      <c r="V53" s="104">
        <f t="shared" si="2"/>
        <v>0.18122389149145282</v>
      </c>
      <c r="W53" s="6"/>
      <c r="X53" s="184"/>
      <c r="Y53" s="91">
        <f>Inputs!C$17*V53</f>
        <v>9.0611945745726405</v>
      </c>
      <c r="Z53" s="232">
        <f t="shared" si="3"/>
        <v>5436.716744743585</v>
      </c>
      <c r="AA53" s="201"/>
      <c r="AB53" s="92"/>
      <c r="AC53" s="87"/>
      <c r="AD53" s="87"/>
      <c r="AE53" s="87"/>
      <c r="AF53" s="144">
        <f t="shared" si="10"/>
        <v>7435.4410147151775</v>
      </c>
      <c r="AG53" s="87"/>
      <c r="AH53" s="107">
        <f>Inputs!C$14/12*T53+Inputs!C$16*AF53</f>
        <v>594.83528117721426</v>
      </c>
      <c r="AI53" s="107">
        <f>Inputs!C$10*AF53</f>
        <v>185.88602536787945</v>
      </c>
      <c r="AJ53" s="107">
        <f>(Inputs!C$9+Inputs!C$11)*AF53</f>
        <v>1264.0249725015804</v>
      </c>
      <c r="AK53" s="107"/>
      <c r="AL53" s="107">
        <f t="shared" si="11"/>
        <v>33.24905353323912</v>
      </c>
      <c r="AM53" s="128">
        <f t="shared" si="4"/>
        <v>33.24905353323912</v>
      </c>
      <c r="AN53" s="129">
        <f t="shared" si="5"/>
        <v>5436.716744743585</v>
      </c>
      <c r="AO53" s="198">
        <f>V53*Inputs!C$17</f>
        <v>9.0611945745726405</v>
      </c>
      <c r="AP53" s="129">
        <f t="shared" si="12"/>
        <v>-21.834150116414477</v>
      </c>
      <c r="AQ53" s="6"/>
    </row>
    <row r="54" spans="2:43">
      <c r="B54" s="6"/>
      <c r="C54" s="6"/>
      <c r="D54" s="6"/>
      <c r="E54" s="6"/>
      <c r="F54" s="83"/>
      <c r="G54" s="55"/>
      <c r="H54" s="5"/>
      <c r="I54">
        <f>I42+1</f>
        <v>5</v>
      </c>
      <c r="J54">
        <v>1</v>
      </c>
      <c r="L54" s="123">
        <f>1-(1-VLOOKUP(Inputs!B$1+I54-1,Inputs!$F$5:$H$105,IF(B$2="M",2,3),0))^(1/12)</f>
        <v>5.0298084250810504E-4</v>
      </c>
      <c r="M54" s="124">
        <f>1-(1-VLOOKUP(I54,Inputs!$C$22:$D$41,2,FALSE))^(1/12)</f>
        <v>4.2653187775606449E-3</v>
      </c>
      <c r="N54" s="125">
        <f>1-(1-VLOOKUP(Inputs!B$1+I54-1,Inputs!$J$5:$L$105,IF(B$2="M",2,3),0))^(1/12)</f>
        <v>1.8017844630402458E-4</v>
      </c>
      <c r="O54" s="106">
        <f t="shared" si="6"/>
        <v>0.79346142733566216</v>
      </c>
      <c r="P54" s="125">
        <f t="shared" si="7"/>
        <v>0.78953738452876354</v>
      </c>
      <c r="Q54" s="199">
        <f t="shared" si="8"/>
        <v>0.8072167433022015</v>
      </c>
      <c r="R54" s="125">
        <f t="shared" si="0"/>
        <v>0.80362318238780728</v>
      </c>
      <c r="S54" s="8"/>
      <c r="T54" s="200">
        <f t="shared" si="9"/>
        <v>396.73071366783108</v>
      </c>
      <c r="U54" s="104">
        <f t="shared" si="1"/>
        <v>394.7686922643818</v>
      </c>
      <c r="V54" s="104">
        <f t="shared" si="2"/>
        <v>0.19954794860948746</v>
      </c>
      <c r="W54" s="6"/>
      <c r="X54" s="184"/>
      <c r="Y54" s="91">
        <f>Inputs!C$17*V54</f>
        <v>9.9773974304743724</v>
      </c>
      <c r="Z54" s="232">
        <f t="shared" si="3"/>
        <v>5986.4384582846242</v>
      </c>
      <c r="AA54" s="201"/>
      <c r="AB54" s="92"/>
      <c r="AC54" s="87"/>
      <c r="AD54" s="87"/>
      <c r="AE54" s="87"/>
      <c r="AF54" s="144">
        <f t="shared" si="10"/>
        <v>7399.0956303933617</v>
      </c>
      <c r="AG54" s="87"/>
      <c r="AH54" s="107">
        <f>Inputs!C$14/12*T54+Inputs!C$16*AF54</f>
        <v>591.92765043146892</v>
      </c>
      <c r="AI54" s="107">
        <f>Inputs!C$10*AF54</f>
        <v>184.97739075983407</v>
      </c>
      <c r="AJ54" s="107">
        <f>(Inputs!C$9+Inputs!C$11)*AF54</f>
        <v>1257.8462571668715</v>
      </c>
      <c r="AK54" s="107"/>
      <c r="AL54" s="107">
        <f t="shared" si="11"/>
        <v>33.086527917527746</v>
      </c>
      <c r="AM54" s="128">
        <f t="shared" si="4"/>
        <v>33.086527917527746</v>
      </c>
      <c r="AN54" s="129">
        <f t="shared" si="5"/>
        <v>5986.4384582846242</v>
      </c>
      <c r="AO54" s="198">
        <f>V54*Inputs!C$17</f>
        <v>9.9773974304743724</v>
      </c>
      <c r="AP54" s="129">
        <f t="shared" si="12"/>
        <v>-598.98499576238282</v>
      </c>
      <c r="AQ54" s="6"/>
    </row>
    <row r="55" spans="2:43">
      <c r="B55" s="6"/>
      <c r="C55" s="6"/>
      <c r="D55" s="6"/>
      <c r="E55" s="6"/>
      <c r="F55" s="83"/>
      <c r="G55" s="6"/>
      <c r="H55" s="5"/>
      <c r="I55">
        <f t="shared" ref="I55:I65" si="16">IF(K56=1,I54+1,I54)</f>
        <v>5</v>
      </c>
      <c r="J55">
        <v>2</v>
      </c>
      <c r="L55" s="123">
        <f>1-(1-VLOOKUP(Inputs!B$1+I55-1,Inputs!$F$5:$H$105,IF(B$2="M",2,3),0))^(1/12)</f>
        <v>5.0298084250810504E-4</v>
      </c>
      <c r="M55" s="124">
        <f>1-(1-VLOOKUP(I55,Inputs!$C$22:$D$41,2,FALSE))^(1/12)</f>
        <v>4.2653187775606449E-3</v>
      </c>
      <c r="N55" s="125">
        <f>1-(1-VLOOKUP(Inputs!B$1+I55-1,Inputs!$J$5:$L$105,IF(B$2="M",2,3),0))^(1/12)</f>
        <v>1.8017844630402458E-4</v>
      </c>
      <c r="O55" s="106">
        <f t="shared" si="6"/>
        <v>0.78953738452876354</v>
      </c>
      <c r="P55" s="125">
        <f t="shared" si="7"/>
        <v>0.7856327479732842</v>
      </c>
      <c r="Q55" s="199">
        <f t="shared" si="8"/>
        <v>0.80362318238780728</v>
      </c>
      <c r="R55" s="125">
        <f t="shared" si="0"/>
        <v>0.80004561925858364</v>
      </c>
      <c r="S55" s="8"/>
      <c r="T55" s="200">
        <f t="shared" si="9"/>
        <v>394.7686922643818</v>
      </c>
      <c r="U55" s="104">
        <f t="shared" si="1"/>
        <v>392.81637398664208</v>
      </c>
      <c r="V55" s="104">
        <f t="shared" si="2"/>
        <v>0.1985610894309616</v>
      </c>
      <c r="W55" s="6"/>
      <c r="X55" s="184"/>
      <c r="Y55" s="91">
        <f>Inputs!C$17*V55</f>
        <v>9.9280544715480801</v>
      </c>
      <c r="Z55" s="232">
        <f t="shared" si="3"/>
        <v>5956.832682928848</v>
      </c>
      <c r="AA55" s="201"/>
      <c r="AB55" s="92"/>
      <c r="AC55" s="87"/>
      <c r="AD55" s="87"/>
      <c r="AE55" s="87"/>
      <c r="AF55" s="144">
        <f t="shared" si="10"/>
        <v>7362.5035958145754</v>
      </c>
      <c r="AG55" s="87"/>
      <c r="AH55" s="107">
        <f>Inputs!C$14/12*T55+Inputs!C$16*AF55</f>
        <v>589.00028766516607</v>
      </c>
      <c r="AI55" s="107">
        <f>Inputs!C$10*AF55</f>
        <v>184.0625898953644</v>
      </c>
      <c r="AJ55" s="107">
        <f>(Inputs!C$9+Inputs!C$11)*AF55</f>
        <v>1251.625611288478</v>
      </c>
      <c r="AK55" s="107"/>
      <c r="AL55" s="107">
        <f t="shared" si="11"/>
        <v>32.922899356129385</v>
      </c>
      <c r="AM55" s="128">
        <f t="shared" si="4"/>
        <v>32.922899356129385</v>
      </c>
      <c r="AN55" s="129">
        <f t="shared" si="5"/>
        <v>5956.832682928848</v>
      </c>
      <c r="AO55" s="198">
        <f>V55*Inputs!C$17</f>
        <v>9.9280544715480801</v>
      </c>
      <c r="AP55" s="129">
        <f t="shared" si="12"/>
        <v>-596.02273107869917</v>
      </c>
      <c r="AQ55" s="6"/>
    </row>
    <row r="56" spans="2:43">
      <c r="B56" s="6"/>
      <c r="C56" s="6"/>
      <c r="D56" s="6"/>
      <c r="E56" s="6"/>
      <c r="F56" s="83"/>
      <c r="G56" s="55"/>
      <c r="H56" s="5"/>
      <c r="I56">
        <f t="shared" si="16"/>
        <v>5</v>
      </c>
      <c r="J56">
        <v>3</v>
      </c>
      <c r="L56" s="123">
        <f>1-(1-VLOOKUP(Inputs!B$1+I56-1,Inputs!$F$5:$H$105,IF(B$2="M",2,3),0))^(1/12)</f>
        <v>5.0298084250810504E-4</v>
      </c>
      <c r="M56" s="124">
        <f>1-(1-VLOOKUP(I56,Inputs!$C$22:$D$41,2,FALSE))^(1/12)</f>
        <v>4.2653187775606449E-3</v>
      </c>
      <c r="N56" s="125">
        <f>1-(1-VLOOKUP(Inputs!B$1+I56-1,Inputs!$J$5:$L$105,IF(B$2="M",2,3),0))^(1/12)</f>
        <v>1.8017844630402458E-4</v>
      </c>
      <c r="O56" s="106">
        <f t="shared" si="6"/>
        <v>0.7856327479732842</v>
      </c>
      <c r="P56" s="125">
        <f t="shared" si="7"/>
        <v>0.78174742169611355</v>
      </c>
      <c r="Q56" s="199">
        <f t="shared" si="8"/>
        <v>0.80004561925858364</v>
      </c>
      <c r="R56" s="125">
        <f t="shared" si="0"/>
        <v>0.79648398269572107</v>
      </c>
      <c r="S56" s="8"/>
      <c r="T56" s="200">
        <f t="shared" si="9"/>
        <v>392.81637398664208</v>
      </c>
      <c r="U56" s="104">
        <f t="shared" si="1"/>
        <v>390.87371084805676</v>
      </c>
      <c r="V56" s="104">
        <f t="shared" si="2"/>
        <v>0.19757911073878009</v>
      </c>
      <c r="W56" s="6"/>
      <c r="X56" s="184"/>
      <c r="Y56" s="91">
        <f>Inputs!C$17*V56</f>
        <v>9.8789555369390047</v>
      </c>
      <c r="Z56" s="232">
        <f t="shared" si="3"/>
        <v>5927.3733221634029</v>
      </c>
      <c r="AA56" s="201"/>
      <c r="AB56" s="92"/>
      <c r="AC56" s="87"/>
      <c r="AD56" s="87"/>
      <c r="AE56" s="87"/>
      <c r="AF56" s="144">
        <f t="shared" si="10"/>
        <v>7326.092526189007</v>
      </c>
      <c r="AG56" s="87"/>
      <c r="AH56" s="107">
        <f>Inputs!C$14/12*T56+Inputs!C$16*AF56</f>
        <v>586.08740209512052</v>
      </c>
      <c r="AI56" s="107">
        <f>Inputs!C$10*AF56</f>
        <v>183.15231315472519</v>
      </c>
      <c r="AJ56" s="107">
        <f>(Inputs!C$9+Inputs!C$11)*AF56</f>
        <v>1245.4357294521312</v>
      </c>
      <c r="AK56" s="107"/>
      <c r="AL56" s="107">
        <f t="shared" si="11"/>
        <v>32.760080015516351</v>
      </c>
      <c r="AM56" s="128">
        <f t="shared" si="4"/>
        <v>32.760080015516351</v>
      </c>
      <c r="AN56" s="129">
        <f t="shared" si="5"/>
        <v>5927.3733221634029</v>
      </c>
      <c r="AO56" s="198">
        <f>V56*Inputs!C$17</f>
        <v>9.8789555369390047</v>
      </c>
      <c r="AP56" s="129">
        <f t="shared" si="12"/>
        <v>-593.07511619779643</v>
      </c>
      <c r="AQ56" s="6"/>
    </row>
    <row r="57" spans="2:43">
      <c r="B57" s="6"/>
      <c r="C57" s="6"/>
      <c r="D57" s="6"/>
      <c r="E57" s="6"/>
      <c r="F57" s="83"/>
      <c r="G57" s="55"/>
      <c r="H57" s="5"/>
      <c r="I57">
        <f t="shared" si="16"/>
        <v>5</v>
      </c>
      <c r="J57">
        <v>4</v>
      </c>
      <c r="L57" s="123">
        <f>1-(1-VLOOKUP(Inputs!B$1+I57-1,Inputs!$F$5:$H$105,IF(B$2="M",2,3),0))^(1/12)</f>
        <v>5.0298084250810504E-4</v>
      </c>
      <c r="M57" s="124">
        <f>1-(1-VLOOKUP(I57,Inputs!$C$22:$D$41,2,FALSE))^(1/12)</f>
        <v>4.2653187775606449E-3</v>
      </c>
      <c r="N57" s="125">
        <f>1-(1-VLOOKUP(Inputs!B$1+I57-1,Inputs!$J$5:$L$105,IF(B$2="M",2,3),0))^(1/12)</f>
        <v>1.8017844630402458E-4</v>
      </c>
      <c r="O57" s="106">
        <f t="shared" si="6"/>
        <v>0.78174742169611355</v>
      </c>
      <c r="P57" s="125">
        <f t="shared" si="7"/>
        <v>0.7778813101987736</v>
      </c>
      <c r="Q57" s="199">
        <f t="shared" si="8"/>
        <v>0.79648398269572107</v>
      </c>
      <c r="R57" s="125">
        <f t="shared" si="0"/>
        <v>0.79293820179746133</v>
      </c>
      <c r="S57" s="8"/>
      <c r="T57" s="200">
        <f t="shared" si="9"/>
        <v>390.87371084805676</v>
      </c>
      <c r="U57" s="104">
        <f t="shared" si="1"/>
        <v>388.94065509938679</v>
      </c>
      <c r="V57" s="104">
        <f t="shared" si="2"/>
        <v>0.19660198839662502</v>
      </c>
      <c r="W57" s="6"/>
      <c r="X57" s="184"/>
      <c r="Y57" s="91">
        <f>Inputs!C$17*V57</f>
        <v>9.8300994198312512</v>
      </c>
      <c r="Z57" s="232">
        <f t="shared" si="3"/>
        <v>5898.0596518987504</v>
      </c>
      <c r="AA57" s="201"/>
      <c r="AB57" s="92"/>
      <c r="AC57" s="87"/>
      <c r="AD57" s="87"/>
      <c r="AE57" s="87"/>
      <c r="AF57" s="144">
        <f t="shared" si="10"/>
        <v>7289.861526559198</v>
      </c>
      <c r="AG57" s="87"/>
      <c r="AH57" s="107">
        <f>Inputs!C$14/12*T57+Inputs!C$16*AF57</f>
        <v>583.18892212473588</v>
      </c>
      <c r="AI57" s="107">
        <f>Inputs!C$10*AF57</f>
        <v>182.24653816397995</v>
      </c>
      <c r="AJ57" s="107">
        <f>(Inputs!C$9+Inputs!C$11)*AF57</f>
        <v>1239.2764595150638</v>
      </c>
      <c r="AK57" s="107"/>
      <c r="AL57" s="107">
        <f t="shared" si="11"/>
        <v>32.598065893708352</v>
      </c>
      <c r="AM57" s="128">
        <f t="shared" si="4"/>
        <v>32.598065893708352</v>
      </c>
      <c r="AN57" s="129">
        <f t="shared" si="5"/>
        <v>5898.0596518987504</v>
      </c>
      <c r="AO57" s="198">
        <f>V57*Inputs!C$17</f>
        <v>9.8300994198312512</v>
      </c>
      <c r="AP57" s="129">
        <f t="shared" si="12"/>
        <v>-590.14207866945401</v>
      </c>
      <c r="AQ57" s="6"/>
    </row>
    <row r="58" spans="2:43">
      <c r="B58" s="6"/>
      <c r="C58" s="6"/>
      <c r="D58" s="6"/>
      <c r="E58" s="6"/>
      <c r="F58" s="83"/>
      <c r="G58" s="55"/>
      <c r="H58" s="5"/>
      <c r="I58">
        <f t="shared" si="16"/>
        <v>5</v>
      </c>
      <c r="J58">
        <v>5</v>
      </c>
      <c r="L58" s="123">
        <f>1-(1-VLOOKUP(Inputs!B$1+I58-1,Inputs!$F$5:$H$105,IF(B$2="M",2,3),0))^(1/12)</f>
        <v>5.0298084250810504E-4</v>
      </c>
      <c r="M58" s="124">
        <f>1-(1-VLOOKUP(I58,Inputs!$C$22:$D$41,2,FALSE))^(1/12)</f>
        <v>4.2653187775606449E-3</v>
      </c>
      <c r="N58" s="125">
        <f>1-(1-VLOOKUP(Inputs!B$1+I58-1,Inputs!$J$5:$L$105,IF(B$2="M",2,3),0))^(1/12)</f>
        <v>1.8017844630402458E-4</v>
      </c>
      <c r="O58" s="106">
        <f t="shared" si="6"/>
        <v>0.7778813101987736</v>
      </c>
      <c r="P58" s="125">
        <f t="shared" si="7"/>
        <v>0.77403431845507153</v>
      </c>
      <c r="Q58" s="199">
        <f t="shared" si="8"/>
        <v>0.79293820179746133</v>
      </c>
      <c r="R58" s="125">
        <f t="shared" si="0"/>
        <v>0.78940820597768602</v>
      </c>
      <c r="S58" s="8"/>
      <c r="T58" s="200">
        <f t="shared" si="9"/>
        <v>388.94065509938679</v>
      </c>
      <c r="U58" s="104">
        <f t="shared" si="1"/>
        <v>387.01715922753579</v>
      </c>
      <c r="V58" s="104">
        <f t="shared" si="2"/>
        <v>0.19562969838754388</v>
      </c>
      <c r="W58" s="6"/>
      <c r="X58" s="184"/>
      <c r="Y58" s="91">
        <f>Inputs!C$17*V58</f>
        <v>9.7814849193771938</v>
      </c>
      <c r="Z58" s="232">
        <f t="shared" si="3"/>
        <v>5868.8909516263166</v>
      </c>
      <c r="AA58" s="201"/>
      <c r="AB58" s="92"/>
      <c r="AC58" s="87"/>
      <c r="AD58" s="87"/>
      <c r="AE58" s="87"/>
      <c r="AF58" s="144">
        <f t="shared" si="10"/>
        <v>7253.8097063936793</v>
      </c>
      <c r="AG58" s="87"/>
      <c r="AH58" s="107">
        <f>Inputs!C$14/12*T58+Inputs!C$16*AF58</f>
        <v>580.30477651149431</v>
      </c>
      <c r="AI58" s="107">
        <f>Inputs!C$10*AF58</f>
        <v>181.345242659842</v>
      </c>
      <c r="AJ58" s="107">
        <f>(Inputs!C$9+Inputs!C$11)*AF58</f>
        <v>1233.1476500869255</v>
      </c>
      <c r="AK58" s="107"/>
      <c r="AL58" s="107">
        <f t="shared" si="11"/>
        <v>32.436853008516771</v>
      </c>
      <c r="AM58" s="128">
        <f t="shared" si="4"/>
        <v>32.436853008516771</v>
      </c>
      <c r="AN58" s="129">
        <f t="shared" si="5"/>
        <v>5868.8909516263166</v>
      </c>
      <c r="AO58" s="198">
        <f>V58*Inputs!C$17</f>
        <v>9.7814849193771938</v>
      </c>
      <c r="AP58" s="129">
        <f t="shared" si="12"/>
        <v>-587.22354640176025</v>
      </c>
      <c r="AQ58" s="6"/>
    </row>
    <row r="59" spans="2:43">
      <c r="B59" s="6"/>
      <c r="C59" s="6"/>
      <c r="D59" s="6"/>
      <c r="E59" s="6"/>
      <c r="F59" s="83"/>
      <c r="G59" s="55"/>
      <c r="H59" s="5"/>
      <c r="I59">
        <f t="shared" si="16"/>
        <v>5</v>
      </c>
      <c r="J59">
        <v>6</v>
      </c>
      <c r="L59" s="123">
        <f>1-(1-VLOOKUP(Inputs!B$1+I59-1,Inputs!$F$5:$H$105,IF(B$2="M",2,3),0))^(1/12)</f>
        <v>5.0298084250810504E-4</v>
      </c>
      <c r="M59" s="124">
        <f>1-(1-VLOOKUP(I59,Inputs!$C$22:$D$41,2,FALSE))^(1/12)</f>
        <v>4.2653187775606449E-3</v>
      </c>
      <c r="N59" s="125">
        <f>1-(1-VLOOKUP(Inputs!B$1+I59-1,Inputs!$J$5:$L$105,IF(B$2="M",2,3),0))^(1/12)</f>
        <v>1.8017844630402458E-4</v>
      </c>
      <c r="O59" s="106">
        <f t="shared" si="6"/>
        <v>0.77403431845507153</v>
      </c>
      <c r="P59" s="125">
        <f t="shared" si="7"/>
        <v>0.77020635190876396</v>
      </c>
      <c r="Q59" s="199">
        <f t="shared" si="8"/>
        <v>0.78940820597768602</v>
      </c>
      <c r="R59" s="125">
        <f t="shared" si="0"/>
        <v>0.78589392496451149</v>
      </c>
      <c r="S59" s="8"/>
      <c r="T59" s="200">
        <f t="shared" si="9"/>
        <v>387.01715922753579</v>
      </c>
      <c r="U59" s="104">
        <f t="shared" si="1"/>
        <v>385.10317595438198</v>
      </c>
      <c r="V59" s="104">
        <f t="shared" si="2"/>
        <v>0.19466221681335938</v>
      </c>
      <c r="W59" s="6"/>
      <c r="X59" s="184"/>
      <c r="Y59" s="91">
        <f>Inputs!C$17*V59</f>
        <v>9.7331108406679689</v>
      </c>
      <c r="Z59" s="232">
        <f t="shared" si="3"/>
        <v>5839.8665044007812</v>
      </c>
      <c r="AA59" s="201"/>
      <c r="AB59" s="92"/>
      <c r="AC59" s="87"/>
      <c r="AD59" s="87"/>
      <c r="AE59" s="87"/>
      <c r="AF59" s="144">
        <f t="shared" si="10"/>
        <v>7217.9361795650793</v>
      </c>
      <c r="AG59" s="87"/>
      <c r="AH59" s="107">
        <f>Inputs!C$14/12*T59+Inputs!C$16*AF59</f>
        <v>577.43489436520633</v>
      </c>
      <c r="AI59" s="107">
        <f>Inputs!C$10*AF59</f>
        <v>180.448404489127</v>
      </c>
      <c r="AJ59" s="107">
        <f>(Inputs!C$9+Inputs!C$11)*AF59</f>
        <v>1227.0491505260636</v>
      </c>
      <c r="AK59" s="107"/>
      <c r="AL59" s="107">
        <f t="shared" si="11"/>
        <v>32.276437397446806</v>
      </c>
      <c r="AM59" s="128">
        <f t="shared" si="4"/>
        <v>32.276437397446806</v>
      </c>
      <c r="AN59" s="129">
        <f t="shared" si="5"/>
        <v>5839.8665044007812</v>
      </c>
      <c r="AO59" s="198">
        <f>V59*Inputs!C$17</f>
        <v>9.7331108406679689</v>
      </c>
      <c r="AP59" s="129">
        <f t="shared" si="12"/>
        <v>-584.31944765931996</v>
      </c>
      <c r="AQ59" s="6"/>
    </row>
    <row r="60" spans="2:43">
      <c r="B60" s="6"/>
      <c r="C60" s="6"/>
      <c r="D60" s="6"/>
      <c r="E60" s="6"/>
      <c r="F60" s="83"/>
      <c r="G60" s="55"/>
      <c r="H60" s="5"/>
      <c r="I60">
        <f t="shared" si="16"/>
        <v>5</v>
      </c>
      <c r="J60">
        <v>7</v>
      </c>
      <c r="L60" s="123">
        <f>1-(1-VLOOKUP(Inputs!B$1+I60-1,Inputs!$F$5:$H$105,IF(B$2="M",2,3),0))^(1/12)</f>
        <v>5.0298084250810504E-4</v>
      </c>
      <c r="M60" s="124">
        <f>1-(1-VLOOKUP(I60,Inputs!$C$22:$D$41,2,FALSE))^(1/12)</f>
        <v>4.2653187775606449E-3</v>
      </c>
      <c r="N60" s="125">
        <f>1-(1-VLOOKUP(Inputs!B$1+I60-1,Inputs!$J$5:$L$105,IF(B$2="M",2,3),0))^(1/12)</f>
        <v>1.8017844630402458E-4</v>
      </c>
      <c r="O60" s="106">
        <f t="shared" si="6"/>
        <v>0.77020635190876396</v>
      </c>
      <c r="P60" s="125">
        <f t="shared" si="7"/>
        <v>0.76639731647123321</v>
      </c>
      <c r="Q60" s="199">
        <f t="shared" si="8"/>
        <v>0.78589392496451149</v>
      </c>
      <c r="R60" s="125">
        <f t="shared" si="0"/>
        <v>0.78239528879888998</v>
      </c>
      <c r="S60" s="8"/>
      <c r="T60" s="200">
        <f t="shared" si="9"/>
        <v>385.10317595438198</v>
      </c>
      <c r="U60" s="104">
        <f t="shared" si="1"/>
        <v>383.19865823561662</v>
      </c>
      <c r="V60" s="104">
        <f t="shared" si="2"/>
        <v>0.19369951989408207</v>
      </c>
      <c r="W60" s="6"/>
      <c r="X60" s="184"/>
      <c r="Y60" s="91">
        <f>Inputs!C$17*V60</f>
        <v>9.6849759947041036</v>
      </c>
      <c r="Z60" s="232">
        <f t="shared" si="3"/>
        <v>5810.985596822462</v>
      </c>
      <c r="AA60" s="201"/>
      <c r="AB60" s="92"/>
      <c r="AC60" s="87"/>
      <c r="AD60" s="87"/>
      <c r="AE60" s="87"/>
      <c r="AF60" s="144">
        <f t="shared" si="10"/>
        <v>7182.2400643283463</v>
      </c>
      <c r="AG60" s="87"/>
      <c r="AH60" s="107">
        <f>Inputs!C$14/12*T60+Inputs!C$16*AF60</f>
        <v>574.57920514626767</v>
      </c>
      <c r="AI60" s="107">
        <f>Inputs!C$10*AF60</f>
        <v>179.55600160820867</v>
      </c>
      <c r="AJ60" s="107">
        <f>(Inputs!C$9+Inputs!C$11)*AF60</f>
        <v>1220.9808109358189</v>
      </c>
      <c r="AK60" s="107"/>
      <c r="AL60" s="107">
        <f t="shared" si="11"/>
        <v>32.116815117600062</v>
      </c>
      <c r="AM60" s="128">
        <f t="shared" si="4"/>
        <v>32.116815117600062</v>
      </c>
      <c r="AN60" s="129">
        <f t="shared" si="5"/>
        <v>5810.985596822462</v>
      </c>
      <c r="AO60" s="198">
        <f>V60*Inputs!C$17</f>
        <v>9.6849759947041036</v>
      </c>
      <c r="AP60" s="129">
        <f t="shared" si="12"/>
        <v>-581.42971106151583</v>
      </c>
      <c r="AQ60" s="6"/>
    </row>
    <row r="61" spans="2:43">
      <c r="B61" s="6"/>
      <c r="C61" s="6"/>
      <c r="D61" s="6"/>
      <c r="E61" s="6"/>
      <c r="F61" s="83"/>
      <c r="G61" s="55"/>
      <c r="H61" s="5"/>
      <c r="I61">
        <f t="shared" si="16"/>
        <v>5</v>
      </c>
      <c r="J61">
        <v>8</v>
      </c>
      <c r="L61" s="123">
        <f>1-(1-VLOOKUP(Inputs!B$1+I61-1,Inputs!$F$5:$H$105,IF(B$2="M",2,3),0))^(1/12)</f>
        <v>5.0298084250810504E-4</v>
      </c>
      <c r="M61" s="124">
        <f>1-(1-VLOOKUP(I61,Inputs!$C$22:$D$41,2,FALSE))^(1/12)</f>
        <v>4.2653187775606449E-3</v>
      </c>
      <c r="N61" s="125">
        <f>1-(1-VLOOKUP(Inputs!B$1+I61-1,Inputs!$J$5:$L$105,IF(B$2="M",2,3),0))^(1/12)</f>
        <v>1.8017844630402458E-4</v>
      </c>
      <c r="O61" s="106">
        <f t="shared" si="6"/>
        <v>0.76639731647123321</v>
      </c>
      <c r="P61" s="125">
        <f t="shared" si="7"/>
        <v>0.76260711851917429</v>
      </c>
      <c r="Q61" s="199">
        <f t="shared" si="8"/>
        <v>0.78239528879888998</v>
      </c>
      <c r="R61" s="125">
        <f t="shared" si="0"/>
        <v>0.77891222783321656</v>
      </c>
      <c r="S61" s="8"/>
      <c r="T61" s="200">
        <f t="shared" si="9"/>
        <v>383.19865823561662</v>
      </c>
      <c r="U61" s="104">
        <f t="shared" si="1"/>
        <v>381.30355925958713</v>
      </c>
      <c r="V61" s="104">
        <f t="shared" si="2"/>
        <v>0.19274158396732585</v>
      </c>
      <c r="W61" s="6"/>
      <c r="X61" s="184"/>
      <c r="Y61" s="91">
        <f>Inputs!C$17*V61</f>
        <v>9.6370791983662922</v>
      </c>
      <c r="Z61" s="232">
        <f t="shared" si="3"/>
        <v>5782.2475190197756</v>
      </c>
      <c r="AA61" s="201"/>
      <c r="AB61" s="92"/>
      <c r="AC61" s="87"/>
      <c r="AD61" s="87"/>
      <c r="AE61" s="87"/>
      <c r="AF61" s="144">
        <f t="shared" si="10"/>
        <v>7146.7204832990792</v>
      </c>
      <c r="AG61" s="87"/>
      <c r="AH61" s="107">
        <f>Inputs!C$14/12*T61+Inputs!C$16*AF61</f>
        <v>571.7376386639263</v>
      </c>
      <c r="AI61" s="107">
        <f>Inputs!C$10*AF61</f>
        <v>178.66801208247699</v>
      </c>
      <c r="AJ61" s="107">
        <f>(Inputs!C$9+Inputs!C$11)*AF61</f>
        <v>1214.9424821608436</v>
      </c>
      <c r="AK61" s="107"/>
      <c r="AL61" s="107">
        <f t="shared" si="11"/>
        <v>31.957982245577668</v>
      </c>
      <c r="AM61" s="128">
        <f t="shared" si="4"/>
        <v>31.957982245577668</v>
      </c>
      <c r="AN61" s="129">
        <f t="shared" si="5"/>
        <v>5782.2475190197756</v>
      </c>
      <c r="AO61" s="198">
        <f>V61*Inputs!C$17</f>
        <v>9.6370791983662922</v>
      </c>
      <c r="AP61" s="129">
        <f t="shared" si="12"/>
        <v>-578.55426558073123</v>
      </c>
      <c r="AQ61" s="6"/>
    </row>
    <row r="62" spans="2:43">
      <c r="B62" s="6"/>
      <c r="C62" s="6"/>
      <c r="D62" s="6"/>
      <c r="E62" s="6"/>
      <c r="F62" s="83"/>
      <c r="G62" s="55"/>
      <c r="H62" s="5"/>
      <c r="I62">
        <f t="shared" si="16"/>
        <v>5</v>
      </c>
      <c r="J62">
        <v>9</v>
      </c>
      <c r="L62" s="123">
        <f>1-(1-VLOOKUP(Inputs!B$1+I62-1,Inputs!$F$5:$H$105,IF(B$2="M",2,3),0))^(1/12)</f>
        <v>5.0298084250810504E-4</v>
      </c>
      <c r="M62" s="124">
        <f>1-(1-VLOOKUP(I62,Inputs!$C$22:$D$41,2,FALSE))^(1/12)</f>
        <v>4.2653187775606449E-3</v>
      </c>
      <c r="N62" s="125">
        <f>1-(1-VLOOKUP(Inputs!B$1+I62-1,Inputs!$J$5:$L$105,IF(B$2="M",2,3),0))^(1/12)</f>
        <v>1.8017844630402458E-4</v>
      </c>
      <c r="O62" s="106">
        <f t="shared" si="6"/>
        <v>0.76260711851917429</v>
      </c>
      <c r="P62" s="125">
        <f t="shared" si="7"/>
        <v>0.75883566489229382</v>
      </c>
      <c r="Q62" s="199">
        <f t="shared" si="8"/>
        <v>0.77891222783321656</v>
      </c>
      <c r="R62" s="125">
        <f t="shared" si="0"/>
        <v>0.77544467272994333</v>
      </c>
      <c r="S62" s="8"/>
      <c r="T62" s="200">
        <f t="shared" si="9"/>
        <v>381.30355925958713</v>
      </c>
      <c r="U62" s="104">
        <f t="shared" si="1"/>
        <v>379.41783244614692</v>
      </c>
      <c r="V62" s="104">
        <f t="shared" si="2"/>
        <v>0.19178838548772628</v>
      </c>
      <c r="W62" s="6"/>
      <c r="X62" s="184"/>
      <c r="Y62" s="91">
        <f>Inputs!C$17*V62</f>
        <v>9.589419274386314</v>
      </c>
      <c r="Z62" s="232">
        <f t="shared" si="3"/>
        <v>5753.6515646317885</v>
      </c>
      <c r="AA62" s="201"/>
      <c r="AB62" s="92"/>
      <c r="AC62" s="87"/>
      <c r="AD62" s="87"/>
      <c r="AE62" s="87"/>
      <c r="AF62" s="144">
        <f t="shared" si="10"/>
        <v>7111.3765634319552</v>
      </c>
      <c r="AG62" s="87"/>
      <c r="AH62" s="107">
        <f>Inputs!C$14/12*T62+Inputs!C$16*AF62</f>
        <v>568.91012507455639</v>
      </c>
      <c r="AI62" s="107">
        <f>Inputs!C$10*AF62</f>
        <v>177.78441408579889</v>
      </c>
      <c r="AJ62" s="107">
        <f>(Inputs!C$9+Inputs!C$11)*AF62</f>
        <v>1208.9340157834324</v>
      </c>
      <c r="AK62" s="107"/>
      <c r="AL62" s="107">
        <f t="shared" si="11"/>
        <v>31.799934877383794</v>
      </c>
      <c r="AM62" s="128">
        <f t="shared" si="4"/>
        <v>31.799934877383794</v>
      </c>
      <c r="AN62" s="129">
        <f t="shared" si="5"/>
        <v>5753.6515646317885</v>
      </c>
      <c r="AO62" s="198">
        <f>V62*Inputs!C$17</f>
        <v>9.589419274386314</v>
      </c>
      <c r="AP62" s="129">
        <f t="shared" si="12"/>
        <v>-575.69304054062286</v>
      </c>
      <c r="AQ62" s="6"/>
    </row>
    <row r="63" spans="2:43">
      <c r="B63" s="6"/>
      <c r="C63" s="6"/>
      <c r="D63" s="6"/>
      <c r="E63" s="6"/>
      <c r="F63" s="84"/>
      <c r="G63" s="55"/>
      <c r="H63" s="5"/>
      <c r="I63">
        <f t="shared" si="16"/>
        <v>5</v>
      </c>
      <c r="J63">
        <v>10</v>
      </c>
      <c r="L63" s="123">
        <f>1-(1-VLOOKUP(Inputs!B$1+I63-1,Inputs!$F$5:$H$105,IF(B$2="M",2,3),0))^(1/12)</f>
        <v>5.0298084250810504E-4</v>
      </c>
      <c r="M63" s="124">
        <f>1-(1-VLOOKUP(I63,Inputs!$C$22:$D$41,2,FALSE))^(1/12)</f>
        <v>4.2653187775606449E-3</v>
      </c>
      <c r="N63" s="125">
        <f>1-(1-VLOOKUP(Inputs!B$1+I63-1,Inputs!$J$5:$L$105,IF(B$2="M",2,3),0))^(1/12)</f>
        <v>1.8017844630402458E-4</v>
      </c>
      <c r="O63" s="106">
        <f t="shared" si="6"/>
        <v>0.75883566489229382</v>
      </c>
      <c r="P63" s="125">
        <f t="shared" si="7"/>
        <v>0.75508286289102011</v>
      </c>
      <c r="Q63" s="199">
        <f t="shared" si="8"/>
        <v>0.77544467272994333</v>
      </c>
      <c r="R63" s="125">
        <f t="shared" si="0"/>
        <v>0.77199255446019843</v>
      </c>
      <c r="S63" s="8"/>
      <c r="T63" s="200">
        <f t="shared" si="9"/>
        <v>379.41783244614692</v>
      </c>
      <c r="U63" s="104">
        <f t="shared" si="1"/>
        <v>377.54143144551006</v>
      </c>
      <c r="V63" s="104">
        <f t="shared" si="2"/>
        <v>0.190839901026362</v>
      </c>
      <c r="W63" s="6"/>
      <c r="X63" s="184"/>
      <c r="Y63" s="91">
        <f>Inputs!C$17*V63</f>
        <v>9.5419950513181</v>
      </c>
      <c r="Z63" s="232">
        <f t="shared" si="3"/>
        <v>5725.1970307908605</v>
      </c>
      <c r="AA63" s="201"/>
      <c r="AB63" s="92"/>
      <c r="AC63" s="87"/>
      <c r="AD63" s="87"/>
      <c r="AE63" s="87"/>
      <c r="AF63" s="144">
        <f t="shared" si="10"/>
        <v>7076.2074359992775</v>
      </c>
      <c r="AG63" s="87"/>
      <c r="AH63" s="107">
        <f>Inputs!C$14/12*T63+Inputs!C$16*AF63</f>
        <v>566.09659487994224</v>
      </c>
      <c r="AI63" s="107">
        <f>Inputs!C$10*AF63</f>
        <v>176.90518589998194</v>
      </c>
      <c r="AJ63" s="107">
        <f>(Inputs!C$9+Inputs!C$11)*AF63</f>
        <v>1202.9552641198773</v>
      </c>
      <c r="AK63" s="107"/>
      <c r="AL63" s="107">
        <f t="shared" si="11"/>
        <v>31.642669128329743</v>
      </c>
      <c r="AM63" s="128">
        <f t="shared" si="4"/>
        <v>31.642669128329743</v>
      </c>
      <c r="AN63" s="129">
        <f t="shared" si="5"/>
        <v>5725.1970307908605</v>
      </c>
      <c r="AO63" s="198">
        <f>V63*Inputs!C$17</f>
        <v>9.5419950513181</v>
      </c>
      <c r="AP63" s="129">
        <f t="shared" si="12"/>
        <v>-572.84596561437252</v>
      </c>
      <c r="AQ63" s="6"/>
    </row>
    <row r="64" spans="2:43">
      <c r="E64" s="6"/>
      <c r="F64" s="6"/>
      <c r="G64" s="55"/>
      <c r="H64" s="5"/>
      <c r="I64">
        <f t="shared" si="16"/>
        <v>5</v>
      </c>
      <c r="J64">
        <v>11</v>
      </c>
      <c r="L64" s="123">
        <f>1-(1-VLOOKUP(Inputs!B$1+I64-1,Inputs!$F$5:$H$105,IF(B$2="M",2,3),0))^(1/12)</f>
        <v>5.0298084250810504E-4</v>
      </c>
      <c r="M64" s="124">
        <f>1-(1-VLOOKUP(I64,Inputs!$C$22:$D$41,2,FALSE))^(1/12)</f>
        <v>4.2653187775606449E-3</v>
      </c>
      <c r="N64" s="125">
        <f>1-(1-VLOOKUP(Inputs!B$1+I64-1,Inputs!$J$5:$L$105,IF(B$2="M",2,3),0))^(1/12)</f>
        <v>1.8017844630402458E-4</v>
      </c>
      <c r="O64" s="106">
        <f t="shared" si="6"/>
        <v>0.75508286289102011</v>
      </c>
      <c r="P64" s="125">
        <f t="shared" si="7"/>
        <v>0.751348620274225</v>
      </c>
      <c r="Q64" s="199">
        <f t="shared" si="8"/>
        <v>0.77199255446019843</v>
      </c>
      <c r="R64" s="125">
        <f t="shared" si="0"/>
        <v>0.76855580430241222</v>
      </c>
      <c r="S64" s="8"/>
      <c r="T64" s="200">
        <f t="shared" si="9"/>
        <v>377.54143144551006</v>
      </c>
      <c r="U64" s="104">
        <f t="shared" si="1"/>
        <v>375.67431013711251</v>
      </c>
      <c r="V64" s="104">
        <f t="shared" si="2"/>
        <v>0.18989610727017864</v>
      </c>
      <c r="W64" s="6"/>
      <c r="X64" s="184"/>
      <c r="Y64" s="91">
        <f>Inputs!C$17*V64</f>
        <v>9.4948053635089327</v>
      </c>
      <c r="Z64" s="232">
        <f t="shared" si="3"/>
        <v>5696.8832181053594</v>
      </c>
      <c r="AA64" s="201"/>
      <c r="AB64" s="92"/>
      <c r="AC64" s="87"/>
      <c r="AD64" s="87"/>
      <c r="AE64" s="87"/>
      <c r="AF64" s="144">
        <f t="shared" si="10"/>
        <v>7041.212236569615</v>
      </c>
      <c r="AG64" s="87"/>
      <c r="AH64" s="107">
        <f>Inputs!C$14/12*T64+Inputs!C$16*AF64</f>
        <v>563.29697892556919</v>
      </c>
      <c r="AI64" s="107">
        <f>Inputs!C$10*AF64</f>
        <v>176.03030591424039</v>
      </c>
      <c r="AJ64" s="107">
        <f>(Inputs!C$9+Inputs!C$11)*AF64</f>
        <v>1197.0060802168346</v>
      </c>
      <c r="AK64" s="107"/>
      <c r="AL64" s="107">
        <f t="shared" si="11"/>
        <v>31.486181132938416</v>
      </c>
      <c r="AM64" s="128">
        <f t="shared" si="4"/>
        <v>31.486181132938416</v>
      </c>
      <c r="AN64" s="129">
        <f t="shared" si="5"/>
        <v>5696.8832181053594</v>
      </c>
      <c r="AO64" s="198">
        <f>V64*Inputs!C$17</f>
        <v>9.4948053635089327</v>
      </c>
      <c r="AP64" s="129">
        <f t="shared" si="12"/>
        <v>-570.01297082295969</v>
      </c>
      <c r="AQ64" s="6"/>
    </row>
    <row r="65" spans="5:43">
      <c r="E65" s="6"/>
      <c r="F65" s="83"/>
      <c r="G65" s="55"/>
      <c r="H65" s="205"/>
      <c r="I65">
        <f t="shared" si="16"/>
        <v>5</v>
      </c>
      <c r="J65">
        <v>12</v>
      </c>
      <c r="L65" s="123">
        <f>1-(1-VLOOKUP(Inputs!B$1+I65-1,Inputs!$F$5:$H$105,IF(B$2="M",2,3),0))^(1/12)</f>
        <v>5.0298084250810504E-4</v>
      </c>
      <c r="M65" s="124">
        <f>1-(1-VLOOKUP(I65,Inputs!$C$22:$D$41,2,FALSE))^(1/12)</f>
        <v>4.2653187775606449E-3</v>
      </c>
      <c r="N65" s="125">
        <f>1-(1-VLOOKUP(Inputs!B$1+I65-1,Inputs!$J$5:$L$105,IF(B$2="M",2,3),0))^(1/12)</f>
        <v>1.8017844630402458E-4</v>
      </c>
      <c r="O65" s="106">
        <f t="shared" si="6"/>
        <v>0.751348620274225</v>
      </c>
      <c r="P65" s="125">
        <f t="shared" si="7"/>
        <v>0.74763284525695628</v>
      </c>
      <c r="Q65" s="199">
        <f t="shared" si="8"/>
        <v>0.76855580430241222</v>
      </c>
      <c r="R65" s="125">
        <f t="shared" si="0"/>
        <v>0.76513435384094919</v>
      </c>
      <c r="S65" s="8"/>
      <c r="T65" s="200">
        <f t="shared" si="9"/>
        <v>375.67431013711251</v>
      </c>
      <c r="U65" s="104">
        <f t="shared" si="1"/>
        <v>373.81642262847816</v>
      </c>
      <c r="V65" s="104">
        <f t="shared" si="2"/>
        <v>0.188956981021416</v>
      </c>
      <c r="W65" s="6"/>
      <c r="X65" s="184"/>
      <c r="Y65" s="91">
        <f>Inputs!C$17*V65</f>
        <v>9.4478490510708006</v>
      </c>
      <c r="Z65" s="232">
        <f t="shared" si="3"/>
        <v>5668.7094306424797</v>
      </c>
      <c r="AA65" s="201"/>
      <c r="AB65" s="92"/>
      <c r="AC65" s="87"/>
      <c r="AD65" s="87"/>
      <c r="AE65" s="87"/>
      <c r="AF65" s="144">
        <f t="shared" si="10"/>
        <v>7006.3901049865653</v>
      </c>
      <c r="AG65" s="87"/>
      <c r="AH65" s="107">
        <f>Inputs!C$14/12*T65+Inputs!C$16*AF65</f>
        <v>560.51120839892519</v>
      </c>
      <c r="AI65" s="107">
        <f>Inputs!C$10*AF65</f>
        <v>175.15975262466415</v>
      </c>
      <c r="AJ65" s="107">
        <f>(Inputs!C$9+Inputs!C$11)*AF65</f>
        <v>1191.0863178477161</v>
      </c>
      <c r="AK65" s="107"/>
      <c r="AL65" s="107">
        <f t="shared" si="11"/>
        <v>31.330467044849364</v>
      </c>
      <c r="AM65" s="128">
        <f t="shared" si="4"/>
        <v>31.330467044849364</v>
      </c>
      <c r="AN65" s="129">
        <f t="shared" si="5"/>
        <v>5668.7094306424797</v>
      </c>
      <c r="AO65" s="198">
        <f>V65*Inputs!C$17</f>
        <v>9.4478490510708006</v>
      </c>
      <c r="AP65" s="129">
        <f t="shared" si="12"/>
        <v>-567.19398653344047</v>
      </c>
      <c r="AQ65" s="6"/>
    </row>
    <row r="66" spans="5:43">
      <c r="E66" s="6"/>
      <c r="F66" s="83"/>
      <c r="G66" s="55"/>
      <c r="H66" s="6"/>
      <c r="I66" s="6"/>
      <c r="J66" s="6"/>
      <c r="K66" s="6"/>
      <c r="L66" s="88"/>
      <c r="M66" s="83"/>
      <c r="N66" s="105"/>
      <c r="O66" s="89"/>
      <c r="P66" s="89"/>
      <c r="Q66" s="89"/>
      <c r="R66" s="89"/>
      <c r="S66" s="8"/>
      <c r="T66" s="6"/>
      <c r="U66" s="90"/>
      <c r="V66" s="84"/>
      <c r="W66" s="6"/>
      <c r="X66" s="6"/>
      <c r="Y66" s="91"/>
      <c r="Z66" s="6"/>
      <c r="AA66" s="92"/>
      <c r="AB66" s="92"/>
      <c r="AC66" s="87"/>
      <c r="AD66" s="87"/>
      <c r="AE66" s="87"/>
      <c r="AF66" s="87"/>
      <c r="AG66" s="87"/>
      <c r="AH66" s="87"/>
      <c r="AI66" s="87"/>
      <c r="AJ66" s="87"/>
      <c r="AK66" s="87"/>
      <c r="AL66" s="93"/>
      <c r="AM66" s="94"/>
      <c r="AN66" s="94"/>
      <c r="AO66" s="6"/>
      <c r="AP66" s="6"/>
      <c r="AQ66" s="6"/>
    </row>
    <row r="67" spans="5:43">
      <c r="E67" s="6"/>
      <c r="F67" s="83"/>
      <c r="G67" s="6"/>
      <c r="H67" s="6"/>
      <c r="I67" s="6"/>
      <c r="J67" s="6"/>
      <c r="K67" s="6"/>
      <c r="L67" s="88"/>
      <c r="M67" s="83"/>
      <c r="N67" s="105"/>
      <c r="O67" s="89"/>
      <c r="P67" s="89"/>
      <c r="Q67" s="89"/>
      <c r="R67" s="89"/>
      <c r="S67" s="8"/>
      <c r="T67" s="6"/>
      <c r="U67" s="90"/>
      <c r="V67" s="84"/>
      <c r="W67" s="6"/>
      <c r="X67" s="6"/>
      <c r="Y67" s="91"/>
      <c r="Z67" s="6"/>
      <c r="AA67" s="92"/>
      <c r="AB67" s="92"/>
      <c r="AC67" s="87"/>
      <c r="AD67" s="87"/>
      <c r="AE67" s="87"/>
      <c r="AF67" s="87"/>
      <c r="AG67" s="87"/>
      <c r="AH67" s="87"/>
      <c r="AI67" s="87"/>
      <c r="AJ67" s="87"/>
      <c r="AK67" s="87"/>
      <c r="AL67" s="93"/>
      <c r="AM67" s="94"/>
      <c r="AN67" s="94"/>
      <c r="AO67" s="6"/>
      <c r="AP67" s="6"/>
      <c r="AQ67" s="6"/>
    </row>
    <row r="68" spans="5:43">
      <c r="E68" s="6"/>
      <c r="F68" s="83"/>
      <c r="G68" s="55"/>
      <c r="H68" s="6"/>
      <c r="I68" s="6"/>
      <c r="J68" s="6"/>
      <c r="K68" s="6"/>
      <c r="L68" s="88"/>
      <c r="M68" s="83"/>
      <c r="N68" s="105"/>
      <c r="O68" s="89"/>
      <c r="P68" s="89"/>
      <c r="Q68" s="89"/>
      <c r="R68" s="89"/>
      <c r="S68" s="8"/>
      <c r="T68" s="6"/>
      <c r="U68" s="90"/>
      <c r="V68" s="84"/>
      <c r="W68" s="6"/>
      <c r="X68" s="6"/>
      <c r="Y68" s="91"/>
      <c r="Z68" s="6"/>
      <c r="AA68" s="92"/>
      <c r="AB68" s="92"/>
      <c r="AC68" s="87"/>
      <c r="AD68" s="87"/>
      <c r="AE68" s="87"/>
      <c r="AF68" s="87"/>
      <c r="AG68" s="87"/>
      <c r="AH68" s="87"/>
      <c r="AI68" s="87"/>
      <c r="AJ68" s="87"/>
      <c r="AK68" s="87"/>
      <c r="AL68" s="93"/>
      <c r="AM68" s="94"/>
      <c r="AN68" s="94"/>
      <c r="AO68" s="6"/>
      <c r="AP68" s="6"/>
      <c r="AQ68" s="6"/>
    </row>
  </sheetData>
  <mergeCells count="6">
    <mergeCell ref="Z4:AA4"/>
    <mergeCell ref="O2:P2"/>
    <mergeCell ref="Q2:R2"/>
    <mergeCell ref="O3:P3"/>
    <mergeCell ref="Q3:R3"/>
    <mergeCell ref="W4:Y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Full CIBT Tables</vt:lpstr>
      <vt:lpstr>Critical Illnesses</vt:lpstr>
      <vt:lpstr>Inputs</vt:lpstr>
      <vt:lpstr>CI 1-yr term</vt:lpstr>
      <vt:lpstr>CI 1-yr term testing</vt:lpstr>
      <vt:lpstr>CI 5-yr term</vt:lpstr>
      <vt:lpstr>'CI 1-yr term'!face_amount</vt:lpstr>
      <vt:lpstr>'CI 1-yr term'!issue_age</vt:lpstr>
      <vt:lpstr>'CI 1-yr term'!percentage_of_mortality</vt:lpstr>
    </vt:vector>
  </TitlesOfParts>
  <Manager/>
  <Company>Member company of the AEGON Group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klshirley</dc:creator>
  <cp:keywords/>
  <dc:description/>
  <cp:lastModifiedBy>squashman33@gmail.com</cp:lastModifiedBy>
  <cp:lastPrinted>2008-02-28T19:47:56Z</cp:lastPrinted>
  <dcterms:created xsi:type="dcterms:W3CDTF">2004-12-29T20:06:32Z</dcterms:created>
  <dcterms:modified xsi:type="dcterms:W3CDTF">2020-05-03T23:58:18Z</dcterms:modified>
  <cp:category/>
</cp:coreProperties>
</file>